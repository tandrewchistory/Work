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eployments" sheetId="2" state="visible" r:id="rId4"/>
    <sheet name="Activities" sheetId="3" state="visible" r:id="rId5"/>
    <sheet name="Students" sheetId="4" state="visible" r:id="rId6"/>
    <sheet name="Setup" sheetId="5" state="visible" r:id="rId7"/>
    <sheet name="Read Me" sheetId="6" state="visible" r:id="rId8"/>
  </sheets>
  <definedNames>
    <definedName function="false" hidden="true" localSheetId="2" name="_xlnm._FilterDatabase" vbProcedure="false">Activities!$A$1:$N$201</definedName>
    <definedName function="false" hidden="false" localSheetId="0" name="_xlnm.Print_Area" vbProcedure="false">Dashboard!$A$1:$P$117</definedName>
    <definedName function="false" hidden="false" localSheetId="0" name="_xlnm.Print_Titles" vbProcedure="false">Dashboard!$1:$2</definedName>
    <definedName function="false" hidden="true" localSheetId="1" name="_xlnm._FilterDatabase" vbProcedure="false">Deployments!$A$1:$L$1001</definedName>
    <definedName function="false" hidden="true" localSheetId="3" name="_xlnm._FilterDatabase" vbProcedure="false">Students!$A$1:$I$301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<sst xmlns="http://schemas.openxmlformats.org/spreadsheetml/2006/main" count="199" uniqueCount="171">
  <si>
    <t xml:space="preserve">Student Leader Deployment Dashboard</t>
  </si>
  <si>
    <t xml:space="preserve">STUDENT LEADERS</t>
  </si>
  <si>
    <t xml:space="preserve">DEPLOYED AT LEAST ONCE</t>
  </si>
  <si>
    <t xml:space="preserve">NOT YET DEPLOYED</t>
  </si>
  <si>
    <t xml:space="preserve">HIGH LOAD</t>
  </si>
  <si>
    <t xml:space="preserve">ACTIVITIES</t>
  </si>
  <si>
    <t xml:space="preserve">ACTIVE DEPLOYMENTS</t>
  </si>
  <si>
    <t xml:space="preserve">OPEN SLOTS</t>
  </si>
  <si>
    <t xml:space="preserve">DATA ISSUES</t>
  </si>
  <si>
    <t xml:space="preserve">Leader load — how evenly are leaders deployed?</t>
  </si>
  <si>
    <t xml:space="preserve">By form class</t>
  </si>
  <si>
    <t xml:space="preserve">Deployments per leader</t>
  </si>
  <si>
    <t xml:space="preserve">Leaders</t>
  </si>
  <si>
    <t xml:space="preserve">% of roster</t>
  </si>
  <si>
    <t xml:space="preserve">Form class</t>
  </si>
  <si>
    <t xml:space="preserve">Deployed</t>
  </si>
  <si>
    <t xml:space="preserve">Not yet</t>
  </si>
  <si>
    <t xml:space="preserve">Deployments</t>
  </si>
  <si>
    <t xml:space="preserve">0 — not yet deployed</t>
  </si>
  <si>
    <t xml:space="preserve">1</t>
  </si>
  <si>
    <t xml:space="preserve">2</t>
  </si>
  <si>
    <t xml:space="preserve">3</t>
  </si>
  <si>
    <t xml:space="preserve">4 or more</t>
  </si>
  <si>
    <t xml:space="preserve">By activity category</t>
  </si>
  <si>
    <t xml:space="preserve">Category</t>
  </si>
  <si>
    <t xml:space="preserve">Activities</t>
  </si>
  <si>
    <t xml:space="preserve">Leader-hours</t>
  </si>
  <si>
    <t xml:space="preserve">Open slots</t>
  </si>
  <si>
    <t xml:space="preserve">Charts</t>
  </si>
  <si>
    <t xml:space="preserve">Most deployed — check for over-reliance</t>
  </si>
  <si>
    <t xml:space="preserve">Not yet deployed — give them a turn</t>
  </si>
  <si>
    <t xml:space="preserve">Leader</t>
  </si>
  <si>
    <t xml:space="preserve">Latest</t>
  </si>
  <si>
    <t xml:space="preserve">Group</t>
  </si>
  <si>
    <t xml:space="preserve">Activity staffing — all activities by date</t>
  </si>
  <si>
    <t xml:space="preserve">Activity</t>
  </si>
  <si>
    <t xml:space="preserve">Date</t>
  </si>
  <si>
    <t xml:space="preserve">Timing</t>
  </si>
  <si>
    <t xml:space="preserve">Needed</t>
  </si>
  <si>
    <t xml:space="preserve">Assigned</t>
  </si>
  <si>
    <t xml:space="preserve">Open</t>
  </si>
  <si>
    <t xml:space="preserve">Fill %</t>
  </si>
  <si>
    <t xml:space="preserve">Status</t>
  </si>
  <si>
    <t xml:space="preserve">Student (Full Name)</t>
  </si>
  <si>
    <t xml:space="preserve">Role</t>
  </si>
  <si>
    <t xml:space="preserve">Hours Override</t>
  </si>
  <si>
    <t xml:space="preserve">Remarks</t>
  </si>
  <si>
    <t xml:space="preserve">Form Class</t>
  </si>
  <si>
    <t xml:space="preserve">Name</t>
  </si>
  <si>
    <t xml:space="preserve">Hours Credited</t>
  </si>
  <si>
    <t xml:space="preserve">Check</t>
  </si>
  <si>
    <t xml:space="preserve">Speech Day &amp; Prize Giving</t>
  </si>
  <si>
    <t xml:space="preserve">Tan Wei Ling</t>
  </si>
  <si>
    <t xml:space="preserve">Emcee</t>
  </si>
  <si>
    <t xml:space="preserve">Confirmed</t>
  </si>
  <si>
    <t xml:space="preserve">Example row — overwrite or delete</t>
  </si>
  <si>
    <t xml:space="preserve">Start</t>
  </si>
  <si>
    <t xml:space="preserve">End</t>
  </si>
  <si>
    <t xml:space="preserve">Venue</t>
  </si>
  <si>
    <t xml:space="preserve">Teacher-in-Charge</t>
  </si>
  <si>
    <t xml:space="preserve">Leaders Needed</t>
  </si>
  <si>
    <t xml:space="preserve">Hours (auto)</t>
  </si>
  <si>
    <t xml:space="preserve">Open Slots</t>
  </si>
  <si>
    <t xml:space="preserve">Staffing Status</t>
  </si>
  <si>
    <t xml:space="preserve">Sort key (auto)</t>
  </si>
  <si>
    <t xml:space="preserve">Ceremony</t>
  </si>
  <si>
    <t xml:space="preserve">School Hall</t>
  </si>
  <si>
    <t xml:space="preserve">Mr Lim K. H.</t>
  </si>
  <si>
    <t xml:space="preserve">Full Name</t>
  </si>
  <si>
    <t xml:space="preserve">Name (preferred)</t>
  </si>
  <si>
    <t xml:space="preserve">Leadership Group</t>
  </si>
  <si>
    <t xml:space="preserve">Notes</t>
  </si>
  <si>
    <t xml:space="preserve">Leader-Hours</t>
  </si>
  <si>
    <t xml:space="preserve">Latest Activity</t>
  </si>
  <si>
    <t xml:space="preserve">Load Status</t>
  </si>
  <si>
    <t xml:space="preserve">Rank key (auto)</t>
  </si>
  <si>
    <t xml:space="preserve">Undeployed # (auto)</t>
  </si>
  <si>
    <t xml:space="preserve">Wei Ling</t>
  </si>
  <si>
    <t xml:space="preserve">303</t>
  </si>
  <si>
    <t xml:space="preserve">Prefect</t>
  </si>
  <si>
    <t xml:space="preserve">Categories</t>
  </si>
  <si>
    <t xml:space="preserve">Roles</t>
  </si>
  <si>
    <t xml:space="preserve">Statuses</t>
  </si>
  <si>
    <t xml:space="preserve">Leadership Groups</t>
  </si>
  <si>
    <t xml:space="preserve">Form Classes</t>
  </si>
  <si>
    <t xml:space="preserve">CCAs</t>
  </si>
  <si>
    <t xml:space="preserve">Setting</t>
  </si>
  <si>
    <t xml:space="preserve">Value</t>
  </si>
  <si>
    <t xml:space="preserve">301</t>
  </si>
  <si>
    <t xml:space="preserve">Badminton</t>
  </si>
  <si>
    <t xml:space="preserve">High-load threshold (deployments)</t>
  </si>
  <si>
    <t xml:space="preserve">School Event</t>
  </si>
  <si>
    <t xml:space="preserve">Usher</t>
  </si>
  <si>
    <t xml:space="preserve">Tentative</t>
  </si>
  <si>
    <t xml:space="preserve">Student Council</t>
  </si>
  <si>
    <t xml:space="preserve">302</t>
  </si>
  <si>
    <t xml:space="preserve">Basketball</t>
  </si>
  <si>
    <t xml:space="preserve">"Upcoming" window (days)</t>
  </si>
  <si>
    <t xml:space="preserve">Assembly</t>
  </si>
  <si>
    <t xml:space="preserve">Marshal</t>
  </si>
  <si>
    <t xml:space="preserve">Completed</t>
  </si>
  <si>
    <t xml:space="preserve">Class Chairperson</t>
  </si>
  <si>
    <t xml:space="preserve">Football</t>
  </si>
  <si>
    <t xml:space="preserve">Sports</t>
  </si>
  <si>
    <t xml:space="preserve">Registration</t>
  </si>
  <si>
    <t xml:space="preserve">Withdrawn</t>
  </si>
  <si>
    <t xml:space="preserve">CCA Leader</t>
  </si>
  <si>
    <t xml:space="preserve">304</t>
  </si>
  <si>
    <t xml:space="preserve">Floorball</t>
  </si>
  <si>
    <t xml:space="preserve">Add or rename items in any list above; dropdowns on the input sheets update automatically. Categories feed the Dashboard (first 8 shown); Form Classes feed the Dashboard (first 15 shown).</t>
  </si>
  <si>
    <t xml:space="preserve">Community Service</t>
  </si>
  <si>
    <t xml:space="preserve">Logistics</t>
  </si>
  <si>
    <t xml:space="preserve">Peer Support Leader</t>
  </si>
  <si>
    <t xml:space="preserve">305</t>
  </si>
  <si>
    <t xml:space="preserve">Track &amp; Field</t>
  </si>
  <si>
    <t xml:space="preserve">Open House</t>
  </si>
  <si>
    <t xml:space="preserve">Facilitator</t>
  </si>
  <si>
    <t xml:space="preserve">Sports Leader</t>
  </si>
  <si>
    <t xml:space="preserve">Choir</t>
  </si>
  <si>
    <t xml:space="preserve">Camp</t>
  </si>
  <si>
    <t xml:space="preserve">Group Leader</t>
  </si>
  <si>
    <t xml:space="preserve">Concert Band</t>
  </si>
  <si>
    <t xml:space="preserve">External</t>
  </si>
  <si>
    <t xml:space="preserve">Photographer</t>
  </si>
  <si>
    <t xml:space="preserve">Chinese Orchestra</t>
  </si>
  <si>
    <t xml:space="preserve">Tech Crew</t>
  </si>
  <si>
    <t xml:space="preserve">Malay Dance</t>
  </si>
  <si>
    <t xml:space="preserve">Indian Dance</t>
  </si>
  <si>
    <t xml:space="preserve">Drama Club</t>
  </si>
  <si>
    <t xml:space="preserve">Scouts</t>
  </si>
  <si>
    <t xml:space="preserve">Girl Guides</t>
  </si>
  <si>
    <t xml:space="preserve">NCC (Land)</t>
  </si>
  <si>
    <t xml:space="preserve">NPCC</t>
  </si>
  <si>
    <t xml:space="preserve">St John Brigade</t>
  </si>
  <si>
    <t xml:space="preserve">Red Cross Youth</t>
  </si>
  <si>
    <t xml:space="preserve">Robotics Club</t>
  </si>
  <si>
    <t xml:space="preserve">Media Club</t>
  </si>
  <si>
    <t xml:space="preserve">Library Club</t>
  </si>
  <si>
    <t xml:space="preserve">How to use this workbook</t>
  </si>
  <si>
    <t xml:space="preserve">WHAT IT IS</t>
  </si>
  <si>
    <t xml:space="preserve">Purpose</t>
  </si>
  <si>
    <t xml:space="preserve">Tracks which student leaders are deployed to which school activities, so teachers can staff events fully and spread opportunities fairly. Keep ONE copy on the shared drive and have everyone edit that copy (Excel Online / Google Sheets allow simultaneous editing).</t>
  </si>
  <si>
    <t xml:space="preserve">WHERE TO TYPE</t>
  </si>
  <si>
    <t xml:space="preserve">Navy column headers</t>
  </si>
  <si>
    <t xml:space="preserve">Input columns — type or pick from the dropdown.</t>
  </si>
  <si>
    <t xml:space="preserve">Grey column headers</t>
  </si>
  <si>
    <t xml:space="preserve">Calculated automatically. Do not type over these cells.</t>
  </si>
  <si>
    <t xml:space="preserve">Dashboard</t>
  </si>
  <si>
    <t xml:space="preserve">All formulas. Read-only — nothing to enter.</t>
  </si>
  <si>
    <t xml:space="preserve">WORKFLOW</t>
  </si>
  <si>
    <t xml:space="preserve">1. Students</t>
  </si>
  <si>
    <t xml:space="preserve">One row per student leader: Full Name (must be unique — it is the lookup key), preferred Name, Form Class, Leadership Group. Duplicate names turn red.</t>
  </si>
  <si>
    <t xml:space="preserve">2. Activities</t>
  </si>
  <si>
    <t xml:space="preserve">One row per activity: unique Activity name, Category, Date, Start/End time, Venue, Teacher-in-Charge and Leaders Needed. Hours, staffing status and timing are worked out.</t>
  </si>
  <si>
    <t xml:space="preserve">3. Deployments</t>
  </si>
  <si>
    <t xml:space="preserve">One row per student per activity. Pick the Activity and Student from the dropdowns, then Role and Status. Leave Hours Override blank to credit the activity's duration. The Check column flags unknown names, duplicates and same-day clashes.</t>
  </si>
  <si>
    <t xml:space="preserve">Confirmed / Tentative / Completed all count as deployed. Withdrawn rows are kept for the record but excluded from every count and from hours.</t>
  </si>
  <si>
    <t xml:space="preserve">4. Setup</t>
  </si>
  <si>
    <t xml:space="preserve">Edit dropdown lists (categories, roles, statuses, leadership groups, form classes) and two settings: the High-load threshold (default 4 deployments) and the Upcoming window (default 14 days).</t>
  </si>
  <si>
    <t xml:space="preserve">SHARED-DRIVE TIPS</t>
  </si>
  <si>
    <t xml:space="preserve">Renaming</t>
  </si>
  <si>
    <t xml:space="preserve">If you rename an activity or student, also update their existing Deployments rows (Check will show "Unknown …" until you do).</t>
  </si>
  <si>
    <t xml:space="preserve">Sorting / filtering</t>
  </si>
  <si>
    <t xml:space="preserve">Use the filter arrows on each input sheet. Sorting input sheets is safe; the Dashboard re-sorts activities by date on its own.</t>
  </si>
  <si>
    <t xml:space="preserve">Capacity</t>
  </si>
  <si>
    <t xml:space="preserve">Formulas are pre-filled for 300 students, 200 activities and 1000 deployments. To extend, copy the last grey row down.</t>
  </si>
  <si>
    <t xml:space="preserve">Google Sheets</t>
  </si>
  <si>
    <t xml:space="preserve">Upload the .xlsx and choose File › Save as Google Sheets for live co-editing; all formulas, dropdowns and colour rules carry over.</t>
  </si>
  <si>
    <t xml:space="preserve">New year</t>
  </si>
  <si>
    <t xml:space="preserve">Save a copy for the new year, then clear the Deployments and Activities input columns and update the Students list.</t>
  </si>
  <si>
    <t xml:space="preserve">Row 2 on each input sheet (yellow) is an example — overwrite or delete it.</t>
  </si>
</sst>
</file>

<file path=xl/styles.xml><?xml version="1.0" encoding="utf-8"?>
<styleSheet xmlns="http://schemas.openxmlformats.org/spreadsheetml/2006/main">
  <numFmts count="11">
    <numFmt numFmtId="164" formatCode="General"/>
    <numFmt numFmtId="165" formatCode="0"/>
    <numFmt numFmtId="166" formatCode="0%"/>
    <numFmt numFmtId="167" formatCode="0.0"/>
    <numFmt numFmtId="168" formatCode="d\ mmm"/>
    <numFmt numFmtId="169" formatCode="d\ mmm&quot; (&quot;ddd\)"/>
    <numFmt numFmtId="170" formatCode="General"/>
    <numFmt numFmtId="171" formatCode="dd\ mmm\ yyyy"/>
    <numFmt numFmtId="172" formatCode="h:mm\ AM/PM"/>
    <numFmt numFmtId="173" formatCode="0.00000"/>
    <numFmt numFmtId="174" formatCode="0.000"/>
  </numFmts>
  <fonts count="17">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0"/>
      <color rgb="FF6B7280"/>
      <name val="Arial"/>
      <family val="0"/>
      <charset val="1"/>
    </font>
    <font>
      <b val="true"/>
      <sz val="9"/>
      <color rgb="FF6B7280"/>
      <name val="Arial"/>
      <family val="0"/>
      <charset val="1"/>
    </font>
    <font>
      <b val="true"/>
      <sz val="22"/>
      <color rgb="FF1F3A5F"/>
      <name val="Arial"/>
      <family val="0"/>
      <charset val="1"/>
    </font>
    <font>
      <sz val="9"/>
      <color rgb="FF6B7280"/>
      <name val="Arial"/>
      <family val="0"/>
      <charset val="1"/>
    </font>
    <font>
      <b val="true"/>
      <sz val="12"/>
      <color rgb="FF1F3A5F"/>
      <name val="Arial"/>
      <family val="0"/>
      <charset val="1"/>
    </font>
    <font>
      <sz val="10"/>
      <color rgb="FF1F2430"/>
      <name val="Arial"/>
      <family val="0"/>
      <charset val="1"/>
    </font>
    <font>
      <b val="true"/>
      <sz val="18"/>
      <color rgb="FF000000"/>
      <name val="Calibri"/>
      <family val="2"/>
    </font>
    <font>
      <sz val="10"/>
      <color rgb="FF000000"/>
      <name val="Calibri"/>
      <family val="2"/>
    </font>
    <font>
      <b val="true"/>
      <sz val="10"/>
      <color rgb="FFFFFFFF"/>
      <name val="Arial"/>
      <family val="0"/>
      <charset val="1"/>
    </font>
    <font>
      <b val="true"/>
      <sz val="10"/>
      <color rgb="FF1F2430"/>
      <name val="Arial"/>
      <family val="0"/>
      <charset val="1"/>
    </font>
    <font>
      <sz val="10"/>
      <color rgb="FF404654"/>
      <name val="Arial"/>
      <family val="0"/>
      <charset val="1"/>
    </font>
    <font>
      <b val="true"/>
      <sz val="10"/>
      <color rgb="FF8A5A00"/>
      <name val="Arial"/>
      <family val="0"/>
      <charset val="1"/>
    </font>
  </fonts>
  <fills count="8">
    <fill>
      <patternFill patternType="none"/>
    </fill>
    <fill>
      <patternFill patternType="gray125"/>
    </fill>
    <fill>
      <patternFill patternType="solid">
        <fgColor rgb="FFF2F5FA"/>
        <bgColor rgb="FFF2F4F7"/>
      </patternFill>
    </fill>
    <fill>
      <patternFill patternType="solid">
        <fgColor rgb="FFEEF1F6"/>
        <bgColor rgb="FFF2F4F7"/>
      </patternFill>
    </fill>
    <fill>
      <patternFill patternType="solid">
        <fgColor rgb="FF1F3A5F"/>
        <bgColor rgb="FF404654"/>
      </patternFill>
    </fill>
    <fill>
      <patternFill patternType="solid">
        <fgColor rgb="FFD9DEE7"/>
        <bgColor rgb="FFD5DAE1"/>
      </patternFill>
    </fill>
    <fill>
      <patternFill patternType="solid">
        <fgColor rgb="FFFFF8DB"/>
        <bgColor rgb="FFFDEFCF"/>
      </patternFill>
    </fill>
    <fill>
      <patternFill patternType="solid">
        <fgColor rgb="FFF2F4F7"/>
        <bgColor rgb="FFF2F5FA"/>
      </patternFill>
    </fill>
  </fills>
  <borders count="3">
    <border diagonalUp="false" diagonalDown="false">
      <left/>
      <right/>
      <top/>
      <bottom/>
      <diagonal/>
    </border>
    <border diagonalUp="false" diagonalDown="false">
      <left style="thick">
        <color rgb="FF1F3A5F"/>
      </left>
      <right/>
      <top/>
      <bottom/>
      <diagonal/>
    </border>
    <border diagonalUp="false" diagonalDown="false">
      <left/>
      <right/>
      <top/>
      <bottom style="thin">
        <color rgb="FFD5DA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center" textRotation="0" wrapText="false" indent="1" shrinkToFit="false"/>
      <protection locked="true" hidden="false"/>
    </xf>
    <xf numFmtId="165" fontId="7" fillId="2" borderId="1" xfId="0" applyFont="true" applyBorder="true" applyAlignment="true" applyProtection="false">
      <alignment horizontal="left" vertical="center" textRotation="0" wrapText="false" indent="1" shrinkToFit="false"/>
      <protection locked="true" hidden="false"/>
    </xf>
    <xf numFmtId="164" fontId="8" fillId="2" borderId="1" xfId="0" applyFont="true" applyBorder="true" applyAlignment="true" applyProtection="false">
      <alignment horizontal="left" vertical="center" textRotation="0" wrapText="false" indent="1"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true" applyProtection="false">
      <alignment horizontal="left" vertical="center" textRotation="0" wrapText="true" indent="0" shrinkToFit="false"/>
      <protection locked="true" hidden="false"/>
    </xf>
    <xf numFmtId="164" fontId="6" fillId="3" borderId="0" xfId="0" applyFont="true" applyBorder="fals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left" vertical="center" textRotation="0" wrapText="false" indent="0" shrinkToFit="false"/>
      <protection locked="true" hidden="false"/>
    </xf>
    <xf numFmtId="165" fontId="10" fillId="0" borderId="2" xfId="0" applyFont="true" applyBorder="true" applyAlignment="true" applyProtection="false">
      <alignment horizontal="center" vertical="center" textRotation="0" wrapText="false" indent="0" shrinkToFit="false"/>
      <protection locked="true" hidden="false"/>
    </xf>
    <xf numFmtId="166" fontId="10" fillId="0" borderId="2" xfId="0" applyFont="true" applyBorder="true" applyAlignment="true" applyProtection="false">
      <alignment horizontal="center" vertical="center" textRotation="0" wrapText="false" indent="0" shrinkToFit="false"/>
      <protection locked="true" hidden="false"/>
    </xf>
    <xf numFmtId="167" fontId="10" fillId="0" borderId="2" xfId="0" applyFont="true" applyBorder="tru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8" fontId="10"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left" vertical="center" textRotation="0" wrapText="false" indent="0" shrinkToFit="false"/>
      <protection locked="true" hidden="false"/>
    </xf>
    <xf numFmtId="169" fontId="10" fillId="0" borderId="2" xfId="0" applyFont="true" applyBorder="true" applyAlignment="true" applyProtection="false">
      <alignment horizontal="center" vertical="center"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general" vertical="center" textRotation="0" wrapText="true" indent="0" shrinkToFit="false"/>
      <protection locked="true" hidden="false"/>
    </xf>
    <xf numFmtId="164" fontId="14" fillId="5" borderId="0" xfId="0" applyFont="true" applyBorder="false" applyAlignment="true" applyProtection="false">
      <alignment horizontal="general" vertical="center"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0" fillId="6" borderId="0" xfId="0" applyFont="false" applyBorder="false" applyAlignment="false" applyProtection="false">
      <alignment horizontal="general" vertical="bottom" textRotation="0" wrapText="false" indent="0" shrinkToFit="false"/>
      <protection locked="true" hidden="false"/>
    </xf>
    <xf numFmtId="171" fontId="15" fillId="7" borderId="0" xfId="0" applyFont="true" applyBorder="false" applyAlignment="false" applyProtection="false">
      <alignment horizontal="general" vertical="bottom" textRotation="0" wrapText="false" indent="0" shrinkToFit="false"/>
      <protection locked="true" hidden="false"/>
    </xf>
    <xf numFmtId="164" fontId="15" fillId="7" borderId="0" xfId="0" applyFont="true" applyBorder="false" applyAlignment="false" applyProtection="false">
      <alignment horizontal="general" vertical="bottom" textRotation="0" wrapText="false" indent="0" shrinkToFit="false"/>
      <protection locked="true" hidden="false"/>
    </xf>
    <xf numFmtId="167" fontId="15" fillId="7"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71" fontId="0" fillId="6" borderId="0" xfId="0" applyFont="false" applyBorder="false" applyAlignment="false" applyProtection="false">
      <alignment horizontal="general" vertical="bottom" textRotation="0" wrapText="false" indent="0" shrinkToFit="false"/>
      <protection locked="true" hidden="false"/>
    </xf>
    <xf numFmtId="172" fontId="0" fillId="6"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5" fontId="15" fillId="7" borderId="0" xfId="0" applyFont="true" applyBorder="false" applyAlignment="false" applyProtection="false">
      <alignment horizontal="general" vertical="bottom" textRotation="0" wrapText="false" indent="0" shrinkToFit="false"/>
      <protection locked="true" hidden="false"/>
    </xf>
    <xf numFmtId="166" fontId="15" fillId="7" borderId="0" xfId="0" applyFont="true" applyBorder="false" applyAlignment="false" applyProtection="false">
      <alignment horizontal="general" vertical="bottom" textRotation="0" wrapText="false" indent="0" shrinkToFit="false"/>
      <protection locked="true" hidden="false"/>
    </xf>
    <xf numFmtId="173" fontId="15" fillId="7"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4" fontId="15" fillId="7"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5">
    <dxf>
      <font>
        <name val="Arial"/>
        <charset val="1"/>
        <family val="0"/>
        <b val="1"/>
        <color rgb="FFA61E1E"/>
        <sz val="22"/>
      </font>
    </dxf>
    <dxf>
      <font>
        <name val="Arial"/>
        <charset val="1"/>
        <family val="0"/>
        <b val="1"/>
        <color rgb="FFA61E1E"/>
      </font>
    </dxf>
    <dxf>
      <font>
        <name val="Arial"/>
        <charset val="1"/>
        <family val="0"/>
        <b val="1"/>
        <color rgb="FF8A5A00"/>
      </font>
      <fill>
        <patternFill>
          <bgColor rgb="FFFDEFCF"/>
        </patternFill>
      </fill>
    </dxf>
    <dxf>
      <font>
        <name val="Arial"/>
        <charset val="1"/>
        <family val="0"/>
        <color rgb="FF9AA3B2"/>
      </font>
    </dxf>
    <dxf>
      <font>
        <name val="Arial"/>
        <charset val="1"/>
        <family val="0"/>
        <b val="1"/>
        <color rgb="FF1E7B34"/>
      </font>
      <fill>
        <patternFill>
          <bgColor rgb="FFDCF2E1"/>
        </patternFill>
      </fill>
    </dxf>
    <dxf>
      <font>
        <name val="Arial"/>
        <charset val="1"/>
        <family val="0"/>
        <b val="1"/>
        <color rgb="FFA61E1E"/>
      </font>
      <fill>
        <patternFill>
          <bgColor rgb="FFFBE0E0"/>
        </patternFill>
      </fill>
    </dxf>
    <dxf>
      <font>
        <name val="Arial"/>
        <charset val="1"/>
        <family val="0"/>
        <b val="1"/>
        <color rgb="FF1F4FA6"/>
      </font>
      <fill>
        <patternFill>
          <bgColor rgb="FFDCE7FA"/>
        </patternFill>
      </fill>
    </dxf>
    <dxf>
      <font>
        <name val="Arial"/>
        <charset val="1"/>
        <family val="0"/>
        <b val="1"/>
        <color rgb="FF1F4FA6"/>
      </font>
    </dxf>
    <dxf>
      <fill>
        <patternFill patternType="solid">
          <fgColor rgb="FF1F3A5F"/>
          <bgColor rgb="FF000000"/>
        </patternFill>
      </fill>
    </dxf>
    <dxf>
      <fill>
        <patternFill patternType="solid">
          <fgColor rgb="FFFFF8D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E7FA"/>
          <bgColor rgb="FF000000"/>
        </patternFill>
      </fill>
    </dxf>
    <dxf>
      <fill>
        <patternFill patternType="solid">
          <fgColor rgb="FF1F4FA6"/>
          <bgColor rgb="FF000000"/>
        </patternFill>
      </fill>
    </dxf>
    <dxf>
      <fill>
        <patternFill patternType="solid">
          <fgColor rgb="FFD9DEE7"/>
          <bgColor rgb="FF000000"/>
        </patternFill>
      </fill>
    </dxf>
    <dxf>
      <fill>
        <patternFill patternType="solid">
          <fgColor rgb="FFF2F4F7"/>
          <bgColor rgb="FF000000"/>
        </patternFill>
      </fill>
    </dxf>
    <dxf>
      <fill>
        <patternFill patternType="solid">
          <fgColor rgb="FF1F2430"/>
          <bgColor rgb="FF000000"/>
        </patternFill>
      </fill>
    </dxf>
    <dxf>
      <fill>
        <patternFill patternType="solid">
          <fgColor rgb="FF404654"/>
          <bgColor rgb="FF000000"/>
        </patternFill>
      </fill>
    </dxf>
    <dxf>
      <fill>
        <patternFill patternType="solid">
          <fgColor rgb="FF1E7B34"/>
          <bgColor rgb="FF000000"/>
        </patternFill>
      </fill>
    </dxf>
    <dxf>
      <font>
        <name val="Arial"/>
        <charset val="1"/>
        <family val="0"/>
        <color rgb="FF1E7B34"/>
      </font>
    </dxf>
    <dxf>
      <font>
        <name val="Arial"/>
        <charset val="1"/>
        <family val="0"/>
        <b val="1"/>
        <color rgb="FF6B7280"/>
      </font>
      <fill>
        <patternFill>
          <bgColor rgb="FFEEEEEE"/>
        </patternFill>
      </fill>
    </dxf>
    <dxf>
      <fill>
        <patternFill patternType="solid">
          <fgColor rgb="FFFDEFCF"/>
          <bgColor rgb="FF000000"/>
        </patternFill>
      </fill>
    </dxf>
    <dxf>
      <fill>
        <patternFill patternType="solid">
          <fgColor rgb="FF8A5A00"/>
          <bgColor rgb="FF000000"/>
        </patternFill>
      </fill>
    </dxf>
    <dxf>
      <fill>
        <patternFill patternType="solid">
          <fgColor rgb="FFDCF2E1"/>
          <bgColor rgb="FF000000"/>
        </patternFill>
      </fill>
    </dxf>
  </dxfs>
  <colors>
    <indexedColors>
      <rgbColor rgb="FF000000"/>
      <rgbColor rgb="FFFFFFFF"/>
      <rgbColor rgb="FFFF0000"/>
      <rgbColor rgb="FF00FF00"/>
      <rgbColor rgb="FF0000FF"/>
      <rgbColor rgb="FFF2F5FA"/>
      <rgbColor rgb="FFFF00FF"/>
      <rgbColor rgb="FF00FFFF"/>
      <rgbColor rgb="FF800000"/>
      <rgbColor rgb="FF1E7B34"/>
      <rgbColor rgb="FF000080"/>
      <rgbColor rgb="FF8A5A00"/>
      <rgbColor rgb="FF800080"/>
      <rgbColor rgb="FF008080"/>
      <rgbColor rgb="FFD9D9D9"/>
      <rgbColor rgb="FF878787"/>
      <rgbColor rgb="FF9999FF"/>
      <rgbColor rgb="FF993366"/>
      <rgbColor rgb="FFFFF8DB"/>
      <rgbColor rgb="FFDCE7FA"/>
      <rgbColor rgb="FF660066"/>
      <rgbColor rgb="FFFF8080"/>
      <rgbColor rgb="FF0066CC"/>
      <rgbColor rgb="FFD5DAE1"/>
      <rgbColor rgb="FF000080"/>
      <rgbColor rgb="FFFF00FF"/>
      <rgbColor rgb="FFFFFF00"/>
      <rgbColor rgb="FF00FFFF"/>
      <rgbColor rgb="FF800080"/>
      <rgbColor rgb="FF800000"/>
      <rgbColor rgb="FF008080"/>
      <rgbColor rgb="FF0000FF"/>
      <rgbColor rgb="FF00CCFF"/>
      <rgbColor rgb="FFEEF1F6"/>
      <rgbColor rgb="FFDCF2E1"/>
      <rgbColor rgb="FFFDEFCF"/>
      <rgbColor rgb="FFD9DEE7"/>
      <rgbColor rgb="FFEEEEEE"/>
      <rgbColor rgb="FFF2F4F7"/>
      <rgbColor rgb="FFFBE0E0"/>
      <rgbColor rgb="FF3B5BDB"/>
      <rgbColor rgb="FF33CCCC"/>
      <rgbColor rgb="FF99CC00"/>
      <rgbColor rgb="FFFFCC00"/>
      <rgbColor rgb="FFFF9900"/>
      <rgbColor rgb="FFFF6600"/>
      <rgbColor rgb="FF6B7280"/>
      <rgbColor rgb="FF9AA3B2"/>
      <rgbColor rgb="FF1F3A5F"/>
      <rgbColor rgb="FF339966"/>
      <rgbColor rgb="FF003300"/>
      <rgbColor rgb="FF404654"/>
      <rgbColor rgb="FFA61E1E"/>
      <rgbColor rgb="FF993366"/>
      <rgbColor rgb="FF1F4FA6"/>
      <rgbColor rgb="FF1F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Leaders by number of deployments</a:t>
            </a:r>
          </a:p>
        </c:rich>
      </c:tx>
      <c:overlay val="0"/>
      <c:spPr>
        <a:noFill/>
        <a:ln w="0">
          <a:noFill/>
        </a:ln>
      </c:spPr>
    </c:title>
    <c:autoTitleDeleted val="0"/>
    <c:plotArea>
      <c:barChart>
        <c:barDir val="bar"/>
        <c:grouping val="clustered"/>
        <c:varyColors val="0"/>
        <c:ser>
          <c:idx val="0"/>
          <c:order val="0"/>
          <c:tx>
            <c:strRef>
              <c:f>Dashboard!C9</c:f>
              <c:strCache>
                <c:ptCount val="1"/>
                <c:pt idx="0">
                  <c:v>Leaders</c:v>
                </c:pt>
              </c:strCache>
            </c:strRef>
          </c:tx>
          <c:spPr>
            <a:solidFill>
              <a:srgbClr val="3b5bdb"/>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Dashboard!$B$10:$B$14</c:f>
              <c:strCache>
                <c:ptCount val="5"/>
                <c:pt idx="0">
                  <c:v>0 — not yet deployed</c:v>
                </c:pt>
                <c:pt idx="1">
                  <c:v>1</c:v>
                </c:pt>
                <c:pt idx="2">
                  <c:v>2</c:v>
                </c:pt>
                <c:pt idx="3">
                  <c:v>3</c:v>
                </c:pt>
                <c:pt idx="4">
                  <c:v>4 or more</c:v>
                </c:pt>
              </c:strCache>
            </c:strRef>
          </c:cat>
          <c:val>
            <c:numRef>
              <c:f>Dashboard!$C$10:$C$14</c:f>
              <c:numCache>
                <c:formatCode>0</c:formatCode>
                <c:ptCount val="5"/>
                <c:pt idx="0">
                  <c:v>0</c:v>
                </c:pt>
                <c:pt idx="1">
                  <c:v>1</c:v>
                </c:pt>
                <c:pt idx="2">
                  <c:v>0</c:v>
                </c:pt>
                <c:pt idx="3">
                  <c:v>0</c:v>
                </c:pt>
                <c:pt idx="4">
                  <c:v>0</c:v>
                </c:pt>
              </c:numCache>
            </c:numRef>
          </c:val>
        </c:ser>
        <c:gapWidth val="150"/>
        <c:overlap val="0"/>
        <c:axId val="34528039"/>
        <c:axId val="92399583"/>
      </c:barChart>
      <c:catAx>
        <c:axId val="34528039"/>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2399583"/>
        <c:crosses val="autoZero"/>
        <c:auto val="1"/>
        <c:lblAlgn val="ctr"/>
        <c:lblOffset val="100"/>
        <c:noMultiLvlLbl val="0"/>
      </c:catAx>
      <c:valAx>
        <c:axId val="92399583"/>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452803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Deployments by category</a:t>
            </a:r>
          </a:p>
        </c:rich>
      </c:tx>
      <c:overlay val="0"/>
      <c:spPr>
        <a:noFill/>
        <a:ln w="0">
          <a:noFill/>
        </a:ln>
      </c:spPr>
    </c:title>
    <c:autoTitleDeleted val="0"/>
    <c:plotArea>
      <c:barChart>
        <c:barDir val="col"/>
        <c:grouping val="clustered"/>
        <c:varyColors val="0"/>
        <c:ser>
          <c:idx val="0"/>
          <c:order val="0"/>
          <c:tx>
            <c:strRef>
              <c:f>Dashboard!D18</c:f>
              <c:strCache>
                <c:ptCount val="1"/>
                <c:pt idx="0">
                  <c:v>Deployments</c:v>
                </c:pt>
              </c:strCache>
            </c:strRef>
          </c:tx>
          <c:spPr>
            <a:solidFill>
              <a:srgbClr val="1f3a5f"/>
            </a:solidFill>
            <a:ln w="9360">
              <a:noFill/>
            </a:ln>
          </c:spPr>
          <c:invertIfNegative val="0"/>
          <c:dLbls>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Dashboard!$B$19:$B$26</c:f>
              <c:strCache>
                <c:ptCount val="8"/>
                <c:pt idx="0">
                  <c:v>Ceremony</c:v>
                </c:pt>
                <c:pt idx="1">
                  <c:v>School Event</c:v>
                </c:pt>
                <c:pt idx="2">
                  <c:v>Assembly</c:v>
                </c:pt>
                <c:pt idx="3">
                  <c:v>Sports</c:v>
                </c:pt>
                <c:pt idx="4">
                  <c:v>Community Service</c:v>
                </c:pt>
                <c:pt idx="5">
                  <c:v>Open House</c:v>
                </c:pt>
                <c:pt idx="6">
                  <c:v>Camp</c:v>
                </c:pt>
                <c:pt idx="7">
                  <c:v>External</c:v>
                </c:pt>
              </c:strCache>
            </c:strRef>
          </c:cat>
          <c:val>
            <c:numRef>
              <c:f>Dashboard!$D$19:$D$26</c:f>
              <c:numCache>
                <c:formatCode>0</c:formatCode>
                <c:ptCount val="8"/>
                <c:pt idx="0">
                  <c:v>1</c:v>
                </c:pt>
                <c:pt idx="1">
                  <c:v>0</c:v>
                </c:pt>
                <c:pt idx="2">
                  <c:v>0</c:v>
                </c:pt>
                <c:pt idx="3">
                  <c:v>0</c:v>
                </c:pt>
                <c:pt idx="4">
                  <c:v>0</c:v>
                </c:pt>
                <c:pt idx="5">
                  <c:v>0</c:v>
                </c:pt>
                <c:pt idx="6">
                  <c:v>0</c:v>
                </c:pt>
                <c:pt idx="7">
                  <c:v>0</c:v>
                </c:pt>
              </c:numCache>
            </c:numRef>
          </c:val>
        </c:ser>
        <c:gapWidth val="150"/>
        <c:overlap val="0"/>
        <c:axId val="24032586"/>
        <c:axId val="10664322"/>
      </c:barChart>
      <c:catAx>
        <c:axId val="2403258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0664322"/>
        <c:crosses val="autoZero"/>
        <c:auto val="1"/>
        <c:lblAlgn val="ctr"/>
        <c:lblOffset val="100"/>
        <c:noMultiLvlLbl val="0"/>
      </c:catAx>
      <c:valAx>
        <c:axId val="10664322"/>
        <c:scaling>
          <c:orientation val="minMax"/>
        </c:scaling>
        <c:delete val="0"/>
        <c:axPos val="l"/>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403258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28</xdr:row>
      <xdr:rowOff>0</xdr:rowOff>
    </xdr:from>
    <xdr:to>
      <xdr:col>5</xdr:col>
      <xdr:colOff>42840</xdr:colOff>
      <xdr:row>42</xdr:row>
      <xdr:rowOff>32760</xdr:rowOff>
    </xdr:to>
    <xdr:graphicFrame>
      <xdr:nvGraphicFramePr>
        <xdr:cNvPr id="0" name="Chart 1"/>
        <xdr:cNvGraphicFramePr/>
      </xdr:nvGraphicFramePr>
      <xdr:xfrm>
        <a:off x="141120" y="6105600"/>
        <a:ext cx="539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28</xdr:row>
      <xdr:rowOff>0</xdr:rowOff>
    </xdr:from>
    <xdr:to>
      <xdr:col>12</xdr:col>
      <xdr:colOff>621720</xdr:colOff>
      <xdr:row>42</xdr:row>
      <xdr:rowOff>32760</xdr:rowOff>
    </xdr:to>
    <xdr:graphicFrame>
      <xdr:nvGraphicFramePr>
        <xdr:cNvPr id="1" name="Chart 2"/>
        <xdr:cNvGraphicFramePr/>
      </xdr:nvGraphicFramePr>
      <xdr:xfrm>
        <a:off x="6273000" y="6105600"/>
        <a:ext cx="6119640" cy="26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true"/>
  </sheetPr>
  <dimension ref="B1:R11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18"/>
    <col collapsed="false" customWidth="true" hidden="false" outlineLevel="0" max="5" min="4" style="0" width="13"/>
    <col collapsed="false" customWidth="true" hidden="false" outlineLevel="0" max="6" min="6" style="0" width="11"/>
    <col collapsed="false" customWidth="true" hidden="false" outlineLevel="0" max="9" min="7" style="0" width="10"/>
    <col collapsed="false" customWidth="true" hidden="false" outlineLevel="0" max="10" min="10" style="0" width="15"/>
    <col collapsed="false" customWidth="true" hidden="false" outlineLevel="0" max="11" min="11" style="0" width="3"/>
    <col collapsed="false" customWidth="true" hidden="false" outlineLevel="0" max="12" min="12" style="0" width="30"/>
    <col collapsed="false" customWidth="true" hidden="false" outlineLevel="0" max="13" min="13" style="0" width="13"/>
    <col collapsed="false" customWidth="true" hidden="false" outlineLevel="0" max="15" min="14" style="0" width="12"/>
    <col collapsed="false" customWidth="true" hidden="false" outlineLevel="0" max="16" min="16" style="0" width="13"/>
    <col collapsed="false" customWidth="true" hidden="true" outlineLevel="0" max="18" min="18" style="0" width="13"/>
  </cols>
  <sheetData>
    <row r="1" customFormat="false" ht="30" hidden="false" customHeight="true" outlineLevel="0" collapsed="false">
      <c r="B1" s="1" t="s">
        <v>0</v>
      </c>
    </row>
    <row r="2" customFormat="false" ht="15" hidden="false" customHeight="false" outlineLevel="0" collapsed="false">
      <c r="B2" s="2" t="str">
        <f aca="true">"Updated automatically from the Deployments, Activities and Students sheets  ·  As of "&amp;TEXT(TODAY(),"d mmm yyyy")</f>
        <v>Updated automatically from the Deployments, Activities and Students sheets  ·  As of 22 Oct 2026</v>
      </c>
    </row>
    <row r="4" customFormat="false" ht="18" hidden="false" customHeight="true" outlineLevel="0" collapsed="false">
      <c r="B4" s="3" t="s">
        <v>1</v>
      </c>
      <c r="C4" s="3" t="s">
        <v>2</v>
      </c>
      <c r="D4" s="3"/>
      <c r="E4" s="3" t="s">
        <v>3</v>
      </c>
      <c r="F4" s="3"/>
      <c r="G4" s="3" t="s">
        <v>4</v>
      </c>
      <c r="H4" s="3"/>
      <c r="I4" s="3" t="s">
        <v>5</v>
      </c>
      <c r="J4" s="3"/>
      <c r="L4" s="3" t="s">
        <v>6</v>
      </c>
      <c r="M4" s="3" t="s">
        <v>7</v>
      </c>
      <c r="N4" s="3"/>
      <c r="O4" s="3" t="s">
        <v>8</v>
      </c>
      <c r="P4" s="3"/>
    </row>
    <row r="5" customFormat="false" ht="33.75" hidden="false" customHeight="true" outlineLevel="0" collapsed="false">
      <c r="B5" s="4" t="n">
        <f aca="false">COUNTIF(Students!$A$2:$A$301,"?*")</f>
        <v>1</v>
      </c>
      <c r="C5" s="4" t="n">
        <f aca="false">COUNTIF(Students!$I$2:$I$301,"Deployed")+COUNTIF(Students!$I$2:$I$301,"High load")</f>
        <v>1</v>
      </c>
      <c r="D5" s="4"/>
      <c r="E5" s="4" t="n">
        <f aca="false">COUNTIF(Students!$I$2:$I$301,"Not deployed")</f>
        <v>0</v>
      </c>
      <c r="F5" s="4"/>
      <c r="G5" s="4" t="n">
        <f aca="false">COUNTIF(Students!$I$2:$I$301,"High load")</f>
        <v>0</v>
      </c>
      <c r="H5" s="4"/>
      <c r="I5" s="4" t="n">
        <f aca="false">COUNTIF(Activities!$A$2:$A$201,"?*")</f>
        <v>1</v>
      </c>
      <c r="J5" s="4"/>
      <c r="L5" s="4" t="n">
        <f aca="false">COUNTIFS(Deployments!$A$2:$A$1001,"?*",Deployments!$D$2:$D$1001,"&lt;&gt;Withdrawn")</f>
        <v>1</v>
      </c>
      <c r="M5" s="4" t="n">
        <f aca="false">SUM(Activities!$K$2:$K$201)</f>
        <v>11</v>
      </c>
      <c r="N5" s="4"/>
      <c r="O5" s="4" t="n">
        <f aca="false">COUNTIFS(Deployments!$L$2:$L$1001,"?*",Deployments!$L$2:$L$1001,"&lt;&gt;OK")</f>
        <v>0</v>
      </c>
      <c r="P5" s="4"/>
    </row>
    <row r="6" customFormat="false" ht="18" hidden="false" customHeight="true" outlineLevel="0" collapsed="false">
      <c r="B6" s="5" t="str">
        <f aca="false">COUNTIF(Setup!$E$2:$E$60,"?*")&amp;" form classes"</f>
        <v>5 form classes</v>
      </c>
      <c r="C6" s="5" t="str">
        <f aca="false">IF(B5=0,"",TEXT(C5/B5,"0%")&amp;" of leaders")</f>
        <v>100% of leaders</v>
      </c>
      <c r="D6" s="5"/>
      <c r="E6" s="5" t="str">
        <f aca="false">IF(B5=0,"",TEXT(E5/B5,"0%")&amp;" of leaders")</f>
        <v>0% of leaders</v>
      </c>
      <c r="F6" s="5"/>
      <c r="G6" s="5" t="str">
        <f aca="false">"at "&amp;Setup!$H$2&amp;"+ deployments"</f>
        <v>at 4+ deployments</v>
      </c>
      <c r="H6" s="5"/>
      <c r="I6" s="5" t="str">
        <f aca="false">COUNTIF(Activities!$N$2:$N$201,"Upcoming")&amp;" in next "&amp;Setup!$H$3&amp;" days"</f>
        <v>0 in next 14 days</v>
      </c>
      <c r="J6" s="5"/>
      <c r="L6" s="5" t="str">
        <f aca="false">TEXT(SUM(Deployments!$K$2:$K$1001),"#,##0.0")&amp;" leader-hours"</f>
        <v>3.5 leader-hours</v>
      </c>
      <c r="M6" s="5" t="str">
        <f aca="false">(COUNTIF(Activities!$M$2:$M$201,"Short")+COUNTIF(Activities!$M$2:$M$201,"Unstaffed"))&amp;" activities short"</f>
        <v>1 activities short</v>
      </c>
      <c r="N6" s="5"/>
      <c r="O6" s="5" t="str">
        <f aca="false">"see Deployments › Check"</f>
        <v>see Deployments › Check</v>
      </c>
      <c r="P6" s="5"/>
    </row>
    <row r="8" customFormat="false" ht="15" hidden="false" customHeight="false" outlineLevel="0" collapsed="false">
      <c r="B8" s="6" t="s">
        <v>9</v>
      </c>
      <c r="L8" s="6" t="s">
        <v>10</v>
      </c>
    </row>
    <row r="9" customFormat="false" ht="25.5" hidden="false" customHeight="true" outlineLevel="0" collapsed="false">
      <c r="B9" s="7" t="s">
        <v>11</v>
      </c>
      <c r="C9" s="8" t="s">
        <v>12</v>
      </c>
      <c r="D9" s="8" t="s">
        <v>13</v>
      </c>
      <c r="L9" s="7" t="s">
        <v>14</v>
      </c>
      <c r="M9" s="8" t="s">
        <v>12</v>
      </c>
      <c r="N9" s="8" t="s">
        <v>15</v>
      </c>
      <c r="O9" s="8" t="s">
        <v>16</v>
      </c>
      <c r="P9" s="8" t="s">
        <v>17</v>
      </c>
    </row>
    <row r="10" customFormat="false" ht="15" hidden="false" customHeight="false" outlineLevel="0" collapsed="false">
      <c r="B10" s="9" t="s">
        <v>18</v>
      </c>
      <c r="C10" s="10" t="n">
        <f aca="false">COUNTIFS(Students!$A$2:$A$301,"?*",Students!$F$2:$F$301,"0")</f>
        <v>0</v>
      </c>
      <c r="D10" s="11" t="n">
        <f aca="false">IF($B$5=0,0,C10/$B$5)</f>
        <v>0</v>
      </c>
      <c r="L10" s="9" t="str">
        <f aca="false">IF(Setup!$E$2="","",Setup!$E$2)</f>
        <v>301</v>
      </c>
      <c r="M10" s="10" t="n">
        <f aca="false">IF($L10="","",COUNTIF(Students!$C$2:$C$301,$L10))</f>
        <v>0</v>
      </c>
      <c r="N10" s="10" t="n">
        <f aca="false">IF($L10="","",COUNTIFS(Students!$C$2:$C$301,$L10,Students!$F$2:$F$301,"&gt;0"))</f>
        <v>0</v>
      </c>
      <c r="O10" s="10" t="n">
        <f aca="false">IF($L10="","",M10-N10)</f>
        <v>0</v>
      </c>
      <c r="P10" s="10" t="n">
        <f aca="false">IF($L10="","",SUMIF(Students!$C$2:$C$301,$L10,Students!$F$2:$F$301))</f>
        <v>0</v>
      </c>
    </row>
    <row r="11" customFormat="false" ht="15" hidden="false" customHeight="false" outlineLevel="0" collapsed="false">
      <c r="B11" s="9" t="s">
        <v>19</v>
      </c>
      <c r="C11" s="10" t="n">
        <f aca="false">COUNTIFS(Students!$A$2:$A$301,"?*",Students!$F$2:$F$301,"1")</f>
        <v>1</v>
      </c>
      <c r="D11" s="11" t="n">
        <f aca="false">IF($B$5=0,0,C11/$B$5)</f>
        <v>1</v>
      </c>
      <c r="L11" s="9" t="str">
        <f aca="false">IF(Setup!$E$3="","",Setup!$E$3)</f>
        <v>302</v>
      </c>
      <c r="M11" s="10" t="n">
        <f aca="false">IF($L11="","",COUNTIF(Students!$C$2:$C$301,$L11))</f>
        <v>0</v>
      </c>
      <c r="N11" s="10" t="n">
        <f aca="false">IF($L11="","",COUNTIFS(Students!$C$2:$C$301,$L11,Students!$F$2:$F$301,"&gt;0"))</f>
        <v>0</v>
      </c>
      <c r="O11" s="10" t="n">
        <f aca="false">IF($L11="","",M11-N11)</f>
        <v>0</v>
      </c>
      <c r="P11" s="10" t="n">
        <f aca="false">IF($L11="","",SUMIF(Students!$C$2:$C$301,$L11,Students!$F$2:$F$301))</f>
        <v>0</v>
      </c>
    </row>
    <row r="12" customFormat="false" ht="15" hidden="false" customHeight="false" outlineLevel="0" collapsed="false">
      <c r="B12" s="9" t="s">
        <v>20</v>
      </c>
      <c r="C12" s="10" t="n">
        <f aca="false">COUNTIFS(Students!$A$2:$A$301,"?*",Students!$F$2:$F$301,"2")</f>
        <v>0</v>
      </c>
      <c r="D12" s="11" t="n">
        <f aca="false">IF($B$5=0,0,C12/$B$5)</f>
        <v>0</v>
      </c>
      <c r="L12" s="9" t="str">
        <f aca="false">IF(Setup!$E$4="","",Setup!$E$4)</f>
        <v>303</v>
      </c>
      <c r="M12" s="10" t="n">
        <f aca="false">IF($L12="","",COUNTIF(Students!$C$2:$C$301,$L12))</f>
        <v>1</v>
      </c>
      <c r="N12" s="10" t="n">
        <f aca="false">IF($L12="","",COUNTIFS(Students!$C$2:$C$301,$L12,Students!$F$2:$F$301,"&gt;0"))</f>
        <v>1</v>
      </c>
      <c r="O12" s="10" t="n">
        <f aca="false">IF($L12="","",M12-N12)</f>
        <v>0</v>
      </c>
      <c r="P12" s="10" t="n">
        <f aca="false">IF($L12="","",SUMIF(Students!$C$2:$C$301,$L12,Students!$F$2:$F$301))</f>
        <v>1</v>
      </c>
    </row>
    <row r="13" customFormat="false" ht="15" hidden="false" customHeight="false" outlineLevel="0" collapsed="false">
      <c r="B13" s="9" t="s">
        <v>21</v>
      </c>
      <c r="C13" s="10" t="n">
        <f aca="false">COUNTIFS(Students!$A$2:$A$301,"?*",Students!$F$2:$F$301,"3")</f>
        <v>0</v>
      </c>
      <c r="D13" s="11" t="n">
        <f aca="false">IF($B$5=0,0,C13/$B$5)</f>
        <v>0</v>
      </c>
      <c r="L13" s="9" t="str">
        <f aca="false">IF(Setup!$E$5="","",Setup!$E$5)</f>
        <v>304</v>
      </c>
      <c r="M13" s="10" t="n">
        <f aca="false">IF($L13="","",COUNTIF(Students!$C$2:$C$301,$L13))</f>
        <v>0</v>
      </c>
      <c r="N13" s="10" t="n">
        <f aca="false">IF($L13="","",COUNTIFS(Students!$C$2:$C$301,$L13,Students!$F$2:$F$301,"&gt;0"))</f>
        <v>0</v>
      </c>
      <c r="O13" s="10" t="n">
        <f aca="false">IF($L13="","",M13-N13)</f>
        <v>0</v>
      </c>
      <c r="P13" s="10" t="n">
        <f aca="false">IF($L13="","",SUMIF(Students!$C$2:$C$301,$L13,Students!$F$2:$F$301))</f>
        <v>0</v>
      </c>
    </row>
    <row r="14" customFormat="false" ht="15" hidden="false" customHeight="false" outlineLevel="0" collapsed="false">
      <c r="B14" s="9" t="s">
        <v>22</v>
      </c>
      <c r="C14" s="10" t="n">
        <f aca="false">COUNTIFS(Students!$A$2:$A$301,"?*",Students!$F$2:$F$301,"&gt;=4")</f>
        <v>0</v>
      </c>
      <c r="D14" s="11" t="n">
        <f aca="false">IF($B$5=0,0,C14/$B$5)</f>
        <v>0</v>
      </c>
      <c r="L14" s="9" t="str">
        <f aca="false">IF(Setup!$E$6="","",Setup!$E$6)</f>
        <v>305</v>
      </c>
      <c r="M14" s="10" t="n">
        <f aca="false">IF($L14="","",COUNTIF(Students!$C$2:$C$301,$L14))</f>
        <v>0</v>
      </c>
      <c r="N14" s="10" t="n">
        <f aca="false">IF($L14="","",COUNTIFS(Students!$C$2:$C$301,$L14,Students!$F$2:$F$301,"&gt;0"))</f>
        <v>0</v>
      </c>
      <c r="O14" s="10" t="n">
        <f aca="false">IF($L14="","",M14-N14)</f>
        <v>0</v>
      </c>
      <c r="P14" s="10" t="n">
        <f aca="false">IF($L14="","",SUMIF(Students!$C$2:$C$301,$L14,Students!$F$2:$F$301))</f>
        <v>0</v>
      </c>
    </row>
    <row r="15" customFormat="false" ht="15" hidden="false" customHeight="false" outlineLevel="0" collapsed="false">
      <c r="L15" s="9" t="str">
        <f aca="false">IF(Setup!$E$7="","",Setup!$E$7)</f>
        <v/>
      </c>
      <c r="M15" s="10" t="str">
        <f aca="false">IF($L15="","",COUNTIF(Students!$C$2:$C$301,$L15))</f>
        <v/>
      </c>
      <c r="N15" s="10" t="str">
        <f aca="false">IF($L15="","",COUNTIFS(Students!$C$2:$C$301,$L15,Students!$F$2:$F$301,"&gt;0"))</f>
        <v/>
      </c>
      <c r="O15" s="10" t="str">
        <f aca="false">IF($L15="","",M15-N15)</f>
        <v/>
      </c>
      <c r="P15" s="10" t="str">
        <f aca="false">IF($L15="","",SUMIF(Students!$C$2:$C$301,$L15,Students!$F$2:$F$301))</f>
        <v/>
      </c>
    </row>
    <row r="16" customFormat="false" ht="15" hidden="false" customHeight="false" outlineLevel="0" collapsed="false">
      <c r="L16" s="9" t="str">
        <f aca="false">IF(Setup!$E$8="","",Setup!$E$8)</f>
        <v/>
      </c>
      <c r="M16" s="10" t="str">
        <f aca="false">IF($L16="","",COUNTIF(Students!$C$2:$C$301,$L16))</f>
        <v/>
      </c>
      <c r="N16" s="10" t="str">
        <f aca="false">IF($L16="","",COUNTIFS(Students!$C$2:$C$301,$L16,Students!$F$2:$F$301,"&gt;0"))</f>
        <v/>
      </c>
      <c r="O16" s="10" t="str">
        <f aca="false">IF($L16="","",M16-N16)</f>
        <v/>
      </c>
      <c r="P16" s="10" t="str">
        <f aca="false">IF($L16="","",SUMIF(Students!$C$2:$C$301,$L16,Students!$F$2:$F$301))</f>
        <v/>
      </c>
    </row>
    <row r="17" customFormat="false" ht="15" hidden="false" customHeight="false" outlineLevel="0" collapsed="false">
      <c r="B17" s="6" t="s">
        <v>23</v>
      </c>
      <c r="L17" s="9" t="str">
        <f aca="false">IF(Setup!$E$9="","",Setup!$E$9)</f>
        <v/>
      </c>
      <c r="M17" s="10" t="str">
        <f aca="false">IF($L17="","",COUNTIF(Students!$C$2:$C$301,$L17))</f>
        <v/>
      </c>
      <c r="N17" s="10" t="str">
        <f aca="false">IF($L17="","",COUNTIFS(Students!$C$2:$C$301,$L17,Students!$F$2:$F$301,"&gt;0"))</f>
        <v/>
      </c>
      <c r="O17" s="10" t="str">
        <f aca="false">IF($L17="","",M17-N17)</f>
        <v/>
      </c>
      <c r="P17" s="10" t="str">
        <f aca="false">IF($L17="","",SUMIF(Students!$C$2:$C$301,$L17,Students!$F$2:$F$301))</f>
        <v/>
      </c>
    </row>
    <row r="18" customFormat="false" ht="25.5" hidden="false" customHeight="true" outlineLevel="0" collapsed="false">
      <c r="B18" s="7" t="s">
        <v>24</v>
      </c>
      <c r="C18" s="8" t="s">
        <v>25</v>
      </c>
      <c r="D18" s="8" t="s">
        <v>17</v>
      </c>
      <c r="E18" s="8" t="s">
        <v>26</v>
      </c>
      <c r="F18" s="8" t="s">
        <v>27</v>
      </c>
      <c r="L18" s="9" t="str">
        <f aca="false">IF(Setup!$E$10="","",Setup!$E$10)</f>
        <v/>
      </c>
      <c r="M18" s="10" t="str">
        <f aca="false">IF($L18="","",COUNTIF(Students!$C$2:$C$301,$L18))</f>
        <v/>
      </c>
      <c r="N18" s="10" t="str">
        <f aca="false">IF($L18="","",COUNTIFS(Students!$C$2:$C$301,$L18,Students!$F$2:$F$301,"&gt;0"))</f>
        <v/>
      </c>
      <c r="O18" s="10" t="str">
        <f aca="false">IF($L18="","",M18-N18)</f>
        <v/>
      </c>
      <c r="P18" s="10" t="str">
        <f aca="false">IF($L18="","",SUMIF(Students!$C$2:$C$301,$L18,Students!$F$2:$F$301))</f>
        <v/>
      </c>
    </row>
    <row r="19" customFormat="false" ht="15" hidden="false" customHeight="false" outlineLevel="0" collapsed="false">
      <c r="B19" s="9" t="str">
        <f aca="false">IF(Setup!$A$2="","",Setup!$A$2)</f>
        <v>Ceremony</v>
      </c>
      <c r="C19" s="10" t="n">
        <f aca="false">IF($B19="","",COUNTIF(Activities!$B$2:$B$201,$B19))</f>
        <v>1</v>
      </c>
      <c r="D19" s="10" t="n">
        <f aca="false">IF($B19="","",COUNTIFS(Deployments!$H$2:$H$1001,$B19,Deployments!$D$2:$D$1001,"&lt;&gt;Withdrawn"))</f>
        <v>1</v>
      </c>
      <c r="E19" s="12" t="n">
        <f aca="false">IF($B19="","",SUMIF(Deployments!$H$2:$H$1001,$B19,Deployments!$K$2:$K$1001))</f>
        <v>3.5</v>
      </c>
      <c r="F19" s="10" t="n">
        <f aca="false">IF($B19="","",SUMIF(Activities!$B$2:$B$201,$B19,Activities!$K$2:$K$201))</f>
        <v>11</v>
      </c>
      <c r="L19" s="9" t="str">
        <f aca="false">IF(Setup!$E$11="","",Setup!$E$11)</f>
        <v/>
      </c>
      <c r="M19" s="10" t="str">
        <f aca="false">IF($L19="","",COUNTIF(Students!$C$2:$C$301,$L19))</f>
        <v/>
      </c>
      <c r="N19" s="10" t="str">
        <f aca="false">IF($L19="","",COUNTIFS(Students!$C$2:$C$301,$L19,Students!$F$2:$F$301,"&gt;0"))</f>
        <v/>
      </c>
      <c r="O19" s="10" t="str">
        <f aca="false">IF($L19="","",M19-N19)</f>
        <v/>
      </c>
      <c r="P19" s="10" t="str">
        <f aca="false">IF($L19="","",SUMIF(Students!$C$2:$C$301,$L19,Students!$F$2:$F$301))</f>
        <v/>
      </c>
    </row>
    <row r="20" customFormat="false" ht="15" hidden="false" customHeight="false" outlineLevel="0" collapsed="false">
      <c r="B20" s="9" t="str">
        <f aca="false">IF(Setup!$A$3="","",Setup!$A$3)</f>
        <v>School Event</v>
      </c>
      <c r="C20" s="10" t="n">
        <f aca="false">IF($B20="","",COUNTIF(Activities!$B$2:$B$201,$B20))</f>
        <v>0</v>
      </c>
      <c r="D20" s="10" t="n">
        <f aca="false">IF($B20="","",COUNTIFS(Deployments!$H$2:$H$1001,$B20,Deployments!$D$2:$D$1001,"&lt;&gt;Withdrawn"))</f>
        <v>0</v>
      </c>
      <c r="E20" s="12" t="n">
        <f aca="false">IF($B20="","",SUMIF(Deployments!$H$2:$H$1001,$B20,Deployments!$K$2:$K$1001))</f>
        <v>0</v>
      </c>
      <c r="F20" s="10" t="n">
        <f aca="false">IF($B20="","",SUMIF(Activities!$B$2:$B$201,$B20,Activities!$K$2:$K$201))</f>
        <v>0</v>
      </c>
      <c r="L20" s="9" t="str">
        <f aca="false">IF(Setup!$E$12="","",Setup!$E$12)</f>
        <v/>
      </c>
      <c r="M20" s="10" t="str">
        <f aca="false">IF($L20="","",COUNTIF(Students!$C$2:$C$301,$L20))</f>
        <v/>
      </c>
      <c r="N20" s="10" t="str">
        <f aca="false">IF($L20="","",COUNTIFS(Students!$C$2:$C$301,$L20,Students!$F$2:$F$301,"&gt;0"))</f>
        <v/>
      </c>
      <c r="O20" s="10" t="str">
        <f aca="false">IF($L20="","",M20-N20)</f>
        <v/>
      </c>
      <c r="P20" s="10" t="str">
        <f aca="false">IF($L20="","",SUMIF(Students!$C$2:$C$301,$L20,Students!$F$2:$F$301))</f>
        <v/>
      </c>
    </row>
    <row r="21" customFormat="false" ht="15" hidden="false" customHeight="false" outlineLevel="0" collapsed="false">
      <c r="B21" s="9" t="str">
        <f aca="false">IF(Setup!$A$4="","",Setup!$A$4)</f>
        <v>Assembly</v>
      </c>
      <c r="C21" s="10" t="n">
        <f aca="false">IF($B21="","",COUNTIF(Activities!$B$2:$B$201,$B21))</f>
        <v>0</v>
      </c>
      <c r="D21" s="10" t="n">
        <f aca="false">IF($B21="","",COUNTIFS(Deployments!$H$2:$H$1001,$B21,Deployments!$D$2:$D$1001,"&lt;&gt;Withdrawn"))</f>
        <v>0</v>
      </c>
      <c r="E21" s="12" t="n">
        <f aca="false">IF($B21="","",SUMIF(Deployments!$H$2:$H$1001,$B21,Deployments!$K$2:$K$1001))</f>
        <v>0</v>
      </c>
      <c r="F21" s="10" t="n">
        <f aca="false">IF($B21="","",SUMIF(Activities!$B$2:$B$201,$B21,Activities!$K$2:$K$201))</f>
        <v>0</v>
      </c>
      <c r="L21" s="9" t="str">
        <f aca="false">IF(Setup!$E$13="","",Setup!$E$13)</f>
        <v/>
      </c>
      <c r="M21" s="10" t="str">
        <f aca="false">IF($L21="","",COUNTIF(Students!$C$2:$C$301,$L21))</f>
        <v/>
      </c>
      <c r="N21" s="10" t="str">
        <f aca="false">IF($L21="","",COUNTIFS(Students!$C$2:$C$301,$L21,Students!$F$2:$F$301,"&gt;0"))</f>
        <v/>
      </c>
      <c r="O21" s="10" t="str">
        <f aca="false">IF($L21="","",M21-N21)</f>
        <v/>
      </c>
      <c r="P21" s="10" t="str">
        <f aca="false">IF($L21="","",SUMIF(Students!$C$2:$C$301,$L21,Students!$F$2:$F$301))</f>
        <v/>
      </c>
    </row>
    <row r="22" customFormat="false" ht="15" hidden="false" customHeight="false" outlineLevel="0" collapsed="false">
      <c r="B22" s="9" t="str">
        <f aca="false">IF(Setup!$A$5="","",Setup!$A$5)</f>
        <v>Sports</v>
      </c>
      <c r="C22" s="10" t="n">
        <f aca="false">IF($B22="","",COUNTIF(Activities!$B$2:$B$201,$B22))</f>
        <v>0</v>
      </c>
      <c r="D22" s="10" t="n">
        <f aca="false">IF($B22="","",COUNTIFS(Deployments!$H$2:$H$1001,$B22,Deployments!$D$2:$D$1001,"&lt;&gt;Withdrawn"))</f>
        <v>0</v>
      </c>
      <c r="E22" s="12" t="n">
        <f aca="false">IF($B22="","",SUMIF(Deployments!$H$2:$H$1001,$B22,Deployments!$K$2:$K$1001))</f>
        <v>0</v>
      </c>
      <c r="F22" s="10" t="n">
        <f aca="false">IF($B22="","",SUMIF(Activities!$B$2:$B$201,$B22,Activities!$K$2:$K$201))</f>
        <v>0</v>
      </c>
      <c r="L22" s="9" t="str">
        <f aca="false">IF(Setup!$E$14="","",Setup!$E$14)</f>
        <v/>
      </c>
      <c r="M22" s="10" t="str">
        <f aca="false">IF($L22="","",COUNTIF(Students!$C$2:$C$301,$L22))</f>
        <v/>
      </c>
      <c r="N22" s="10" t="str">
        <f aca="false">IF($L22="","",COUNTIFS(Students!$C$2:$C$301,$L22,Students!$F$2:$F$301,"&gt;0"))</f>
        <v/>
      </c>
      <c r="O22" s="10" t="str">
        <f aca="false">IF($L22="","",M22-N22)</f>
        <v/>
      </c>
      <c r="P22" s="10" t="str">
        <f aca="false">IF($L22="","",SUMIF(Students!$C$2:$C$301,$L22,Students!$F$2:$F$301))</f>
        <v/>
      </c>
    </row>
    <row r="23" customFormat="false" ht="15" hidden="false" customHeight="false" outlineLevel="0" collapsed="false">
      <c r="B23" s="9" t="str">
        <f aca="false">IF(Setup!$A$6="","",Setup!$A$6)</f>
        <v>Community Service</v>
      </c>
      <c r="C23" s="10" t="n">
        <f aca="false">IF($B23="","",COUNTIF(Activities!$B$2:$B$201,$B23))</f>
        <v>0</v>
      </c>
      <c r="D23" s="10" t="n">
        <f aca="false">IF($B23="","",COUNTIFS(Deployments!$H$2:$H$1001,$B23,Deployments!$D$2:$D$1001,"&lt;&gt;Withdrawn"))</f>
        <v>0</v>
      </c>
      <c r="E23" s="12" t="n">
        <f aca="false">IF($B23="","",SUMIF(Deployments!$H$2:$H$1001,$B23,Deployments!$K$2:$K$1001))</f>
        <v>0</v>
      </c>
      <c r="F23" s="10" t="n">
        <f aca="false">IF($B23="","",SUMIF(Activities!$B$2:$B$201,$B23,Activities!$K$2:$K$201))</f>
        <v>0</v>
      </c>
      <c r="L23" s="9" t="str">
        <f aca="false">IF(Setup!$E$15="","",Setup!$E$15)</f>
        <v/>
      </c>
      <c r="M23" s="10" t="str">
        <f aca="false">IF($L23="","",COUNTIF(Students!$C$2:$C$301,$L23))</f>
        <v/>
      </c>
      <c r="N23" s="10" t="str">
        <f aca="false">IF($L23="","",COUNTIFS(Students!$C$2:$C$301,$L23,Students!$F$2:$F$301,"&gt;0"))</f>
        <v/>
      </c>
      <c r="O23" s="10" t="str">
        <f aca="false">IF($L23="","",M23-N23)</f>
        <v/>
      </c>
      <c r="P23" s="10" t="str">
        <f aca="false">IF($L23="","",SUMIF(Students!$C$2:$C$301,$L23,Students!$F$2:$F$301))</f>
        <v/>
      </c>
    </row>
    <row r="24" customFormat="false" ht="15" hidden="false" customHeight="false" outlineLevel="0" collapsed="false">
      <c r="B24" s="9" t="str">
        <f aca="false">IF(Setup!$A$7="","",Setup!$A$7)</f>
        <v>Open House</v>
      </c>
      <c r="C24" s="10" t="n">
        <f aca="false">IF($B24="","",COUNTIF(Activities!$B$2:$B$201,$B24))</f>
        <v>0</v>
      </c>
      <c r="D24" s="10" t="n">
        <f aca="false">IF($B24="","",COUNTIFS(Deployments!$H$2:$H$1001,$B24,Deployments!$D$2:$D$1001,"&lt;&gt;Withdrawn"))</f>
        <v>0</v>
      </c>
      <c r="E24" s="12" t="n">
        <f aca="false">IF($B24="","",SUMIF(Deployments!$H$2:$H$1001,$B24,Deployments!$K$2:$K$1001))</f>
        <v>0</v>
      </c>
      <c r="F24" s="10" t="n">
        <f aca="false">IF($B24="","",SUMIF(Activities!$B$2:$B$201,$B24,Activities!$K$2:$K$201))</f>
        <v>0</v>
      </c>
      <c r="L24" s="9" t="str">
        <f aca="false">IF(Setup!$E$16="","",Setup!$E$16)</f>
        <v/>
      </c>
      <c r="M24" s="10" t="str">
        <f aca="false">IF($L24="","",COUNTIF(Students!$C$2:$C$301,$L24))</f>
        <v/>
      </c>
      <c r="N24" s="10" t="str">
        <f aca="false">IF($L24="","",COUNTIFS(Students!$C$2:$C$301,$L24,Students!$F$2:$F$301,"&gt;0"))</f>
        <v/>
      </c>
      <c r="O24" s="10" t="str">
        <f aca="false">IF($L24="","",M24-N24)</f>
        <v/>
      </c>
      <c r="P24" s="10" t="str">
        <f aca="false">IF($L24="","",SUMIF(Students!$C$2:$C$301,$L24,Students!$F$2:$F$301))</f>
        <v/>
      </c>
    </row>
    <row r="25" customFormat="false" ht="15" hidden="false" customHeight="false" outlineLevel="0" collapsed="false">
      <c r="B25" s="9" t="str">
        <f aca="false">IF(Setup!$A$8="","",Setup!$A$8)</f>
        <v>Camp</v>
      </c>
      <c r="C25" s="10" t="n">
        <f aca="false">IF($B25="","",COUNTIF(Activities!$B$2:$B$201,$B25))</f>
        <v>0</v>
      </c>
      <c r="D25" s="10" t="n">
        <f aca="false">IF($B25="","",COUNTIFS(Deployments!$H$2:$H$1001,$B25,Deployments!$D$2:$D$1001,"&lt;&gt;Withdrawn"))</f>
        <v>0</v>
      </c>
      <c r="E25" s="12" t="n">
        <f aca="false">IF($B25="","",SUMIF(Deployments!$H$2:$H$1001,$B25,Deployments!$K$2:$K$1001))</f>
        <v>0</v>
      </c>
      <c r="F25" s="10" t="n">
        <f aca="false">IF($B25="","",SUMIF(Activities!$B$2:$B$201,$B25,Activities!$K$2:$K$201))</f>
        <v>0</v>
      </c>
    </row>
    <row r="26" customFormat="false" ht="15" hidden="false" customHeight="false" outlineLevel="0" collapsed="false">
      <c r="B26" s="9" t="str">
        <f aca="false">IF(Setup!$A$9="","",Setup!$A$9)</f>
        <v>External</v>
      </c>
      <c r="C26" s="10" t="n">
        <f aca="false">IF($B26="","",COUNTIF(Activities!$B$2:$B$201,$B26))</f>
        <v>0</v>
      </c>
      <c r="D26" s="10" t="n">
        <f aca="false">IF($B26="","",COUNTIFS(Deployments!$H$2:$H$1001,$B26,Deployments!$D$2:$D$1001,"&lt;&gt;Withdrawn"))</f>
        <v>0</v>
      </c>
      <c r="E26" s="12" t="n">
        <f aca="false">IF($B26="","",SUMIF(Deployments!$H$2:$H$1001,$B26,Deployments!$K$2:$K$1001))</f>
        <v>0</v>
      </c>
      <c r="F26" s="10" t="n">
        <f aca="false">IF($B26="","",SUMIF(Activities!$B$2:$B$201,$B26,Activities!$K$2:$K$201))</f>
        <v>0</v>
      </c>
    </row>
    <row r="28" customFormat="false" ht="15" hidden="false" customHeight="false" outlineLevel="0" collapsed="false">
      <c r="B28" s="6" t="s">
        <v>28</v>
      </c>
    </row>
    <row r="46" customFormat="false" ht="15" hidden="false" customHeight="false" outlineLevel="0" collapsed="false">
      <c r="B46" s="6" t="s">
        <v>29</v>
      </c>
      <c r="L46" s="6" t="s">
        <v>30</v>
      </c>
    </row>
    <row r="47" customFormat="false" ht="25.5" hidden="false" customHeight="true" outlineLevel="0" collapsed="false">
      <c r="B47" s="7" t="s">
        <v>31</v>
      </c>
      <c r="C47" s="8" t="s">
        <v>14</v>
      </c>
      <c r="D47" s="8" t="s">
        <v>17</v>
      </c>
      <c r="E47" s="8" t="s">
        <v>26</v>
      </c>
      <c r="F47" s="8" t="s">
        <v>32</v>
      </c>
      <c r="L47" s="7" t="s">
        <v>31</v>
      </c>
      <c r="M47" s="8" t="s">
        <v>14</v>
      </c>
      <c r="N47" s="13" t="s">
        <v>33</v>
      </c>
      <c r="O47" s="13"/>
      <c r="P47" s="13"/>
    </row>
    <row r="48" customFormat="false" ht="15" hidden="false" customHeight="false" outlineLevel="0" collapsed="false">
      <c r="B48" s="9" t="str">
        <f aca="false">IFERROR(INDEX(Students!$A$2:$A$301,MATCH(LARGE(Students!$J$2:$J$301,1),Students!$J$2:$J$301,0)),"")</f>
        <v>Tan Wei Ling</v>
      </c>
      <c r="C48" s="14" t="str">
        <f aca="false">IF($B48="","",INDEX(Students!$C$2:$C$301,MATCH(LARGE(Students!$J$2:$J$301,1),Students!$J$2:$J$301,0)))</f>
        <v>303</v>
      </c>
      <c r="D48" s="10" t="n">
        <f aca="false">IF($B48="","",INDEX(Students!$F$2:$F$301,MATCH(LARGE(Students!$J$2:$J$301,1),Students!$J$2:$J$301,0)))</f>
        <v>1</v>
      </c>
      <c r="E48" s="12" t="n">
        <f aca="false">IF($B48="","",INDEX(Students!$G$2:$G$301,MATCH(LARGE(Students!$J$2:$J$301,1),Students!$J$2:$J$301,0)))</f>
        <v>3.5</v>
      </c>
      <c r="F48" s="15" t="n">
        <f aca="false">IF($B48="","",INDEX(Students!$H$2:$H$301,MATCH(LARGE(Students!$J$2:$J$301,1),Students!$J$2:$J$301,0)))</f>
        <v>46311</v>
      </c>
      <c r="L48" s="9" t="str">
        <f aca="false">IFERROR(INDEX(Students!$A$2:$A$301,MATCH(1,Students!$K$2:$K$301,0)),"")</f>
        <v/>
      </c>
      <c r="M48" s="14" t="str">
        <f aca="false">IF($L48="","",INDEX(Students!$C$2:$C$301,MATCH(1,Students!$K$2:$K$301,0)))</f>
        <v/>
      </c>
      <c r="N48" s="9" t="str">
        <f aca="false">IF($L48="","",INDEX(Students!$D$2:$D$301,MATCH(1,Students!$K$2:$K$301,0)))</f>
        <v/>
      </c>
      <c r="O48" s="9"/>
      <c r="P48" s="9"/>
    </row>
    <row r="49" customFormat="false" ht="15" hidden="false" customHeight="false" outlineLevel="0" collapsed="false">
      <c r="B49" s="9" t="str">
        <f aca="false">IFERROR(INDEX(Students!$A$2:$A$301,MATCH(LARGE(Students!$J$2:$J$301,2),Students!$J$2:$J$301,0)),"")</f>
        <v/>
      </c>
      <c r="C49" s="14" t="str">
        <f aca="false">IF($B49="","",INDEX(Students!$C$2:$C$301,MATCH(LARGE(Students!$J$2:$J$301,2),Students!$J$2:$J$301,0)))</f>
        <v/>
      </c>
      <c r="D49" s="10" t="str">
        <f aca="false">IF($B49="","",INDEX(Students!$F$2:$F$301,MATCH(LARGE(Students!$J$2:$J$301,2),Students!$J$2:$J$301,0)))</f>
        <v/>
      </c>
      <c r="E49" s="12" t="str">
        <f aca="false">IF($B49="","",INDEX(Students!$G$2:$G$301,MATCH(LARGE(Students!$J$2:$J$301,2),Students!$J$2:$J$301,0)))</f>
        <v/>
      </c>
      <c r="F49" s="15" t="str">
        <f aca="false">IF($B49="","",INDEX(Students!$H$2:$H$301,MATCH(LARGE(Students!$J$2:$J$301,2),Students!$J$2:$J$301,0)))</f>
        <v/>
      </c>
      <c r="L49" s="9" t="str">
        <f aca="false">IFERROR(INDEX(Students!$A$2:$A$301,MATCH(2,Students!$K$2:$K$301,0)),"")</f>
        <v/>
      </c>
      <c r="M49" s="14" t="str">
        <f aca="false">IF($L49="","",INDEX(Students!$C$2:$C$301,MATCH(2,Students!$K$2:$K$301,0)))</f>
        <v/>
      </c>
      <c r="N49" s="9" t="str">
        <f aca="false">IF($L49="","",INDEX(Students!$D$2:$D$301,MATCH(2,Students!$K$2:$K$301,0)))</f>
        <v/>
      </c>
      <c r="O49" s="9"/>
      <c r="P49" s="9"/>
    </row>
    <row r="50" customFormat="false" ht="15" hidden="false" customHeight="false" outlineLevel="0" collapsed="false">
      <c r="B50" s="9" t="str">
        <f aca="false">IFERROR(INDEX(Students!$A$2:$A$301,MATCH(LARGE(Students!$J$2:$J$301,3),Students!$J$2:$J$301,0)),"")</f>
        <v/>
      </c>
      <c r="C50" s="14" t="str">
        <f aca="false">IF($B50="","",INDEX(Students!$C$2:$C$301,MATCH(LARGE(Students!$J$2:$J$301,3),Students!$J$2:$J$301,0)))</f>
        <v/>
      </c>
      <c r="D50" s="10" t="str">
        <f aca="false">IF($B50="","",INDEX(Students!$F$2:$F$301,MATCH(LARGE(Students!$J$2:$J$301,3),Students!$J$2:$J$301,0)))</f>
        <v/>
      </c>
      <c r="E50" s="12" t="str">
        <f aca="false">IF($B50="","",INDEX(Students!$G$2:$G$301,MATCH(LARGE(Students!$J$2:$J$301,3),Students!$J$2:$J$301,0)))</f>
        <v/>
      </c>
      <c r="F50" s="15" t="str">
        <f aca="false">IF($B50="","",INDEX(Students!$H$2:$H$301,MATCH(LARGE(Students!$J$2:$J$301,3),Students!$J$2:$J$301,0)))</f>
        <v/>
      </c>
      <c r="L50" s="9" t="str">
        <f aca="false">IFERROR(INDEX(Students!$A$2:$A$301,MATCH(3,Students!$K$2:$K$301,0)),"")</f>
        <v/>
      </c>
      <c r="M50" s="14" t="str">
        <f aca="false">IF($L50="","",INDEX(Students!$C$2:$C$301,MATCH(3,Students!$K$2:$K$301,0)))</f>
        <v/>
      </c>
      <c r="N50" s="9" t="str">
        <f aca="false">IF($L50="","",INDEX(Students!$D$2:$D$301,MATCH(3,Students!$K$2:$K$301,0)))</f>
        <v/>
      </c>
      <c r="O50" s="9"/>
      <c r="P50" s="9"/>
    </row>
    <row r="51" customFormat="false" ht="15" hidden="false" customHeight="false" outlineLevel="0" collapsed="false">
      <c r="B51" s="9" t="str">
        <f aca="false">IFERROR(INDEX(Students!$A$2:$A$301,MATCH(LARGE(Students!$J$2:$J$301,4),Students!$J$2:$J$301,0)),"")</f>
        <v/>
      </c>
      <c r="C51" s="14" t="str">
        <f aca="false">IF($B51="","",INDEX(Students!$C$2:$C$301,MATCH(LARGE(Students!$J$2:$J$301,4),Students!$J$2:$J$301,0)))</f>
        <v/>
      </c>
      <c r="D51" s="10" t="str">
        <f aca="false">IF($B51="","",INDEX(Students!$F$2:$F$301,MATCH(LARGE(Students!$J$2:$J$301,4),Students!$J$2:$J$301,0)))</f>
        <v/>
      </c>
      <c r="E51" s="12" t="str">
        <f aca="false">IF($B51="","",INDEX(Students!$G$2:$G$301,MATCH(LARGE(Students!$J$2:$J$301,4),Students!$J$2:$J$301,0)))</f>
        <v/>
      </c>
      <c r="F51" s="15" t="str">
        <f aca="false">IF($B51="","",INDEX(Students!$H$2:$H$301,MATCH(LARGE(Students!$J$2:$J$301,4),Students!$J$2:$J$301,0)))</f>
        <v/>
      </c>
      <c r="L51" s="9" t="str">
        <f aca="false">IFERROR(INDEX(Students!$A$2:$A$301,MATCH(4,Students!$K$2:$K$301,0)),"")</f>
        <v/>
      </c>
      <c r="M51" s="14" t="str">
        <f aca="false">IF($L51="","",INDEX(Students!$C$2:$C$301,MATCH(4,Students!$K$2:$K$301,0)))</f>
        <v/>
      </c>
      <c r="N51" s="9" t="str">
        <f aca="false">IF($L51="","",INDEX(Students!$D$2:$D$301,MATCH(4,Students!$K$2:$K$301,0)))</f>
        <v/>
      </c>
      <c r="O51" s="9"/>
      <c r="P51" s="9"/>
    </row>
    <row r="52" customFormat="false" ht="15" hidden="false" customHeight="false" outlineLevel="0" collapsed="false">
      <c r="B52" s="9" t="str">
        <f aca="false">IFERROR(INDEX(Students!$A$2:$A$301,MATCH(LARGE(Students!$J$2:$J$301,5),Students!$J$2:$J$301,0)),"")</f>
        <v/>
      </c>
      <c r="C52" s="14" t="str">
        <f aca="false">IF($B52="","",INDEX(Students!$C$2:$C$301,MATCH(LARGE(Students!$J$2:$J$301,5),Students!$J$2:$J$301,0)))</f>
        <v/>
      </c>
      <c r="D52" s="10" t="str">
        <f aca="false">IF($B52="","",INDEX(Students!$F$2:$F$301,MATCH(LARGE(Students!$J$2:$J$301,5),Students!$J$2:$J$301,0)))</f>
        <v/>
      </c>
      <c r="E52" s="12" t="str">
        <f aca="false">IF($B52="","",INDEX(Students!$G$2:$G$301,MATCH(LARGE(Students!$J$2:$J$301,5),Students!$J$2:$J$301,0)))</f>
        <v/>
      </c>
      <c r="F52" s="15" t="str">
        <f aca="false">IF($B52="","",INDEX(Students!$H$2:$H$301,MATCH(LARGE(Students!$J$2:$J$301,5),Students!$J$2:$J$301,0)))</f>
        <v/>
      </c>
      <c r="L52" s="9" t="str">
        <f aca="false">IFERROR(INDEX(Students!$A$2:$A$301,MATCH(5,Students!$K$2:$K$301,0)),"")</f>
        <v/>
      </c>
      <c r="M52" s="14" t="str">
        <f aca="false">IF($L52="","",INDEX(Students!$C$2:$C$301,MATCH(5,Students!$K$2:$K$301,0)))</f>
        <v/>
      </c>
      <c r="N52" s="9" t="str">
        <f aca="false">IF($L52="","",INDEX(Students!$D$2:$D$301,MATCH(5,Students!$K$2:$K$301,0)))</f>
        <v/>
      </c>
      <c r="O52" s="9"/>
      <c r="P52" s="9"/>
    </row>
    <row r="53" customFormat="false" ht="15" hidden="false" customHeight="false" outlineLevel="0" collapsed="false">
      <c r="B53" s="9" t="str">
        <f aca="false">IFERROR(INDEX(Students!$A$2:$A$301,MATCH(LARGE(Students!$J$2:$J$301,6),Students!$J$2:$J$301,0)),"")</f>
        <v/>
      </c>
      <c r="C53" s="14" t="str">
        <f aca="false">IF($B53="","",INDEX(Students!$C$2:$C$301,MATCH(LARGE(Students!$J$2:$J$301,6),Students!$J$2:$J$301,0)))</f>
        <v/>
      </c>
      <c r="D53" s="10" t="str">
        <f aca="false">IF($B53="","",INDEX(Students!$F$2:$F$301,MATCH(LARGE(Students!$J$2:$J$301,6),Students!$J$2:$J$301,0)))</f>
        <v/>
      </c>
      <c r="E53" s="12" t="str">
        <f aca="false">IF($B53="","",INDEX(Students!$G$2:$G$301,MATCH(LARGE(Students!$J$2:$J$301,6),Students!$J$2:$J$301,0)))</f>
        <v/>
      </c>
      <c r="F53" s="15" t="str">
        <f aca="false">IF($B53="","",INDEX(Students!$H$2:$H$301,MATCH(LARGE(Students!$J$2:$J$301,6),Students!$J$2:$J$301,0)))</f>
        <v/>
      </c>
      <c r="L53" s="9" t="str">
        <f aca="false">IFERROR(INDEX(Students!$A$2:$A$301,MATCH(6,Students!$K$2:$K$301,0)),"")</f>
        <v/>
      </c>
      <c r="M53" s="14" t="str">
        <f aca="false">IF($L53="","",INDEX(Students!$C$2:$C$301,MATCH(6,Students!$K$2:$K$301,0)))</f>
        <v/>
      </c>
      <c r="N53" s="9" t="str">
        <f aca="false">IF($L53="","",INDEX(Students!$D$2:$D$301,MATCH(6,Students!$K$2:$K$301,0)))</f>
        <v/>
      </c>
      <c r="O53" s="9"/>
      <c r="P53" s="9"/>
    </row>
    <row r="54" customFormat="false" ht="15" hidden="false" customHeight="false" outlineLevel="0" collapsed="false">
      <c r="B54" s="9" t="str">
        <f aca="false">IFERROR(INDEX(Students!$A$2:$A$301,MATCH(LARGE(Students!$J$2:$J$301,7),Students!$J$2:$J$301,0)),"")</f>
        <v/>
      </c>
      <c r="C54" s="14" t="str">
        <f aca="false">IF($B54="","",INDEX(Students!$C$2:$C$301,MATCH(LARGE(Students!$J$2:$J$301,7),Students!$J$2:$J$301,0)))</f>
        <v/>
      </c>
      <c r="D54" s="10" t="str">
        <f aca="false">IF($B54="","",INDEX(Students!$F$2:$F$301,MATCH(LARGE(Students!$J$2:$J$301,7),Students!$J$2:$J$301,0)))</f>
        <v/>
      </c>
      <c r="E54" s="12" t="str">
        <f aca="false">IF($B54="","",INDEX(Students!$G$2:$G$301,MATCH(LARGE(Students!$J$2:$J$301,7),Students!$J$2:$J$301,0)))</f>
        <v/>
      </c>
      <c r="F54" s="15" t="str">
        <f aca="false">IF($B54="","",INDEX(Students!$H$2:$H$301,MATCH(LARGE(Students!$J$2:$J$301,7),Students!$J$2:$J$301,0)))</f>
        <v/>
      </c>
      <c r="L54" s="9" t="str">
        <f aca="false">IFERROR(INDEX(Students!$A$2:$A$301,MATCH(7,Students!$K$2:$K$301,0)),"")</f>
        <v/>
      </c>
      <c r="M54" s="14" t="str">
        <f aca="false">IF($L54="","",INDEX(Students!$C$2:$C$301,MATCH(7,Students!$K$2:$K$301,0)))</f>
        <v/>
      </c>
      <c r="N54" s="9" t="str">
        <f aca="false">IF($L54="","",INDEX(Students!$D$2:$D$301,MATCH(7,Students!$K$2:$K$301,0)))</f>
        <v/>
      </c>
      <c r="O54" s="9"/>
      <c r="P54" s="9"/>
    </row>
    <row r="55" customFormat="false" ht="15" hidden="false" customHeight="false" outlineLevel="0" collapsed="false">
      <c r="B55" s="9" t="str">
        <f aca="false">IFERROR(INDEX(Students!$A$2:$A$301,MATCH(LARGE(Students!$J$2:$J$301,8),Students!$J$2:$J$301,0)),"")</f>
        <v/>
      </c>
      <c r="C55" s="14" t="str">
        <f aca="false">IF($B55="","",INDEX(Students!$C$2:$C$301,MATCH(LARGE(Students!$J$2:$J$301,8),Students!$J$2:$J$301,0)))</f>
        <v/>
      </c>
      <c r="D55" s="10" t="str">
        <f aca="false">IF($B55="","",INDEX(Students!$F$2:$F$301,MATCH(LARGE(Students!$J$2:$J$301,8),Students!$J$2:$J$301,0)))</f>
        <v/>
      </c>
      <c r="E55" s="12" t="str">
        <f aca="false">IF($B55="","",INDEX(Students!$G$2:$G$301,MATCH(LARGE(Students!$J$2:$J$301,8),Students!$J$2:$J$301,0)))</f>
        <v/>
      </c>
      <c r="F55" s="15" t="str">
        <f aca="false">IF($B55="","",INDEX(Students!$H$2:$H$301,MATCH(LARGE(Students!$J$2:$J$301,8),Students!$J$2:$J$301,0)))</f>
        <v/>
      </c>
      <c r="L55" s="9" t="str">
        <f aca="false">IFERROR(INDEX(Students!$A$2:$A$301,MATCH(8,Students!$K$2:$K$301,0)),"")</f>
        <v/>
      </c>
      <c r="M55" s="14" t="str">
        <f aca="false">IF($L55="","",INDEX(Students!$C$2:$C$301,MATCH(8,Students!$K$2:$K$301,0)))</f>
        <v/>
      </c>
      <c r="N55" s="9" t="str">
        <f aca="false">IF($L55="","",INDEX(Students!$D$2:$D$301,MATCH(8,Students!$K$2:$K$301,0)))</f>
        <v/>
      </c>
      <c r="O55" s="9"/>
      <c r="P55" s="9"/>
    </row>
    <row r="56" customFormat="false" ht="15" hidden="false" customHeight="false" outlineLevel="0" collapsed="false">
      <c r="B56" s="9" t="str">
        <f aca="false">IFERROR(INDEX(Students!$A$2:$A$301,MATCH(LARGE(Students!$J$2:$J$301,9),Students!$J$2:$J$301,0)),"")</f>
        <v/>
      </c>
      <c r="C56" s="14" t="str">
        <f aca="false">IF($B56="","",INDEX(Students!$C$2:$C$301,MATCH(LARGE(Students!$J$2:$J$301,9),Students!$J$2:$J$301,0)))</f>
        <v/>
      </c>
      <c r="D56" s="10" t="str">
        <f aca="false">IF($B56="","",INDEX(Students!$F$2:$F$301,MATCH(LARGE(Students!$J$2:$J$301,9),Students!$J$2:$J$301,0)))</f>
        <v/>
      </c>
      <c r="E56" s="12" t="str">
        <f aca="false">IF($B56="","",INDEX(Students!$G$2:$G$301,MATCH(LARGE(Students!$J$2:$J$301,9),Students!$J$2:$J$301,0)))</f>
        <v/>
      </c>
      <c r="F56" s="15" t="str">
        <f aca="false">IF($B56="","",INDEX(Students!$H$2:$H$301,MATCH(LARGE(Students!$J$2:$J$301,9),Students!$J$2:$J$301,0)))</f>
        <v/>
      </c>
      <c r="L56" s="9" t="str">
        <f aca="false">IFERROR(INDEX(Students!$A$2:$A$301,MATCH(9,Students!$K$2:$K$301,0)),"")</f>
        <v/>
      </c>
      <c r="M56" s="14" t="str">
        <f aca="false">IF($L56="","",INDEX(Students!$C$2:$C$301,MATCH(9,Students!$K$2:$K$301,0)))</f>
        <v/>
      </c>
      <c r="N56" s="9" t="str">
        <f aca="false">IF($L56="","",INDEX(Students!$D$2:$D$301,MATCH(9,Students!$K$2:$K$301,0)))</f>
        <v/>
      </c>
      <c r="O56" s="9"/>
      <c r="P56" s="9"/>
    </row>
    <row r="57" customFormat="false" ht="15" hidden="false" customHeight="false" outlineLevel="0" collapsed="false">
      <c r="B57" s="9" t="str">
        <f aca="false">IFERROR(INDEX(Students!$A$2:$A$301,MATCH(LARGE(Students!$J$2:$J$301,10),Students!$J$2:$J$301,0)),"")</f>
        <v/>
      </c>
      <c r="C57" s="14" t="str">
        <f aca="false">IF($B57="","",INDEX(Students!$C$2:$C$301,MATCH(LARGE(Students!$J$2:$J$301,10),Students!$J$2:$J$301,0)))</f>
        <v/>
      </c>
      <c r="D57" s="10" t="str">
        <f aca="false">IF($B57="","",INDEX(Students!$F$2:$F$301,MATCH(LARGE(Students!$J$2:$J$301,10),Students!$J$2:$J$301,0)))</f>
        <v/>
      </c>
      <c r="E57" s="12" t="str">
        <f aca="false">IF($B57="","",INDEX(Students!$G$2:$G$301,MATCH(LARGE(Students!$J$2:$J$301,10),Students!$J$2:$J$301,0)))</f>
        <v/>
      </c>
      <c r="F57" s="15" t="str">
        <f aca="false">IF($B57="","",INDEX(Students!$H$2:$H$301,MATCH(LARGE(Students!$J$2:$J$301,10),Students!$J$2:$J$301,0)))</f>
        <v/>
      </c>
      <c r="L57" s="9" t="str">
        <f aca="false">IFERROR(INDEX(Students!$A$2:$A$301,MATCH(10,Students!$K$2:$K$301,0)),"")</f>
        <v/>
      </c>
      <c r="M57" s="14" t="str">
        <f aca="false">IF($L57="","",INDEX(Students!$C$2:$C$301,MATCH(10,Students!$K$2:$K$301,0)))</f>
        <v/>
      </c>
      <c r="N57" s="9" t="str">
        <f aca="false">IF($L57="","",INDEX(Students!$D$2:$D$301,MATCH(10,Students!$K$2:$K$301,0)))</f>
        <v/>
      </c>
      <c r="O57" s="9"/>
      <c r="P57" s="9"/>
    </row>
    <row r="58" customFormat="false" ht="15" hidden="false" customHeight="false" outlineLevel="0" collapsed="false">
      <c r="L58" s="9" t="str">
        <f aca="false">IFERROR(INDEX(Students!$A$2:$A$301,MATCH(11,Students!$K$2:$K$301,0)),"")</f>
        <v/>
      </c>
      <c r="M58" s="14" t="str">
        <f aca="false">IF($L58="","",INDEX(Students!$C$2:$C$301,MATCH(11,Students!$K$2:$K$301,0)))</f>
        <v/>
      </c>
      <c r="N58" s="9" t="str">
        <f aca="false">IF($L58="","",INDEX(Students!$D$2:$D$301,MATCH(11,Students!$K$2:$K$301,0)))</f>
        <v/>
      </c>
      <c r="O58" s="9"/>
      <c r="P58" s="9"/>
    </row>
    <row r="59" customFormat="false" ht="15" hidden="false" customHeight="false" outlineLevel="0" collapsed="false">
      <c r="L59" s="9" t="str">
        <f aca="false">IFERROR(INDEX(Students!$A$2:$A$301,MATCH(12,Students!$K$2:$K$301,0)),"")</f>
        <v/>
      </c>
      <c r="M59" s="14" t="str">
        <f aca="false">IF($L59="","",INDEX(Students!$C$2:$C$301,MATCH(12,Students!$K$2:$K$301,0)))</f>
        <v/>
      </c>
      <c r="N59" s="9" t="str">
        <f aca="false">IF($L59="","",INDEX(Students!$D$2:$D$301,MATCH(12,Students!$K$2:$K$301,0)))</f>
        <v/>
      </c>
      <c r="O59" s="9"/>
      <c r="P59" s="9"/>
    </row>
    <row r="60" customFormat="false" ht="15" hidden="false" customHeight="false" outlineLevel="0" collapsed="false">
      <c r="L60" s="9" t="str">
        <f aca="false">IFERROR(INDEX(Students!$A$2:$A$301,MATCH(13,Students!$K$2:$K$301,0)),"")</f>
        <v/>
      </c>
      <c r="M60" s="14" t="str">
        <f aca="false">IF($L60="","",INDEX(Students!$C$2:$C$301,MATCH(13,Students!$K$2:$K$301,0)))</f>
        <v/>
      </c>
      <c r="N60" s="9" t="str">
        <f aca="false">IF($L60="","",INDEX(Students!$D$2:$D$301,MATCH(13,Students!$K$2:$K$301,0)))</f>
        <v/>
      </c>
      <c r="O60" s="9"/>
      <c r="P60" s="9"/>
    </row>
    <row r="61" customFormat="false" ht="15" hidden="false" customHeight="false" outlineLevel="0" collapsed="false">
      <c r="L61" s="9" t="str">
        <f aca="false">IFERROR(INDEX(Students!$A$2:$A$301,MATCH(14,Students!$K$2:$K$301,0)),"")</f>
        <v/>
      </c>
      <c r="M61" s="14" t="str">
        <f aca="false">IF($L61="","",INDEX(Students!$C$2:$C$301,MATCH(14,Students!$K$2:$K$301,0)))</f>
        <v/>
      </c>
      <c r="N61" s="9" t="str">
        <f aca="false">IF($L61="","",INDEX(Students!$D$2:$D$301,MATCH(14,Students!$K$2:$K$301,0)))</f>
        <v/>
      </c>
      <c r="O61" s="9"/>
      <c r="P61" s="9"/>
    </row>
    <row r="62" customFormat="false" ht="15" hidden="false" customHeight="false" outlineLevel="0" collapsed="false">
      <c r="L62" s="9" t="str">
        <f aca="false">IFERROR(INDEX(Students!$A$2:$A$301,MATCH(15,Students!$K$2:$K$301,0)),"")</f>
        <v/>
      </c>
      <c r="M62" s="14" t="str">
        <f aca="false">IF($L62="","",INDEX(Students!$C$2:$C$301,MATCH(15,Students!$K$2:$K$301,0)))</f>
        <v/>
      </c>
      <c r="N62" s="9" t="str">
        <f aca="false">IF($L62="","",INDEX(Students!$D$2:$D$301,MATCH(15,Students!$K$2:$K$301,0)))</f>
        <v/>
      </c>
      <c r="O62" s="9"/>
      <c r="P62" s="9"/>
    </row>
    <row r="63" customFormat="false" ht="15" hidden="false" customHeight="false" outlineLevel="0" collapsed="false">
      <c r="L63" s="16" t="str">
        <f aca="false">IF(E5&gt;15,"+ "&amp;(E5-15)&amp;" more — filter Students › Load Status","")</f>
        <v/>
      </c>
    </row>
    <row r="66" customFormat="false" ht="15" hidden="false" customHeight="false" outlineLevel="0" collapsed="false">
      <c r="B66" s="6" t="s">
        <v>34</v>
      </c>
      <c r="F66" s="2" t="str">
        <f aca="false">IF(I5&gt;50,"Showing first 50 of "&amp;I5&amp;" activities","")</f>
        <v/>
      </c>
    </row>
    <row r="67" customFormat="false" ht="25.5" hidden="false" customHeight="true" outlineLevel="0" collapsed="false">
      <c r="B67" s="7" t="s">
        <v>35</v>
      </c>
      <c r="C67" s="8" t="s">
        <v>24</v>
      </c>
      <c r="D67" s="8" t="s">
        <v>36</v>
      </c>
      <c r="E67" s="8" t="s">
        <v>37</v>
      </c>
      <c r="F67" s="8" t="s">
        <v>38</v>
      </c>
      <c r="G67" s="8" t="s">
        <v>39</v>
      </c>
      <c r="H67" s="8" t="s">
        <v>40</v>
      </c>
      <c r="I67" s="8" t="s">
        <v>41</v>
      </c>
      <c r="J67" s="8" t="s">
        <v>42</v>
      </c>
    </row>
    <row r="68" customFormat="false" ht="15" hidden="false" customHeight="false" outlineLevel="0" collapsed="false">
      <c r="B68" s="9" t="str">
        <f aca="false">IF($R68="","",IF(INDEX(Activities!$A$2:$A$201,$R68)="","",INDEX(Activities!$A$2:$A$201,$R68)))</f>
        <v>Speech Day &amp; Prize Giving</v>
      </c>
      <c r="C68" s="9" t="str">
        <f aca="false">IF($R68="","",IF(INDEX(Activities!$B$2:$B$201,$R68)="","",INDEX(Activities!$B$2:$B$201,$R68)))</f>
        <v>Ceremony</v>
      </c>
      <c r="D68" s="17" t="n">
        <f aca="false">IF($R68="","",IF(INDEX(Activities!$C$2:$C$201,$R68)="","",INDEX(Activities!$C$2:$C$201,$R68)))</f>
        <v>46311</v>
      </c>
      <c r="E68" s="14" t="str">
        <f aca="false">IF($R68="","",IF(INDEX(Activities!$N$2:$N$201,$R68)="","",INDEX(Activities!$N$2:$N$201,$R68)))</f>
        <v>Past</v>
      </c>
      <c r="F68" s="10" t="n">
        <f aca="false">IF($R68="","",IF(INDEX(Activities!$H$2:$H$201,$R68)="","",INDEX(Activities!$H$2:$H$201,$R68)))</f>
        <v>12</v>
      </c>
      <c r="G68" s="10" t="n">
        <f aca="false">IF($R68="","",IF(INDEX(Activities!$J$2:$J$201,$R68)="","",INDEX(Activities!$J$2:$J$201,$R68)))</f>
        <v>1</v>
      </c>
      <c r="H68" s="10" t="n">
        <f aca="false">IF($R68="","",IF(INDEX(Activities!$K$2:$K$201,$R68)="","",INDEX(Activities!$K$2:$K$201,$R68)))</f>
        <v>11</v>
      </c>
      <c r="I68" s="11" t="n">
        <f aca="false">IF($R68="","",IF(INDEX(Activities!$L$2:$L$201,$R68)="","",INDEX(Activities!$L$2:$L$201,$R68)))</f>
        <v>0.0833333333333333</v>
      </c>
      <c r="J68" s="14" t="str">
        <f aca="false">IF($R68="","",IF(INDEX(Activities!$M$2:$M$201,$R68)="","",INDEX(Activities!$M$2:$M$201,$R68)))</f>
        <v>Short</v>
      </c>
      <c r="R68" s="18" t="n">
        <f aca="false">IFERROR(MATCH(SMALL(Activities!$O$2:$O$201,1),Activities!$O$2:$O$201,0),"")</f>
        <v>1</v>
      </c>
    </row>
    <row r="69" customFormat="false" ht="15" hidden="false" customHeight="false" outlineLevel="0" collapsed="false">
      <c r="B69" s="9" t="str">
        <f aca="false">IF($R69="","",IF(INDEX(Activities!$A$2:$A$201,$R69)="","",INDEX(Activities!$A$2:$A$201,$R69)))</f>
        <v/>
      </c>
      <c r="C69" s="9" t="str">
        <f aca="false">IF($R69="","",IF(INDEX(Activities!$B$2:$B$201,$R69)="","",INDEX(Activities!$B$2:$B$201,$R69)))</f>
        <v/>
      </c>
      <c r="D69" s="17" t="str">
        <f aca="false">IF($R69="","",IF(INDEX(Activities!$C$2:$C$201,$R69)="","",INDEX(Activities!$C$2:$C$201,$R69)))</f>
        <v/>
      </c>
      <c r="E69" s="14" t="str">
        <f aca="false">IF($R69="","",IF(INDEX(Activities!$N$2:$N$201,$R69)="","",INDEX(Activities!$N$2:$N$201,$R69)))</f>
        <v/>
      </c>
      <c r="F69" s="10" t="str">
        <f aca="false">IF($R69="","",IF(INDEX(Activities!$H$2:$H$201,$R69)="","",INDEX(Activities!$H$2:$H$201,$R69)))</f>
        <v/>
      </c>
      <c r="G69" s="10" t="str">
        <f aca="false">IF($R69="","",IF(INDEX(Activities!$J$2:$J$201,$R69)="","",INDEX(Activities!$J$2:$J$201,$R69)))</f>
        <v/>
      </c>
      <c r="H69" s="10" t="str">
        <f aca="false">IF($R69="","",IF(INDEX(Activities!$K$2:$K$201,$R69)="","",INDEX(Activities!$K$2:$K$201,$R69)))</f>
        <v/>
      </c>
      <c r="I69" s="11" t="str">
        <f aca="false">IF($R69="","",IF(INDEX(Activities!$L$2:$L$201,$R69)="","",INDEX(Activities!$L$2:$L$201,$R69)))</f>
        <v/>
      </c>
      <c r="J69" s="14" t="str">
        <f aca="false">IF($R69="","",IF(INDEX(Activities!$M$2:$M$201,$R69)="","",INDEX(Activities!$M$2:$M$201,$R69)))</f>
        <v/>
      </c>
      <c r="R69" s="0" t="str">
        <f aca="false">IFERROR(MATCH(SMALL(Activities!$O$2:$O$201,2),Activities!$O$2:$O$201,0),"")</f>
        <v/>
      </c>
    </row>
    <row r="70" customFormat="false" ht="15" hidden="false" customHeight="false" outlineLevel="0" collapsed="false">
      <c r="B70" s="9" t="str">
        <f aca="false">IF($R70="","",IF(INDEX(Activities!$A$2:$A$201,$R70)="","",INDEX(Activities!$A$2:$A$201,$R70)))</f>
        <v/>
      </c>
      <c r="C70" s="9" t="str">
        <f aca="false">IF($R70="","",IF(INDEX(Activities!$B$2:$B$201,$R70)="","",INDEX(Activities!$B$2:$B$201,$R70)))</f>
        <v/>
      </c>
      <c r="D70" s="17" t="str">
        <f aca="false">IF($R70="","",IF(INDEX(Activities!$C$2:$C$201,$R70)="","",INDEX(Activities!$C$2:$C$201,$R70)))</f>
        <v/>
      </c>
      <c r="E70" s="14" t="str">
        <f aca="false">IF($R70="","",IF(INDEX(Activities!$N$2:$N$201,$R70)="","",INDEX(Activities!$N$2:$N$201,$R70)))</f>
        <v/>
      </c>
      <c r="F70" s="10" t="str">
        <f aca="false">IF($R70="","",IF(INDEX(Activities!$H$2:$H$201,$R70)="","",INDEX(Activities!$H$2:$H$201,$R70)))</f>
        <v/>
      </c>
      <c r="G70" s="10" t="str">
        <f aca="false">IF($R70="","",IF(INDEX(Activities!$J$2:$J$201,$R70)="","",INDEX(Activities!$J$2:$J$201,$R70)))</f>
        <v/>
      </c>
      <c r="H70" s="10" t="str">
        <f aca="false">IF($R70="","",IF(INDEX(Activities!$K$2:$K$201,$R70)="","",INDEX(Activities!$K$2:$K$201,$R70)))</f>
        <v/>
      </c>
      <c r="I70" s="11" t="str">
        <f aca="false">IF($R70="","",IF(INDEX(Activities!$L$2:$L$201,$R70)="","",INDEX(Activities!$L$2:$L$201,$R70)))</f>
        <v/>
      </c>
      <c r="J70" s="14" t="str">
        <f aca="false">IF($R70="","",IF(INDEX(Activities!$M$2:$M$201,$R70)="","",INDEX(Activities!$M$2:$M$201,$R70)))</f>
        <v/>
      </c>
      <c r="R70" s="0" t="str">
        <f aca="false">IFERROR(MATCH(SMALL(Activities!$O$2:$O$201,3),Activities!$O$2:$O$201,0),"")</f>
        <v/>
      </c>
    </row>
    <row r="71" customFormat="false" ht="15" hidden="false" customHeight="false" outlineLevel="0" collapsed="false">
      <c r="B71" s="9" t="str">
        <f aca="false">IF($R71="","",IF(INDEX(Activities!$A$2:$A$201,$R71)="","",INDEX(Activities!$A$2:$A$201,$R71)))</f>
        <v/>
      </c>
      <c r="C71" s="9" t="str">
        <f aca="false">IF($R71="","",IF(INDEX(Activities!$B$2:$B$201,$R71)="","",INDEX(Activities!$B$2:$B$201,$R71)))</f>
        <v/>
      </c>
      <c r="D71" s="17" t="str">
        <f aca="false">IF($R71="","",IF(INDEX(Activities!$C$2:$C$201,$R71)="","",INDEX(Activities!$C$2:$C$201,$R71)))</f>
        <v/>
      </c>
      <c r="E71" s="14" t="str">
        <f aca="false">IF($R71="","",IF(INDEX(Activities!$N$2:$N$201,$R71)="","",INDEX(Activities!$N$2:$N$201,$R71)))</f>
        <v/>
      </c>
      <c r="F71" s="10" t="str">
        <f aca="false">IF($R71="","",IF(INDEX(Activities!$H$2:$H$201,$R71)="","",INDEX(Activities!$H$2:$H$201,$R71)))</f>
        <v/>
      </c>
      <c r="G71" s="10" t="str">
        <f aca="false">IF($R71="","",IF(INDEX(Activities!$J$2:$J$201,$R71)="","",INDEX(Activities!$J$2:$J$201,$R71)))</f>
        <v/>
      </c>
      <c r="H71" s="10" t="str">
        <f aca="false">IF($R71="","",IF(INDEX(Activities!$K$2:$K$201,$R71)="","",INDEX(Activities!$K$2:$K$201,$R71)))</f>
        <v/>
      </c>
      <c r="I71" s="11" t="str">
        <f aca="false">IF($R71="","",IF(INDEX(Activities!$L$2:$L$201,$R71)="","",INDEX(Activities!$L$2:$L$201,$R71)))</f>
        <v/>
      </c>
      <c r="J71" s="14" t="str">
        <f aca="false">IF($R71="","",IF(INDEX(Activities!$M$2:$M$201,$R71)="","",INDEX(Activities!$M$2:$M$201,$R71)))</f>
        <v/>
      </c>
      <c r="R71" s="0" t="str">
        <f aca="false">IFERROR(MATCH(SMALL(Activities!$O$2:$O$201,4),Activities!$O$2:$O$201,0),"")</f>
        <v/>
      </c>
    </row>
    <row r="72" customFormat="false" ht="15" hidden="false" customHeight="false" outlineLevel="0" collapsed="false">
      <c r="B72" s="9" t="str">
        <f aca="false">IF($R72="","",IF(INDEX(Activities!$A$2:$A$201,$R72)="","",INDEX(Activities!$A$2:$A$201,$R72)))</f>
        <v/>
      </c>
      <c r="C72" s="9" t="str">
        <f aca="false">IF($R72="","",IF(INDEX(Activities!$B$2:$B$201,$R72)="","",INDEX(Activities!$B$2:$B$201,$R72)))</f>
        <v/>
      </c>
      <c r="D72" s="17" t="str">
        <f aca="false">IF($R72="","",IF(INDEX(Activities!$C$2:$C$201,$R72)="","",INDEX(Activities!$C$2:$C$201,$R72)))</f>
        <v/>
      </c>
      <c r="E72" s="14" t="str">
        <f aca="false">IF($R72="","",IF(INDEX(Activities!$N$2:$N$201,$R72)="","",INDEX(Activities!$N$2:$N$201,$R72)))</f>
        <v/>
      </c>
      <c r="F72" s="10" t="str">
        <f aca="false">IF($R72="","",IF(INDEX(Activities!$H$2:$H$201,$R72)="","",INDEX(Activities!$H$2:$H$201,$R72)))</f>
        <v/>
      </c>
      <c r="G72" s="10" t="str">
        <f aca="false">IF($R72="","",IF(INDEX(Activities!$J$2:$J$201,$R72)="","",INDEX(Activities!$J$2:$J$201,$R72)))</f>
        <v/>
      </c>
      <c r="H72" s="10" t="str">
        <f aca="false">IF($R72="","",IF(INDEX(Activities!$K$2:$K$201,$R72)="","",INDEX(Activities!$K$2:$K$201,$R72)))</f>
        <v/>
      </c>
      <c r="I72" s="11" t="str">
        <f aca="false">IF($R72="","",IF(INDEX(Activities!$L$2:$L$201,$R72)="","",INDEX(Activities!$L$2:$L$201,$R72)))</f>
        <v/>
      </c>
      <c r="J72" s="14" t="str">
        <f aca="false">IF($R72="","",IF(INDEX(Activities!$M$2:$M$201,$R72)="","",INDEX(Activities!$M$2:$M$201,$R72)))</f>
        <v/>
      </c>
      <c r="R72" s="0" t="str">
        <f aca="false">IFERROR(MATCH(SMALL(Activities!$O$2:$O$201,5),Activities!$O$2:$O$201,0),"")</f>
        <v/>
      </c>
    </row>
    <row r="73" customFormat="false" ht="15" hidden="false" customHeight="false" outlineLevel="0" collapsed="false">
      <c r="B73" s="9" t="str">
        <f aca="false">IF($R73="","",IF(INDEX(Activities!$A$2:$A$201,$R73)="","",INDEX(Activities!$A$2:$A$201,$R73)))</f>
        <v/>
      </c>
      <c r="C73" s="9" t="str">
        <f aca="false">IF($R73="","",IF(INDEX(Activities!$B$2:$B$201,$R73)="","",INDEX(Activities!$B$2:$B$201,$R73)))</f>
        <v/>
      </c>
      <c r="D73" s="17" t="str">
        <f aca="false">IF($R73="","",IF(INDEX(Activities!$C$2:$C$201,$R73)="","",INDEX(Activities!$C$2:$C$201,$R73)))</f>
        <v/>
      </c>
      <c r="E73" s="14" t="str">
        <f aca="false">IF($R73="","",IF(INDEX(Activities!$N$2:$N$201,$R73)="","",INDEX(Activities!$N$2:$N$201,$R73)))</f>
        <v/>
      </c>
      <c r="F73" s="10" t="str">
        <f aca="false">IF($R73="","",IF(INDEX(Activities!$H$2:$H$201,$R73)="","",INDEX(Activities!$H$2:$H$201,$R73)))</f>
        <v/>
      </c>
      <c r="G73" s="10" t="str">
        <f aca="false">IF($R73="","",IF(INDEX(Activities!$J$2:$J$201,$R73)="","",INDEX(Activities!$J$2:$J$201,$R73)))</f>
        <v/>
      </c>
      <c r="H73" s="10" t="str">
        <f aca="false">IF($R73="","",IF(INDEX(Activities!$K$2:$K$201,$R73)="","",INDEX(Activities!$K$2:$K$201,$R73)))</f>
        <v/>
      </c>
      <c r="I73" s="11" t="str">
        <f aca="false">IF($R73="","",IF(INDEX(Activities!$L$2:$L$201,$R73)="","",INDEX(Activities!$L$2:$L$201,$R73)))</f>
        <v/>
      </c>
      <c r="J73" s="14" t="str">
        <f aca="false">IF($R73="","",IF(INDEX(Activities!$M$2:$M$201,$R73)="","",INDEX(Activities!$M$2:$M$201,$R73)))</f>
        <v/>
      </c>
      <c r="R73" s="0" t="str">
        <f aca="false">IFERROR(MATCH(SMALL(Activities!$O$2:$O$201,6),Activities!$O$2:$O$201,0),"")</f>
        <v/>
      </c>
    </row>
    <row r="74" customFormat="false" ht="15" hidden="false" customHeight="false" outlineLevel="0" collapsed="false">
      <c r="B74" s="9" t="str">
        <f aca="false">IF($R74="","",IF(INDEX(Activities!$A$2:$A$201,$R74)="","",INDEX(Activities!$A$2:$A$201,$R74)))</f>
        <v/>
      </c>
      <c r="C74" s="9" t="str">
        <f aca="false">IF($R74="","",IF(INDEX(Activities!$B$2:$B$201,$R74)="","",INDEX(Activities!$B$2:$B$201,$R74)))</f>
        <v/>
      </c>
      <c r="D74" s="17" t="str">
        <f aca="false">IF($R74="","",IF(INDEX(Activities!$C$2:$C$201,$R74)="","",INDEX(Activities!$C$2:$C$201,$R74)))</f>
        <v/>
      </c>
      <c r="E74" s="14" t="str">
        <f aca="false">IF($R74="","",IF(INDEX(Activities!$N$2:$N$201,$R74)="","",INDEX(Activities!$N$2:$N$201,$R74)))</f>
        <v/>
      </c>
      <c r="F74" s="10" t="str">
        <f aca="false">IF($R74="","",IF(INDEX(Activities!$H$2:$H$201,$R74)="","",INDEX(Activities!$H$2:$H$201,$R74)))</f>
        <v/>
      </c>
      <c r="G74" s="10" t="str">
        <f aca="false">IF($R74="","",IF(INDEX(Activities!$J$2:$J$201,$R74)="","",INDEX(Activities!$J$2:$J$201,$R74)))</f>
        <v/>
      </c>
      <c r="H74" s="10" t="str">
        <f aca="false">IF($R74="","",IF(INDEX(Activities!$K$2:$K$201,$R74)="","",INDEX(Activities!$K$2:$K$201,$R74)))</f>
        <v/>
      </c>
      <c r="I74" s="11" t="str">
        <f aca="false">IF($R74="","",IF(INDEX(Activities!$L$2:$L$201,$R74)="","",INDEX(Activities!$L$2:$L$201,$R74)))</f>
        <v/>
      </c>
      <c r="J74" s="14" t="str">
        <f aca="false">IF($R74="","",IF(INDEX(Activities!$M$2:$M$201,$R74)="","",INDEX(Activities!$M$2:$M$201,$R74)))</f>
        <v/>
      </c>
      <c r="R74" s="0" t="str">
        <f aca="false">IFERROR(MATCH(SMALL(Activities!$O$2:$O$201,7),Activities!$O$2:$O$201,0),"")</f>
        <v/>
      </c>
    </row>
    <row r="75" customFormat="false" ht="15" hidden="false" customHeight="false" outlineLevel="0" collapsed="false">
      <c r="B75" s="9" t="str">
        <f aca="false">IF($R75="","",IF(INDEX(Activities!$A$2:$A$201,$R75)="","",INDEX(Activities!$A$2:$A$201,$R75)))</f>
        <v/>
      </c>
      <c r="C75" s="9" t="str">
        <f aca="false">IF($R75="","",IF(INDEX(Activities!$B$2:$B$201,$R75)="","",INDEX(Activities!$B$2:$B$201,$R75)))</f>
        <v/>
      </c>
      <c r="D75" s="17" t="str">
        <f aca="false">IF($R75="","",IF(INDEX(Activities!$C$2:$C$201,$R75)="","",INDEX(Activities!$C$2:$C$201,$R75)))</f>
        <v/>
      </c>
      <c r="E75" s="14" t="str">
        <f aca="false">IF($R75="","",IF(INDEX(Activities!$N$2:$N$201,$R75)="","",INDEX(Activities!$N$2:$N$201,$R75)))</f>
        <v/>
      </c>
      <c r="F75" s="10" t="str">
        <f aca="false">IF($R75="","",IF(INDEX(Activities!$H$2:$H$201,$R75)="","",INDEX(Activities!$H$2:$H$201,$R75)))</f>
        <v/>
      </c>
      <c r="G75" s="10" t="str">
        <f aca="false">IF($R75="","",IF(INDEX(Activities!$J$2:$J$201,$R75)="","",INDEX(Activities!$J$2:$J$201,$R75)))</f>
        <v/>
      </c>
      <c r="H75" s="10" t="str">
        <f aca="false">IF($R75="","",IF(INDEX(Activities!$K$2:$K$201,$R75)="","",INDEX(Activities!$K$2:$K$201,$R75)))</f>
        <v/>
      </c>
      <c r="I75" s="11" t="str">
        <f aca="false">IF($R75="","",IF(INDEX(Activities!$L$2:$L$201,$R75)="","",INDEX(Activities!$L$2:$L$201,$R75)))</f>
        <v/>
      </c>
      <c r="J75" s="14" t="str">
        <f aca="false">IF($R75="","",IF(INDEX(Activities!$M$2:$M$201,$R75)="","",INDEX(Activities!$M$2:$M$201,$R75)))</f>
        <v/>
      </c>
      <c r="R75" s="0" t="str">
        <f aca="false">IFERROR(MATCH(SMALL(Activities!$O$2:$O$201,8),Activities!$O$2:$O$201,0),"")</f>
        <v/>
      </c>
    </row>
    <row r="76" customFormat="false" ht="15" hidden="false" customHeight="false" outlineLevel="0" collapsed="false">
      <c r="B76" s="9" t="str">
        <f aca="false">IF($R76="","",IF(INDEX(Activities!$A$2:$A$201,$R76)="","",INDEX(Activities!$A$2:$A$201,$R76)))</f>
        <v/>
      </c>
      <c r="C76" s="9" t="str">
        <f aca="false">IF($R76="","",IF(INDEX(Activities!$B$2:$B$201,$R76)="","",INDEX(Activities!$B$2:$B$201,$R76)))</f>
        <v/>
      </c>
      <c r="D76" s="17" t="str">
        <f aca="false">IF($R76="","",IF(INDEX(Activities!$C$2:$C$201,$R76)="","",INDEX(Activities!$C$2:$C$201,$R76)))</f>
        <v/>
      </c>
      <c r="E76" s="14" t="str">
        <f aca="false">IF($R76="","",IF(INDEX(Activities!$N$2:$N$201,$R76)="","",INDEX(Activities!$N$2:$N$201,$R76)))</f>
        <v/>
      </c>
      <c r="F76" s="10" t="str">
        <f aca="false">IF($R76="","",IF(INDEX(Activities!$H$2:$H$201,$R76)="","",INDEX(Activities!$H$2:$H$201,$R76)))</f>
        <v/>
      </c>
      <c r="G76" s="10" t="str">
        <f aca="false">IF($R76="","",IF(INDEX(Activities!$J$2:$J$201,$R76)="","",INDEX(Activities!$J$2:$J$201,$R76)))</f>
        <v/>
      </c>
      <c r="H76" s="10" t="str">
        <f aca="false">IF($R76="","",IF(INDEX(Activities!$K$2:$K$201,$R76)="","",INDEX(Activities!$K$2:$K$201,$R76)))</f>
        <v/>
      </c>
      <c r="I76" s="11" t="str">
        <f aca="false">IF($R76="","",IF(INDEX(Activities!$L$2:$L$201,$R76)="","",INDEX(Activities!$L$2:$L$201,$R76)))</f>
        <v/>
      </c>
      <c r="J76" s="14" t="str">
        <f aca="false">IF($R76="","",IF(INDEX(Activities!$M$2:$M$201,$R76)="","",INDEX(Activities!$M$2:$M$201,$R76)))</f>
        <v/>
      </c>
      <c r="R76" s="0" t="str">
        <f aca="false">IFERROR(MATCH(SMALL(Activities!$O$2:$O$201,9),Activities!$O$2:$O$201,0),"")</f>
        <v/>
      </c>
    </row>
    <row r="77" customFormat="false" ht="15" hidden="false" customHeight="false" outlineLevel="0" collapsed="false">
      <c r="B77" s="9" t="str">
        <f aca="false">IF($R77="","",IF(INDEX(Activities!$A$2:$A$201,$R77)="","",INDEX(Activities!$A$2:$A$201,$R77)))</f>
        <v/>
      </c>
      <c r="C77" s="9" t="str">
        <f aca="false">IF($R77="","",IF(INDEX(Activities!$B$2:$B$201,$R77)="","",INDEX(Activities!$B$2:$B$201,$R77)))</f>
        <v/>
      </c>
      <c r="D77" s="17" t="str">
        <f aca="false">IF($R77="","",IF(INDEX(Activities!$C$2:$C$201,$R77)="","",INDEX(Activities!$C$2:$C$201,$R77)))</f>
        <v/>
      </c>
      <c r="E77" s="14" t="str">
        <f aca="false">IF($R77="","",IF(INDEX(Activities!$N$2:$N$201,$R77)="","",INDEX(Activities!$N$2:$N$201,$R77)))</f>
        <v/>
      </c>
      <c r="F77" s="10" t="str">
        <f aca="false">IF($R77="","",IF(INDEX(Activities!$H$2:$H$201,$R77)="","",INDEX(Activities!$H$2:$H$201,$R77)))</f>
        <v/>
      </c>
      <c r="G77" s="10" t="str">
        <f aca="false">IF($R77="","",IF(INDEX(Activities!$J$2:$J$201,$R77)="","",INDEX(Activities!$J$2:$J$201,$R77)))</f>
        <v/>
      </c>
      <c r="H77" s="10" t="str">
        <f aca="false">IF($R77="","",IF(INDEX(Activities!$K$2:$K$201,$R77)="","",INDEX(Activities!$K$2:$K$201,$R77)))</f>
        <v/>
      </c>
      <c r="I77" s="11" t="str">
        <f aca="false">IF($R77="","",IF(INDEX(Activities!$L$2:$L$201,$R77)="","",INDEX(Activities!$L$2:$L$201,$R77)))</f>
        <v/>
      </c>
      <c r="J77" s="14" t="str">
        <f aca="false">IF($R77="","",IF(INDEX(Activities!$M$2:$M$201,$R77)="","",INDEX(Activities!$M$2:$M$201,$R77)))</f>
        <v/>
      </c>
      <c r="R77" s="0" t="str">
        <f aca="false">IFERROR(MATCH(SMALL(Activities!$O$2:$O$201,10),Activities!$O$2:$O$201,0),"")</f>
        <v/>
      </c>
    </row>
    <row r="78" customFormat="false" ht="15" hidden="false" customHeight="false" outlineLevel="0" collapsed="false">
      <c r="B78" s="9" t="str">
        <f aca="false">IF($R78="","",IF(INDEX(Activities!$A$2:$A$201,$R78)="","",INDEX(Activities!$A$2:$A$201,$R78)))</f>
        <v/>
      </c>
      <c r="C78" s="9" t="str">
        <f aca="false">IF($R78="","",IF(INDEX(Activities!$B$2:$B$201,$R78)="","",INDEX(Activities!$B$2:$B$201,$R78)))</f>
        <v/>
      </c>
      <c r="D78" s="17" t="str">
        <f aca="false">IF($R78="","",IF(INDEX(Activities!$C$2:$C$201,$R78)="","",INDEX(Activities!$C$2:$C$201,$R78)))</f>
        <v/>
      </c>
      <c r="E78" s="14" t="str">
        <f aca="false">IF($R78="","",IF(INDEX(Activities!$N$2:$N$201,$R78)="","",INDEX(Activities!$N$2:$N$201,$R78)))</f>
        <v/>
      </c>
      <c r="F78" s="10" t="str">
        <f aca="false">IF($R78="","",IF(INDEX(Activities!$H$2:$H$201,$R78)="","",INDEX(Activities!$H$2:$H$201,$R78)))</f>
        <v/>
      </c>
      <c r="G78" s="10" t="str">
        <f aca="false">IF($R78="","",IF(INDEX(Activities!$J$2:$J$201,$R78)="","",INDEX(Activities!$J$2:$J$201,$R78)))</f>
        <v/>
      </c>
      <c r="H78" s="10" t="str">
        <f aca="false">IF($R78="","",IF(INDEX(Activities!$K$2:$K$201,$R78)="","",INDEX(Activities!$K$2:$K$201,$R78)))</f>
        <v/>
      </c>
      <c r="I78" s="11" t="str">
        <f aca="false">IF($R78="","",IF(INDEX(Activities!$L$2:$L$201,$R78)="","",INDEX(Activities!$L$2:$L$201,$R78)))</f>
        <v/>
      </c>
      <c r="J78" s="14" t="str">
        <f aca="false">IF($R78="","",IF(INDEX(Activities!$M$2:$M$201,$R78)="","",INDEX(Activities!$M$2:$M$201,$R78)))</f>
        <v/>
      </c>
      <c r="R78" s="0" t="str">
        <f aca="false">IFERROR(MATCH(SMALL(Activities!$O$2:$O$201,11),Activities!$O$2:$O$201,0),"")</f>
        <v/>
      </c>
    </row>
    <row r="79" customFormat="false" ht="15" hidden="false" customHeight="false" outlineLevel="0" collapsed="false">
      <c r="B79" s="9" t="str">
        <f aca="false">IF($R79="","",IF(INDEX(Activities!$A$2:$A$201,$R79)="","",INDEX(Activities!$A$2:$A$201,$R79)))</f>
        <v/>
      </c>
      <c r="C79" s="9" t="str">
        <f aca="false">IF($R79="","",IF(INDEX(Activities!$B$2:$B$201,$R79)="","",INDEX(Activities!$B$2:$B$201,$R79)))</f>
        <v/>
      </c>
      <c r="D79" s="17" t="str">
        <f aca="false">IF($R79="","",IF(INDEX(Activities!$C$2:$C$201,$R79)="","",INDEX(Activities!$C$2:$C$201,$R79)))</f>
        <v/>
      </c>
      <c r="E79" s="14" t="str">
        <f aca="false">IF($R79="","",IF(INDEX(Activities!$N$2:$N$201,$R79)="","",INDEX(Activities!$N$2:$N$201,$R79)))</f>
        <v/>
      </c>
      <c r="F79" s="10" t="str">
        <f aca="false">IF($R79="","",IF(INDEX(Activities!$H$2:$H$201,$R79)="","",INDEX(Activities!$H$2:$H$201,$R79)))</f>
        <v/>
      </c>
      <c r="G79" s="10" t="str">
        <f aca="false">IF($R79="","",IF(INDEX(Activities!$J$2:$J$201,$R79)="","",INDEX(Activities!$J$2:$J$201,$R79)))</f>
        <v/>
      </c>
      <c r="H79" s="10" t="str">
        <f aca="false">IF($R79="","",IF(INDEX(Activities!$K$2:$K$201,$R79)="","",INDEX(Activities!$K$2:$K$201,$R79)))</f>
        <v/>
      </c>
      <c r="I79" s="11" t="str">
        <f aca="false">IF($R79="","",IF(INDEX(Activities!$L$2:$L$201,$R79)="","",INDEX(Activities!$L$2:$L$201,$R79)))</f>
        <v/>
      </c>
      <c r="J79" s="14" t="str">
        <f aca="false">IF($R79="","",IF(INDEX(Activities!$M$2:$M$201,$R79)="","",INDEX(Activities!$M$2:$M$201,$R79)))</f>
        <v/>
      </c>
      <c r="R79" s="0" t="str">
        <f aca="false">IFERROR(MATCH(SMALL(Activities!$O$2:$O$201,12),Activities!$O$2:$O$201,0),"")</f>
        <v/>
      </c>
    </row>
    <row r="80" customFormat="false" ht="15" hidden="false" customHeight="false" outlineLevel="0" collapsed="false">
      <c r="B80" s="9" t="str">
        <f aca="false">IF($R80="","",IF(INDEX(Activities!$A$2:$A$201,$R80)="","",INDEX(Activities!$A$2:$A$201,$R80)))</f>
        <v/>
      </c>
      <c r="C80" s="9" t="str">
        <f aca="false">IF($R80="","",IF(INDEX(Activities!$B$2:$B$201,$R80)="","",INDEX(Activities!$B$2:$B$201,$R80)))</f>
        <v/>
      </c>
      <c r="D80" s="17" t="str">
        <f aca="false">IF($R80="","",IF(INDEX(Activities!$C$2:$C$201,$R80)="","",INDEX(Activities!$C$2:$C$201,$R80)))</f>
        <v/>
      </c>
      <c r="E80" s="14" t="str">
        <f aca="false">IF($R80="","",IF(INDEX(Activities!$N$2:$N$201,$R80)="","",INDEX(Activities!$N$2:$N$201,$R80)))</f>
        <v/>
      </c>
      <c r="F80" s="10" t="str">
        <f aca="false">IF($R80="","",IF(INDEX(Activities!$H$2:$H$201,$R80)="","",INDEX(Activities!$H$2:$H$201,$R80)))</f>
        <v/>
      </c>
      <c r="G80" s="10" t="str">
        <f aca="false">IF($R80="","",IF(INDEX(Activities!$J$2:$J$201,$R80)="","",INDEX(Activities!$J$2:$J$201,$R80)))</f>
        <v/>
      </c>
      <c r="H80" s="10" t="str">
        <f aca="false">IF($R80="","",IF(INDEX(Activities!$K$2:$K$201,$R80)="","",INDEX(Activities!$K$2:$K$201,$R80)))</f>
        <v/>
      </c>
      <c r="I80" s="11" t="str">
        <f aca="false">IF($R80="","",IF(INDEX(Activities!$L$2:$L$201,$R80)="","",INDEX(Activities!$L$2:$L$201,$R80)))</f>
        <v/>
      </c>
      <c r="J80" s="14" t="str">
        <f aca="false">IF($R80="","",IF(INDEX(Activities!$M$2:$M$201,$R80)="","",INDEX(Activities!$M$2:$M$201,$R80)))</f>
        <v/>
      </c>
      <c r="R80" s="0" t="str">
        <f aca="false">IFERROR(MATCH(SMALL(Activities!$O$2:$O$201,13),Activities!$O$2:$O$201,0),"")</f>
        <v/>
      </c>
    </row>
    <row r="81" customFormat="false" ht="15" hidden="false" customHeight="false" outlineLevel="0" collapsed="false">
      <c r="B81" s="9" t="str">
        <f aca="false">IF($R81="","",IF(INDEX(Activities!$A$2:$A$201,$R81)="","",INDEX(Activities!$A$2:$A$201,$R81)))</f>
        <v/>
      </c>
      <c r="C81" s="9" t="str">
        <f aca="false">IF($R81="","",IF(INDEX(Activities!$B$2:$B$201,$R81)="","",INDEX(Activities!$B$2:$B$201,$R81)))</f>
        <v/>
      </c>
      <c r="D81" s="17" t="str">
        <f aca="false">IF($R81="","",IF(INDEX(Activities!$C$2:$C$201,$R81)="","",INDEX(Activities!$C$2:$C$201,$R81)))</f>
        <v/>
      </c>
      <c r="E81" s="14" t="str">
        <f aca="false">IF($R81="","",IF(INDEX(Activities!$N$2:$N$201,$R81)="","",INDEX(Activities!$N$2:$N$201,$R81)))</f>
        <v/>
      </c>
      <c r="F81" s="10" t="str">
        <f aca="false">IF($R81="","",IF(INDEX(Activities!$H$2:$H$201,$R81)="","",INDEX(Activities!$H$2:$H$201,$R81)))</f>
        <v/>
      </c>
      <c r="G81" s="10" t="str">
        <f aca="false">IF($R81="","",IF(INDEX(Activities!$J$2:$J$201,$R81)="","",INDEX(Activities!$J$2:$J$201,$R81)))</f>
        <v/>
      </c>
      <c r="H81" s="10" t="str">
        <f aca="false">IF($R81="","",IF(INDEX(Activities!$K$2:$K$201,$R81)="","",INDEX(Activities!$K$2:$K$201,$R81)))</f>
        <v/>
      </c>
      <c r="I81" s="11" t="str">
        <f aca="false">IF($R81="","",IF(INDEX(Activities!$L$2:$L$201,$R81)="","",INDEX(Activities!$L$2:$L$201,$R81)))</f>
        <v/>
      </c>
      <c r="J81" s="14" t="str">
        <f aca="false">IF($R81="","",IF(INDEX(Activities!$M$2:$M$201,$R81)="","",INDEX(Activities!$M$2:$M$201,$R81)))</f>
        <v/>
      </c>
      <c r="R81" s="0" t="str">
        <f aca="false">IFERROR(MATCH(SMALL(Activities!$O$2:$O$201,14),Activities!$O$2:$O$201,0),"")</f>
        <v/>
      </c>
    </row>
    <row r="82" customFormat="false" ht="15" hidden="false" customHeight="false" outlineLevel="0" collapsed="false">
      <c r="B82" s="9" t="str">
        <f aca="false">IF($R82="","",IF(INDEX(Activities!$A$2:$A$201,$R82)="","",INDEX(Activities!$A$2:$A$201,$R82)))</f>
        <v/>
      </c>
      <c r="C82" s="9" t="str">
        <f aca="false">IF($R82="","",IF(INDEX(Activities!$B$2:$B$201,$R82)="","",INDEX(Activities!$B$2:$B$201,$R82)))</f>
        <v/>
      </c>
      <c r="D82" s="17" t="str">
        <f aca="false">IF($R82="","",IF(INDEX(Activities!$C$2:$C$201,$R82)="","",INDEX(Activities!$C$2:$C$201,$R82)))</f>
        <v/>
      </c>
      <c r="E82" s="14" t="str">
        <f aca="false">IF($R82="","",IF(INDEX(Activities!$N$2:$N$201,$R82)="","",INDEX(Activities!$N$2:$N$201,$R82)))</f>
        <v/>
      </c>
      <c r="F82" s="10" t="str">
        <f aca="false">IF($R82="","",IF(INDEX(Activities!$H$2:$H$201,$R82)="","",INDEX(Activities!$H$2:$H$201,$R82)))</f>
        <v/>
      </c>
      <c r="G82" s="10" t="str">
        <f aca="false">IF($R82="","",IF(INDEX(Activities!$J$2:$J$201,$R82)="","",INDEX(Activities!$J$2:$J$201,$R82)))</f>
        <v/>
      </c>
      <c r="H82" s="10" t="str">
        <f aca="false">IF($R82="","",IF(INDEX(Activities!$K$2:$K$201,$R82)="","",INDEX(Activities!$K$2:$K$201,$R82)))</f>
        <v/>
      </c>
      <c r="I82" s="11" t="str">
        <f aca="false">IF($R82="","",IF(INDEX(Activities!$L$2:$L$201,$R82)="","",INDEX(Activities!$L$2:$L$201,$R82)))</f>
        <v/>
      </c>
      <c r="J82" s="14" t="str">
        <f aca="false">IF($R82="","",IF(INDEX(Activities!$M$2:$M$201,$R82)="","",INDEX(Activities!$M$2:$M$201,$R82)))</f>
        <v/>
      </c>
      <c r="R82" s="0" t="str">
        <f aca="false">IFERROR(MATCH(SMALL(Activities!$O$2:$O$201,15),Activities!$O$2:$O$201,0),"")</f>
        <v/>
      </c>
    </row>
    <row r="83" customFormat="false" ht="15" hidden="false" customHeight="false" outlineLevel="0" collapsed="false">
      <c r="B83" s="9" t="str">
        <f aca="false">IF($R83="","",IF(INDEX(Activities!$A$2:$A$201,$R83)="","",INDEX(Activities!$A$2:$A$201,$R83)))</f>
        <v/>
      </c>
      <c r="C83" s="9" t="str">
        <f aca="false">IF($R83="","",IF(INDEX(Activities!$B$2:$B$201,$R83)="","",INDEX(Activities!$B$2:$B$201,$R83)))</f>
        <v/>
      </c>
      <c r="D83" s="17" t="str">
        <f aca="false">IF($R83="","",IF(INDEX(Activities!$C$2:$C$201,$R83)="","",INDEX(Activities!$C$2:$C$201,$R83)))</f>
        <v/>
      </c>
      <c r="E83" s="14" t="str">
        <f aca="false">IF($R83="","",IF(INDEX(Activities!$N$2:$N$201,$R83)="","",INDEX(Activities!$N$2:$N$201,$R83)))</f>
        <v/>
      </c>
      <c r="F83" s="10" t="str">
        <f aca="false">IF($R83="","",IF(INDEX(Activities!$H$2:$H$201,$R83)="","",INDEX(Activities!$H$2:$H$201,$R83)))</f>
        <v/>
      </c>
      <c r="G83" s="10" t="str">
        <f aca="false">IF($R83="","",IF(INDEX(Activities!$J$2:$J$201,$R83)="","",INDEX(Activities!$J$2:$J$201,$R83)))</f>
        <v/>
      </c>
      <c r="H83" s="10" t="str">
        <f aca="false">IF($R83="","",IF(INDEX(Activities!$K$2:$K$201,$R83)="","",INDEX(Activities!$K$2:$K$201,$R83)))</f>
        <v/>
      </c>
      <c r="I83" s="11" t="str">
        <f aca="false">IF($R83="","",IF(INDEX(Activities!$L$2:$L$201,$R83)="","",INDEX(Activities!$L$2:$L$201,$R83)))</f>
        <v/>
      </c>
      <c r="J83" s="14" t="str">
        <f aca="false">IF($R83="","",IF(INDEX(Activities!$M$2:$M$201,$R83)="","",INDEX(Activities!$M$2:$M$201,$R83)))</f>
        <v/>
      </c>
      <c r="R83" s="0" t="str">
        <f aca="false">IFERROR(MATCH(SMALL(Activities!$O$2:$O$201,16),Activities!$O$2:$O$201,0),"")</f>
        <v/>
      </c>
    </row>
    <row r="84" customFormat="false" ht="15" hidden="false" customHeight="false" outlineLevel="0" collapsed="false">
      <c r="B84" s="9" t="str">
        <f aca="false">IF($R84="","",IF(INDEX(Activities!$A$2:$A$201,$R84)="","",INDEX(Activities!$A$2:$A$201,$R84)))</f>
        <v/>
      </c>
      <c r="C84" s="9" t="str">
        <f aca="false">IF($R84="","",IF(INDEX(Activities!$B$2:$B$201,$R84)="","",INDEX(Activities!$B$2:$B$201,$R84)))</f>
        <v/>
      </c>
      <c r="D84" s="17" t="str">
        <f aca="false">IF($R84="","",IF(INDEX(Activities!$C$2:$C$201,$R84)="","",INDEX(Activities!$C$2:$C$201,$R84)))</f>
        <v/>
      </c>
      <c r="E84" s="14" t="str">
        <f aca="false">IF($R84="","",IF(INDEX(Activities!$N$2:$N$201,$R84)="","",INDEX(Activities!$N$2:$N$201,$R84)))</f>
        <v/>
      </c>
      <c r="F84" s="10" t="str">
        <f aca="false">IF($R84="","",IF(INDEX(Activities!$H$2:$H$201,$R84)="","",INDEX(Activities!$H$2:$H$201,$R84)))</f>
        <v/>
      </c>
      <c r="G84" s="10" t="str">
        <f aca="false">IF($R84="","",IF(INDEX(Activities!$J$2:$J$201,$R84)="","",INDEX(Activities!$J$2:$J$201,$R84)))</f>
        <v/>
      </c>
      <c r="H84" s="10" t="str">
        <f aca="false">IF($R84="","",IF(INDEX(Activities!$K$2:$K$201,$R84)="","",INDEX(Activities!$K$2:$K$201,$R84)))</f>
        <v/>
      </c>
      <c r="I84" s="11" t="str">
        <f aca="false">IF($R84="","",IF(INDEX(Activities!$L$2:$L$201,$R84)="","",INDEX(Activities!$L$2:$L$201,$R84)))</f>
        <v/>
      </c>
      <c r="J84" s="14" t="str">
        <f aca="false">IF($R84="","",IF(INDEX(Activities!$M$2:$M$201,$R84)="","",INDEX(Activities!$M$2:$M$201,$R84)))</f>
        <v/>
      </c>
      <c r="R84" s="0" t="str">
        <f aca="false">IFERROR(MATCH(SMALL(Activities!$O$2:$O$201,17),Activities!$O$2:$O$201,0),"")</f>
        <v/>
      </c>
    </row>
    <row r="85" customFormat="false" ht="15" hidden="false" customHeight="false" outlineLevel="0" collapsed="false">
      <c r="B85" s="9" t="str">
        <f aca="false">IF($R85="","",IF(INDEX(Activities!$A$2:$A$201,$R85)="","",INDEX(Activities!$A$2:$A$201,$R85)))</f>
        <v/>
      </c>
      <c r="C85" s="9" t="str">
        <f aca="false">IF($R85="","",IF(INDEX(Activities!$B$2:$B$201,$R85)="","",INDEX(Activities!$B$2:$B$201,$R85)))</f>
        <v/>
      </c>
      <c r="D85" s="17" t="str">
        <f aca="false">IF($R85="","",IF(INDEX(Activities!$C$2:$C$201,$R85)="","",INDEX(Activities!$C$2:$C$201,$R85)))</f>
        <v/>
      </c>
      <c r="E85" s="14" t="str">
        <f aca="false">IF($R85="","",IF(INDEX(Activities!$N$2:$N$201,$R85)="","",INDEX(Activities!$N$2:$N$201,$R85)))</f>
        <v/>
      </c>
      <c r="F85" s="10" t="str">
        <f aca="false">IF($R85="","",IF(INDEX(Activities!$H$2:$H$201,$R85)="","",INDEX(Activities!$H$2:$H$201,$R85)))</f>
        <v/>
      </c>
      <c r="G85" s="10" t="str">
        <f aca="false">IF($R85="","",IF(INDEX(Activities!$J$2:$J$201,$R85)="","",INDEX(Activities!$J$2:$J$201,$R85)))</f>
        <v/>
      </c>
      <c r="H85" s="10" t="str">
        <f aca="false">IF($R85="","",IF(INDEX(Activities!$K$2:$K$201,$R85)="","",INDEX(Activities!$K$2:$K$201,$R85)))</f>
        <v/>
      </c>
      <c r="I85" s="11" t="str">
        <f aca="false">IF($R85="","",IF(INDEX(Activities!$L$2:$L$201,$R85)="","",INDEX(Activities!$L$2:$L$201,$R85)))</f>
        <v/>
      </c>
      <c r="J85" s="14" t="str">
        <f aca="false">IF($R85="","",IF(INDEX(Activities!$M$2:$M$201,$R85)="","",INDEX(Activities!$M$2:$M$201,$R85)))</f>
        <v/>
      </c>
      <c r="R85" s="0" t="str">
        <f aca="false">IFERROR(MATCH(SMALL(Activities!$O$2:$O$201,18),Activities!$O$2:$O$201,0),"")</f>
        <v/>
      </c>
    </row>
    <row r="86" customFormat="false" ht="15" hidden="false" customHeight="false" outlineLevel="0" collapsed="false">
      <c r="B86" s="9" t="str">
        <f aca="false">IF($R86="","",IF(INDEX(Activities!$A$2:$A$201,$R86)="","",INDEX(Activities!$A$2:$A$201,$R86)))</f>
        <v/>
      </c>
      <c r="C86" s="9" t="str">
        <f aca="false">IF($R86="","",IF(INDEX(Activities!$B$2:$B$201,$R86)="","",INDEX(Activities!$B$2:$B$201,$R86)))</f>
        <v/>
      </c>
      <c r="D86" s="17" t="str">
        <f aca="false">IF($R86="","",IF(INDEX(Activities!$C$2:$C$201,$R86)="","",INDEX(Activities!$C$2:$C$201,$R86)))</f>
        <v/>
      </c>
      <c r="E86" s="14" t="str">
        <f aca="false">IF($R86="","",IF(INDEX(Activities!$N$2:$N$201,$R86)="","",INDEX(Activities!$N$2:$N$201,$R86)))</f>
        <v/>
      </c>
      <c r="F86" s="10" t="str">
        <f aca="false">IF($R86="","",IF(INDEX(Activities!$H$2:$H$201,$R86)="","",INDEX(Activities!$H$2:$H$201,$R86)))</f>
        <v/>
      </c>
      <c r="G86" s="10" t="str">
        <f aca="false">IF($R86="","",IF(INDEX(Activities!$J$2:$J$201,$R86)="","",INDEX(Activities!$J$2:$J$201,$R86)))</f>
        <v/>
      </c>
      <c r="H86" s="10" t="str">
        <f aca="false">IF($R86="","",IF(INDEX(Activities!$K$2:$K$201,$R86)="","",INDEX(Activities!$K$2:$K$201,$R86)))</f>
        <v/>
      </c>
      <c r="I86" s="11" t="str">
        <f aca="false">IF($R86="","",IF(INDEX(Activities!$L$2:$L$201,$R86)="","",INDEX(Activities!$L$2:$L$201,$R86)))</f>
        <v/>
      </c>
      <c r="J86" s="14" t="str">
        <f aca="false">IF($R86="","",IF(INDEX(Activities!$M$2:$M$201,$R86)="","",INDEX(Activities!$M$2:$M$201,$R86)))</f>
        <v/>
      </c>
      <c r="R86" s="0" t="str">
        <f aca="false">IFERROR(MATCH(SMALL(Activities!$O$2:$O$201,19),Activities!$O$2:$O$201,0),"")</f>
        <v/>
      </c>
    </row>
    <row r="87" customFormat="false" ht="15" hidden="false" customHeight="false" outlineLevel="0" collapsed="false">
      <c r="B87" s="9" t="str">
        <f aca="false">IF($R87="","",IF(INDEX(Activities!$A$2:$A$201,$R87)="","",INDEX(Activities!$A$2:$A$201,$R87)))</f>
        <v/>
      </c>
      <c r="C87" s="9" t="str">
        <f aca="false">IF($R87="","",IF(INDEX(Activities!$B$2:$B$201,$R87)="","",INDEX(Activities!$B$2:$B$201,$R87)))</f>
        <v/>
      </c>
      <c r="D87" s="17" t="str">
        <f aca="false">IF($R87="","",IF(INDEX(Activities!$C$2:$C$201,$R87)="","",INDEX(Activities!$C$2:$C$201,$R87)))</f>
        <v/>
      </c>
      <c r="E87" s="14" t="str">
        <f aca="false">IF($R87="","",IF(INDEX(Activities!$N$2:$N$201,$R87)="","",INDEX(Activities!$N$2:$N$201,$R87)))</f>
        <v/>
      </c>
      <c r="F87" s="10" t="str">
        <f aca="false">IF($R87="","",IF(INDEX(Activities!$H$2:$H$201,$R87)="","",INDEX(Activities!$H$2:$H$201,$R87)))</f>
        <v/>
      </c>
      <c r="G87" s="10" t="str">
        <f aca="false">IF($R87="","",IF(INDEX(Activities!$J$2:$J$201,$R87)="","",INDEX(Activities!$J$2:$J$201,$R87)))</f>
        <v/>
      </c>
      <c r="H87" s="10" t="str">
        <f aca="false">IF($R87="","",IF(INDEX(Activities!$K$2:$K$201,$R87)="","",INDEX(Activities!$K$2:$K$201,$R87)))</f>
        <v/>
      </c>
      <c r="I87" s="11" t="str">
        <f aca="false">IF($R87="","",IF(INDEX(Activities!$L$2:$L$201,$R87)="","",INDEX(Activities!$L$2:$L$201,$R87)))</f>
        <v/>
      </c>
      <c r="J87" s="14" t="str">
        <f aca="false">IF($R87="","",IF(INDEX(Activities!$M$2:$M$201,$R87)="","",INDEX(Activities!$M$2:$M$201,$R87)))</f>
        <v/>
      </c>
      <c r="R87" s="0" t="str">
        <f aca="false">IFERROR(MATCH(SMALL(Activities!$O$2:$O$201,20),Activities!$O$2:$O$201,0),"")</f>
        <v/>
      </c>
    </row>
    <row r="88" customFormat="false" ht="15" hidden="false" customHeight="false" outlineLevel="0" collapsed="false">
      <c r="B88" s="9" t="str">
        <f aca="false">IF($R88="","",IF(INDEX(Activities!$A$2:$A$201,$R88)="","",INDEX(Activities!$A$2:$A$201,$R88)))</f>
        <v/>
      </c>
      <c r="C88" s="9" t="str">
        <f aca="false">IF($R88="","",IF(INDEX(Activities!$B$2:$B$201,$R88)="","",INDEX(Activities!$B$2:$B$201,$R88)))</f>
        <v/>
      </c>
      <c r="D88" s="17" t="str">
        <f aca="false">IF($R88="","",IF(INDEX(Activities!$C$2:$C$201,$R88)="","",INDEX(Activities!$C$2:$C$201,$R88)))</f>
        <v/>
      </c>
      <c r="E88" s="14" t="str">
        <f aca="false">IF($R88="","",IF(INDEX(Activities!$N$2:$N$201,$R88)="","",INDEX(Activities!$N$2:$N$201,$R88)))</f>
        <v/>
      </c>
      <c r="F88" s="10" t="str">
        <f aca="false">IF($R88="","",IF(INDEX(Activities!$H$2:$H$201,$R88)="","",INDEX(Activities!$H$2:$H$201,$R88)))</f>
        <v/>
      </c>
      <c r="G88" s="10" t="str">
        <f aca="false">IF($R88="","",IF(INDEX(Activities!$J$2:$J$201,$R88)="","",INDEX(Activities!$J$2:$J$201,$R88)))</f>
        <v/>
      </c>
      <c r="H88" s="10" t="str">
        <f aca="false">IF($R88="","",IF(INDEX(Activities!$K$2:$K$201,$R88)="","",INDEX(Activities!$K$2:$K$201,$R88)))</f>
        <v/>
      </c>
      <c r="I88" s="11" t="str">
        <f aca="false">IF($R88="","",IF(INDEX(Activities!$L$2:$L$201,$R88)="","",INDEX(Activities!$L$2:$L$201,$R88)))</f>
        <v/>
      </c>
      <c r="J88" s="14" t="str">
        <f aca="false">IF($R88="","",IF(INDEX(Activities!$M$2:$M$201,$R88)="","",INDEX(Activities!$M$2:$M$201,$R88)))</f>
        <v/>
      </c>
      <c r="R88" s="0" t="str">
        <f aca="false">IFERROR(MATCH(SMALL(Activities!$O$2:$O$201,21),Activities!$O$2:$O$201,0),"")</f>
        <v/>
      </c>
    </row>
    <row r="89" customFormat="false" ht="15" hidden="false" customHeight="false" outlineLevel="0" collapsed="false">
      <c r="B89" s="9" t="str">
        <f aca="false">IF($R89="","",IF(INDEX(Activities!$A$2:$A$201,$R89)="","",INDEX(Activities!$A$2:$A$201,$R89)))</f>
        <v/>
      </c>
      <c r="C89" s="9" t="str">
        <f aca="false">IF($R89="","",IF(INDEX(Activities!$B$2:$B$201,$R89)="","",INDEX(Activities!$B$2:$B$201,$R89)))</f>
        <v/>
      </c>
      <c r="D89" s="17" t="str">
        <f aca="false">IF($R89="","",IF(INDEX(Activities!$C$2:$C$201,$R89)="","",INDEX(Activities!$C$2:$C$201,$R89)))</f>
        <v/>
      </c>
      <c r="E89" s="14" t="str">
        <f aca="false">IF($R89="","",IF(INDEX(Activities!$N$2:$N$201,$R89)="","",INDEX(Activities!$N$2:$N$201,$R89)))</f>
        <v/>
      </c>
      <c r="F89" s="10" t="str">
        <f aca="false">IF($R89="","",IF(INDEX(Activities!$H$2:$H$201,$R89)="","",INDEX(Activities!$H$2:$H$201,$R89)))</f>
        <v/>
      </c>
      <c r="G89" s="10" t="str">
        <f aca="false">IF($R89="","",IF(INDEX(Activities!$J$2:$J$201,$R89)="","",INDEX(Activities!$J$2:$J$201,$R89)))</f>
        <v/>
      </c>
      <c r="H89" s="10" t="str">
        <f aca="false">IF($R89="","",IF(INDEX(Activities!$K$2:$K$201,$R89)="","",INDEX(Activities!$K$2:$K$201,$R89)))</f>
        <v/>
      </c>
      <c r="I89" s="11" t="str">
        <f aca="false">IF($R89="","",IF(INDEX(Activities!$L$2:$L$201,$R89)="","",INDEX(Activities!$L$2:$L$201,$R89)))</f>
        <v/>
      </c>
      <c r="J89" s="14" t="str">
        <f aca="false">IF($R89="","",IF(INDEX(Activities!$M$2:$M$201,$R89)="","",INDEX(Activities!$M$2:$M$201,$R89)))</f>
        <v/>
      </c>
      <c r="R89" s="0" t="str">
        <f aca="false">IFERROR(MATCH(SMALL(Activities!$O$2:$O$201,22),Activities!$O$2:$O$201,0),"")</f>
        <v/>
      </c>
    </row>
    <row r="90" customFormat="false" ht="15" hidden="false" customHeight="false" outlineLevel="0" collapsed="false">
      <c r="B90" s="9" t="str">
        <f aca="false">IF($R90="","",IF(INDEX(Activities!$A$2:$A$201,$R90)="","",INDEX(Activities!$A$2:$A$201,$R90)))</f>
        <v/>
      </c>
      <c r="C90" s="9" t="str">
        <f aca="false">IF($R90="","",IF(INDEX(Activities!$B$2:$B$201,$R90)="","",INDEX(Activities!$B$2:$B$201,$R90)))</f>
        <v/>
      </c>
      <c r="D90" s="17" t="str">
        <f aca="false">IF($R90="","",IF(INDEX(Activities!$C$2:$C$201,$R90)="","",INDEX(Activities!$C$2:$C$201,$R90)))</f>
        <v/>
      </c>
      <c r="E90" s="14" t="str">
        <f aca="false">IF($R90="","",IF(INDEX(Activities!$N$2:$N$201,$R90)="","",INDEX(Activities!$N$2:$N$201,$R90)))</f>
        <v/>
      </c>
      <c r="F90" s="10" t="str">
        <f aca="false">IF($R90="","",IF(INDEX(Activities!$H$2:$H$201,$R90)="","",INDEX(Activities!$H$2:$H$201,$R90)))</f>
        <v/>
      </c>
      <c r="G90" s="10" t="str">
        <f aca="false">IF($R90="","",IF(INDEX(Activities!$J$2:$J$201,$R90)="","",INDEX(Activities!$J$2:$J$201,$R90)))</f>
        <v/>
      </c>
      <c r="H90" s="10" t="str">
        <f aca="false">IF($R90="","",IF(INDEX(Activities!$K$2:$K$201,$R90)="","",INDEX(Activities!$K$2:$K$201,$R90)))</f>
        <v/>
      </c>
      <c r="I90" s="11" t="str">
        <f aca="false">IF($R90="","",IF(INDEX(Activities!$L$2:$L$201,$R90)="","",INDEX(Activities!$L$2:$L$201,$R90)))</f>
        <v/>
      </c>
      <c r="J90" s="14" t="str">
        <f aca="false">IF($R90="","",IF(INDEX(Activities!$M$2:$M$201,$R90)="","",INDEX(Activities!$M$2:$M$201,$R90)))</f>
        <v/>
      </c>
      <c r="R90" s="0" t="str">
        <f aca="false">IFERROR(MATCH(SMALL(Activities!$O$2:$O$201,23),Activities!$O$2:$O$201,0),"")</f>
        <v/>
      </c>
    </row>
    <row r="91" customFormat="false" ht="15" hidden="false" customHeight="false" outlineLevel="0" collapsed="false">
      <c r="B91" s="9" t="str">
        <f aca="false">IF($R91="","",IF(INDEX(Activities!$A$2:$A$201,$R91)="","",INDEX(Activities!$A$2:$A$201,$R91)))</f>
        <v/>
      </c>
      <c r="C91" s="9" t="str">
        <f aca="false">IF($R91="","",IF(INDEX(Activities!$B$2:$B$201,$R91)="","",INDEX(Activities!$B$2:$B$201,$R91)))</f>
        <v/>
      </c>
      <c r="D91" s="17" t="str">
        <f aca="false">IF($R91="","",IF(INDEX(Activities!$C$2:$C$201,$R91)="","",INDEX(Activities!$C$2:$C$201,$R91)))</f>
        <v/>
      </c>
      <c r="E91" s="14" t="str">
        <f aca="false">IF($R91="","",IF(INDEX(Activities!$N$2:$N$201,$R91)="","",INDEX(Activities!$N$2:$N$201,$R91)))</f>
        <v/>
      </c>
      <c r="F91" s="10" t="str">
        <f aca="false">IF($R91="","",IF(INDEX(Activities!$H$2:$H$201,$R91)="","",INDEX(Activities!$H$2:$H$201,$R91)))</f>
        <v/>
      </c>
      <c r="G91" s="10" t="str">
        <f aca="false">IF($R91="","",IF(INDEX(Activities!$J$2:$J$201,$R91)="","",INDEX(Activities!$J$2:$J$201,$R91)))</f>
        <v/>
      </c>
      <c r="H91" s="10" t="str">
        <f aca="false">IF($R91="","",IF(INDEX(Activities!$K$2:$K$201,$R91)="","",INDEX(Activities!$K$2:$K$201,$R91)))</f>
        <v/>
      </c>
      <c r="I91" s="11" t="str">
        <f aca="false">IF($R91="","",IF(INDEX(Activities!$L$2:$L$201,$R91)="","",INDEX(Activities!$L$2:$L$201,$R91)))</f>
        <v/>
      </c>
      <c r="J91" s="14" t="str">
        <f aca="false">IF($R91="","",IF(INDEX(Activities!$M$2:$M$201,$R91)="","",INDEX(Activities!$M$2:$M$201,$R91)))</f>
        <v/>
      </c>
      <c r="R91" s="0" t="str">
        <f aca="false">IFERROR(MATCH(SMALL(Activities!$O$2:$O$201,24),Activities!$O$2:$O$201,0),"")</f>
        <v/>
      </c>
    </row>
    <row r="92" customFormat="false" ht="15" hidden="false" customHeight="false" outlineLevel="0" collapsed="false">
      <c r="B92" s="9" t="str">
        <f aca="false">IF($R92="","",IF(INDEX(Activities!$A$2:$A$201,$R92)="","",INDEX(Activities!$A$2:$A$201,$R92)))</f>
        <v/>
      </c>
      <c r="C92" s="9" t="str">
        <f aca="false">IF($R92="","",IF(INDEX(Activities!$B$2:$B$201,$R92)="","",INDEX(Activities!$B$2:$B$201,$R92)))</f>
        <v/>
      </c>
      <c r="D92" s="17" t="str">
        <f aca="false">IF($R92="","",IF(INDEX(Activities!$C$2:$C$201,$R92)="","",INDEX(Activities!$C$2:$C$201,$R92)))</f>
        <v/>
      </c>
      <c r="E92" s="14" t="str">
        <f aca="false">IF($R92="","",IF(INDEX(Activities!$N$2:$N$201,$R92)="","",INDEX(Activities!$N$2:$N$201,$R92)))</f>
        <v/>
      </c>
      <c r="F92" s="10" t="str">
        <f aca="false">IF($R92="","",IF(INDEX(Activities!$H$2:$H$201,$R92)="","",INDEX(Activities!$H$2:$H$201,$R92)))</f>
        <v/>
      </c>
      <c r="G92" s="10" t="str">
        <f aca="false">IF($R92="","",IF(INDEX(Activities!$J$2:$J$201,$R92)="","",INDEX(Activities!$J$2:$J$201,$R92)))</f>
        <v/>
      </c>
      <c r="H92" s="10" t="str">
        <f aca="false">IF($R92="","",IF(INDEX(Activities!$K$2:$K$201,$R92)="","",INDEX(Activities!$K$2:$K$201,$R92)))</f>
        <v/>
      </c>
      <c r="I92" s="11" t="str">
        <f aca="false">IF($R92="","",IF(INDEX(Activities!$L$2:$L$201,$R92)="","",INDEX(Activities!$L$2:$L$201,$R92)))</f>
        <v/>
      </c>
      <c r="J92" s="14" t="str">
        <f aca="false">IF($R92="","",IF(INDEX(Activities!$M$2:$M$201,$R92)="","",INDEX(Activities!$M$2:$M$201,$R92)))</f>
        <v/>
      </c>
      <c r="R92" s="0" t="str">
        <f aca="false">IFERROR(MATCH(SMALL(Activities!$O$2:$O$201,25),Activities!$O$2:$O$201,0),"")</f>
        <v/>
      </c>
    </row>
    <row r="93" customFormat="false" ht="15" hidden="false" customHeight="false" outlineLevel="0" collapsed="false">
      <c r="B93" s="9" t="str">
        <f aca="false">IF($R93="","",IF(INDEX(Activities!$A$2:$A$201,$R93)="","",INDEX(Activities!$A$2:$A$201,$R93)))</f>
        <v/>
      </c>
      <c r="C93" s="9" t="str">
        <f aca="false">IF($R93="","",IF(INDEX(Activities!$B$2:$B$201,$R93)="","",INDEX(Activities!$B$2:$B$201,$R93)))</f>
        <v/>
      </c>
      <c r="D93" s="17" t="str">
        <f aca="false">IF($R93="","",IF(INDEX(Activities!$C$2:$C$201,$R93)="","",INDEX(Activities!$C$2:$C$201,$R93)))</f>
        <v/>
      </c>
      <c r="E93" s="14" t="str">
        <f aca="false">IF($R93="","",IF(INDEX(Activities!$N$2:$N$201,$R93)="","",INDEX(Activities!$N$2:$N$201,$R93)))</f>
        <v/>
      </c>
      <c r="F93" s="10" t="str">
        <f aca="false">IF($R93="","",IF(INDEX(Activities!$H$2:$H$201,$R93)="","",INDEX(Activities!$H$2:$H$201,$R93)))</f>
        <v/>
      </c>
      <c r="G93" s="10" t="str">
        <f aca="false">IF($R93="","",IF(INDEX(Activities!$J$2:$J$201,$R93)="","",INDEX(Activities!$J$2:$J$201,$R93)))</f>
        <v/>
      </c>
      <c r="H93" s="10" t="str">
        <f aca="false">IF($R93="","",IF(INDEX(Activities!$K$2:$K$201,$R93)="","",INDEX(Activities!$K$2:$K$201,$R93)))</f>
        <v/>
      </c>
      <c r="I93" s="11" t="str">
        <f aca="false">IF($R93="","",IF(INDEX(Activities!$L$2:$L$201,$R93)="","",INDEX(Activities!$L$2:$L$201,$R93)))</f>
        <v/>
      </c>
      <c r="J93" s="14" t="str">
        <f aca="false">IF($R93="","",IF(INDEX(Activities!$M$2:$M$201,$R93)="","",INDEX(Activities!$M$2:$M$201,$R93)))</f>
        <v/>
      </c>
      <c r="R93" s="0" t="str">
        <f aca="false">IFERROR(MATCH(SMALL(Activities!$O$2:$O$201,26),Activities!$O$2:$O$201,0),"")</f>
        <v/>
      </c>
    </row>
    <row r="94" customFormat="false" ht="15" hidden="false" customHeight="false" outlineLevel="0" collapsed="false">
      <c r="B94" s="9" t="str">
        <f aca="false">IF($R94="","",IF(INDEX(Activities!$A$2:$A$201,$R94)="","",INDEX(Activities!$A$2:$A$201,$R94)))</f>
        <v/>
      </c>
      <c r="C94" s="9" t="str">
        <f aca="false">IF($R94="","",IF(INDEX(Activities!$B$2:$B$201,$R94)="","",INDEX(Activities!$B$2:$B$201,$R94)))</f>
        <v/>
      </c>
      <c r="D94" s="17" t="str">
        <f aca="false">IF($R94="","",IF(INDEX(Activities!$C$2:$C$201,$R94)="","",INDEX(Activities!$C$2:$C$201,$R94)))</f>
        <v/>
      </c>
      <c r="E94" s="14" t="str">
        <f aca="false">IF($R94="","",IF(INDEX(Activities!$N$2:$N$201,$R94)="","",INDEX(Activities!$N$2:$N$201,$R94)))</f>
        <v/>
      </c>
      <c r="F94" s="10" t="str">
        <f aca="false">IF($R94="","",IF(INDEX(Activities!$H$2:$H$201,$R94)="","",INDEX(Activities!$H$2:$H$201,$R94)))</f>
        <v/>
      </c>
      <c r="G94" s="10" t="str">
        <f aca="false">IF($R94="","",IF(INDEX(Activities!$J$2:$J$201,$R94)="","",INDEX(Activities!$J$2:$J$201,$R94)))</f>
        <v/>
      </c>
      <c r="H94" s="10" t="str">
        <f aca="false">IF($R94="","",IF(INDEX(Activities!$K$2:$K$201,$R94)="","",INDEX(Activities!$K$2:$K$201,$R94)))</f>
        <v/>
      </c>
      <c r="I94" s="11" t="str">
        <f aca="false">IF($R94="","",IF(INDEX(Activities!$L$2:$L$201,$R94)="","",INDEX(Activities!$L$2:$L$201,$R94)))</f>
        <v/>
      </c>
      <c r="J94" s="14" t="str">
        <f aca="false">IF($R94="","",IF(INDEX(Activities!$M$2:$M$201,$R94)="","",INDEX(Activities!$M$2:$M$201,$R94)))</f>
        <v/>
      </c>
      <c r="R94" s="0" t="str">
        <f aca="false">IFERROR(MATCH(SMALL(Activities!$O$2:$O$201,27),Activities!$O$2:$O$201,0),"")</f>
        <v/>
      </c>
    </row>
    <row r="95" customFormat="false" ht="15" hidden="false" customHeight="false" outlineLevel="0" collapsed="false">
      <c r="B95" s="9" t="str">
        <f aca="false">IF($R95="","",IF(INDEX(Activities!$A$2:$A$201,$R95)="","",INDEX(Activities!$A$2:$A$201,$R95)))</f>
        <v/>
      </c>
      <c r="C95" s="9" t="str">
        <f aca="false">IF($R95="","",IF(INDEX(Activities!$B$2:$B$201,$R95)="","",INDEX(Activities!$B$2:$B$201,$R95)))</f>
        <v/>
      </c>
      <c r="D95" s="17" t="str">
        <f aca="false">IF($R95="","",IF(INDEX(Activities!$C$2:$C$201,$R95)="","",INDEX(Activities!$C$2:$C$201,$R95)))</f>
        <v/>
      </c>
      <c r="E95" s="14" t="str">
        <f aca="false">IF($R95="","",IF(INDEX(Activities!$N$2:$N$201,$R95)="","",INDEX(Activities!$N$2:$N$201,$R95)))</f>
        <v/>
      </c>
      <c r="F95" s="10" t="str">
        <f aca="false">IF($R95="","",IF(INDEX(Activities!$H$2:$H$201,$R95)="","",INDEX(Activities!$H$2:$H$201,$R95)))</f>
        <v/>
      </c>
      <c r="G95" s="10" t="str">
        <f aca="false">IF($R95="","",IF(INDEX(Activities!$J$2:$J$201,$R95)="","",INDEX(Activities!$J$2:$J$201,$R95)))</f>
        <v/>
      </c>
      <c r="H95" s="10" t="str">
        <f aca="false">IF($R95="","",IF(INDEX(Activities!$K$2:$K$201,$R95)="","",INDEX(Activities!$K$2:$K$201,$R95)))</f>
        <v/>
      </c>
      <c r="I95" s="11" t="str">
        <f aca="false">IF($R95="","",IF(INDEX(Activities!$L$2:$L$201,$R95)="","",INDEX(Activities!$L$2:$L$201,$R95)))</f>
        <v/>
      </c>
      <c r="J95" s="14" t="str">
        <f aca="false">IF($R95="","",IF(INDEX(Activities!$M$2:$M$201,$R95)="","",INDEX(Activities!$M$2:$M$201,$R95)))</f>
        <v/>
      </c>
      <c r="R95" s="0" t="str">
        <f aca="false">IFERROR(MATCH(SMALL(Activities!$O$2:$O$201,28),Activities!$O$2:$O$201,0),"")</f>
        <v/>
      </c>
    </row>
    <row r="96" customFormat="false" ht="15" hidden="false" customHeight="false" outlineLevel="0" collapsed="false">
      <c r="B96" s="9" t="str">
        <f aca="false">IF($R96="","",IF(INDEX(Activities!$A$2:$A$201,$R96)="","",INDEX(Activities!$A$2:$A$201,$R96)))</f>
        <v/>
      </c>
      <c r="C96" s="9" t="str">
        <f aca="false">IF($R96="","",IF(INDEX(Activities!$B$2:$B$201,$R96)="","",INDEX(Activities!$B$2:$B$201,$R96)))</f>
        <v/>
      </c>
      <c r="D96" s="17" t="str">
        <f aca="false">IF($R96="","",IF(INDEX(Activities!$C$2:$C$201,$R96)="","",INDEX(Activities!$C$2:$C$201,$R96)))</f>
        <v/>
      </c>
      <c r="E96" s="14" t="str">
        <f aca="false">IF($R96="","",IF(INDEX(Activities!$N$2:$N$201,$R96)="","",INDEX(Activities!$N$2:$N$201,$R96)))</f>
        <v/>
      </c>
      <c r="F96" s="10" t="str">
        <f aca="false">IF($R96="","",IF(INDEX(Activities!$H$2:$H$201,$R96)="","",INDEX(Activities!$H$2:$H$201,$R96)))</f>
        <v/>
      </c>
      <c r="G96" s="10" t="str">
        <f aca="false">IF($R96="","",IF(INDEX(Activities!$J$2:$J$201,$R96)="","",INDEX(Activities!$J$2:$J$201,$R96)))</f>
        <v/>
      </c>
      <c r="H96" s="10" t="str">
        <f aca="false">IF($R96="","",IF(INDEX(Activities!$K$2:$K$201,$R96)="","",INDEX(Activities!$K$2:$K$201,$R96)))</f>
        <v/>
      </c>
      <c r="I96" s="11" t="str">
        <f aca="false">IF($R96="","",IF(INDEX(Activities!$L$2:$L$201,$R96)="","",INDEX(Activities!$L$2:$L$201,$R96)))</f>
        <v/>
      </c>
      <c r="J96" s="14" t="str">
        <f aca="false">IF($R96="","",IF(INDEX(Activities!$M$2:$M$201,$R96)="","",INDEX(Activities!$M$2:$M$201,$R96)))</f>
        <v/>
      </c>
      <c r="R96" s="0" t="str">
        <f aca="false">IFERROR(MATCH(SMALL(Activities!$O$2:$O$201,29),Activities!$O$2:$O$201,0),"")</f>
        <v/>
      </c>
    </row>
    <row r="97" customFormat="false" ht="15" hidden="false" customHeight="false" outlineLevel="0" collapsed="false">
      <c r="B97" s="9" t="str">
        <f aca="false">IF($R97="","",IF(INDEX(Activities!$A$2:$A$201,$R97)="","",INDEX(Activities!$A$2:$A$201,$R97)))</f>
        <v/>
      </c>
      <c r="C97" s="9" t="str">
        <f aca="false">IF($R97="","",IF(INDEX(Activities!$B$2:$B$201,$R97)="","",INDEX(Activities!$B$2:$B$201,$R97)))</f>
        <v/>
      </c>
      <c r="D97" s="17" t="str">
        <f aca="false">IF($R97="","",IF(INDEX(Activities!$C$2:$C$201,$R97)="","",INDEX(Activities!$C$2:$C$201,$R97)))</f>
        <v/>
      </c>
      <c r="E97" s="14" t="str">
        <f aca="false">IF($R97="","",IF(INDEX(Activities!$N$2:$N$201,$R97)="","",INDEX(Activities!$N$2:$N$201,$R97)))</f>
        <v/>
      </c>
      <c r="F97" s="10" t="str">
        <f aca="false">IF($R97="","",IF(INDEX(Activities!$H$2:$H$201,$R97)="","",INDEX(Activities!$H$2:$H$201,$R97)))</f>
        <v/>
      </c>
      <c r="G97" s="10" t="str">
        <f aca="false">IF($R97="","",IF(INDEX(Activities!$J$2:$J$201,$R97)="","",INDEX(Activities!$J$2:$J$201,$R97)))</f>
        <v/>
      </c>
      <c r="H97" s="10" t="str">
        <f aca="false">IF($R97="","",IF(INDEX(Activities!$K$2:$K$201,$R97)="","",INDEX(Activities!$K$2:$K$201,$R97)))</f>
        <v/>
      </c>
      <c r="I97" s="11" t="str">
        <f aca="false">IF($R97="","",IF(INDEX(Activities!$L$2:$L$201,$R97)="","",INDEX(Activities!$L$2:$L$201,$R97)))</f>
        <v/>
      </c>
      <c r="J97" s="14" t="str">
        <f aca="false">IF($R97="","",IF(INDEX(Activities!$M$2:$M$201,$R97)="","",INDEX(Activities!$M$2:$M$201,$R97)))</f>
        <v/>
      </c>
      <c r="R97" s="0" t="str">
        <f aca="false">IFERROR(MATCH(SMALL(Activities!$O$2:$O$201,30),Activities!$O$2:$O$201,0),"")</f>
        <v/>
      </c>
    </row>
    <row r="98" customFormat="false" ht="15" hidden="false" customHeight="false" outlineLevel="0" collapsed="false">
      <c r="B98" s="9" t="str">
        <f aca="false">IF($R98="","",IF(INDEX(Activities!$A$2:$A$201,$R98)="","",INDEX(Activities!$A$2:$A$201,$R98)))</f>
        <v/>
      </c>
      <c r="C98" s="9" t="str">
        <f aca="false">IF($R98="","",IF(INDEX(Activities!$B$2:$B$201,$R98)="","",INDEX(Activities!$B$2:$B$201,$R98)))</f>
        <v/>
      </c>
      <c r="D98" s="17" t="str">
        <f aca="false">IF($R98="","",IF(INDEX(Activities!$C$2:$C$201,$R98)="","",INDEX(Activities!$C$2:$C$201,$R98)))</f>
        <v/>
      </c>
      <c r="E98" s="14" t="str">
        <f aca="false">IF($R98="","",IF(INDEX(Activities!$N$2:$N$201,$R98)="","",INDEX(Activities!$N$2:$N$201,$R98)))</f>
        <v/>
      </c>
      <c r="F98" s="10" t="str">
        <f aca="false">IF($R98="","",IF(INDEX(Activities!$H$2:$H$201,$R98)="","",INDEX(Activities!$H$2:$H$201,$R98)))</f>
        <v/>
      </c>
      <c r="G98" s="10" t="str">
        <f aca="false">IF($R98="","",IF(INDEX(Activities!$J$2:$J$201,$R98)="","",INDEX(Activities!$J$2:$J$201,$R98)))</f>
        <v/>
      </c>
      <c r="H98" s="10" t="str">
        <f aca="false">IF($R98="","",IF(INDEX(Activities!$K$2:$K$201,$R98)="","",INDEX(Activities!$K$2:$K$201,$R98)))</f>
        <v/>
      </c>
      <c r="I98" s="11" t="str">
        <f aca="false">IF($R98="","",IF(INDEX(Activities!$L$2:$L$201,$R98)="","",INDEX(Activities!$L$2:$L$201,$R98)))</f>
        <v/>
      </c>
      <c r="J98" s="14" t="str">
        <f aca="false">IF($R98="","",IF(INDEX(Activities!$M$2:$M$201,$R98)="","",INDEX(Activities!$M$2:$M$201,$R98)))</f>
        <v/>
      </c>
      <c r="R98" s="0" t="str">
        <f aca="false">IFERROR(MATCH(SMALL(Activities!$O$2:$O$201,31),Activities!$O$2:$O$201,0),"")</f>
        <v/>
      </c>
    </row>
    <row r="99" customFormat="false" ht="15" hidden="false" customHeight="false" outlineLevel="0" collapsed="false">
      <c r="B99" s="9" t="str">
        <f aca="false">IF($R99="","",IF(INDEX(Activities!$A$2:$A$201,$R99)="","",INDEX(Activities!$A$2:$A$201,$R99)))</f>
        <v/>
      </c>
      <c r="C99" s="9" t="str">
        <f aca="false">IF($R99="","",IF(INDEX(Activities!$B$2:$B$201,$R99)="","",INDEX(Activities!$B$2:$B$201,$R99)))</f>
        <v/>
      </c>
      <c r="D99" s="17" t="str">
        <f aca="false">IF($R99="","",IF(INDEX(Activities!$C$2:$C$201,$R99)="","",INDEX(Activities!$C$2:$C$201,$R99)))</f>
        <v/>
      </c>
      <c r="E99" s="14" t="str">
        <f aca="false">IF($R99="","",IF(INDEX(Activities!$N$2:$N$201,$R99)="","",INDEX(Activities!$N$2:$N$201,$R99)))</f>
        <v/>
      </c>
      <c r="F99" s="10" t="str">
        <f aca="false">IF($R99="","",IF(INDEX(Activities!$H$2:$H$201,$R99)="","",INDEX(Activities!$H$2:$H$201,$R99)))</f>
        <v/>
      </c>
      <c r="G99" s="10" t="str">
        <f aca="false">IF($R99="","",IF(INDEX(Activities!$J$2:$J$201,$R99)="","",INDEX(Activities!$J$2:$J$201,$R99)))</f>
        <v/>
      </c>
      <c r="H99" s="10" t="str">
        <f aca="false">IF($R99="","",IF(INDEX(Activities!$K$2:$K$201,$R99)="","",INDEX(Activities!$K$2:$K$201,$R99)))</f>
        <v/>
      </c>
      <c r="I99" s="11" t="str">
        <f aca="false">IF($R99="","",IF(INDEX(Activities!$L$2:$L$201,$R99)="","",INDEX(Activities!$L$2:$L$201,$R99)))</f>
        <v/>
      </c>
      <c r="J99" s="14" t="str">
        <f aca="false">IF($R99="","",IF(INDEX(Activities!$M$2:$M$201,$R99)="","",INDEX(Activities!$M$2:$M$201,$R99)))</f>
        <v/>
      </c>
      <c r="R99" s="0" t="str">
        <f aca="false">IFERROR(MATCH(SMALL(Activities!$O$2:$O$201,32),Activities!$O$2:$O$201,0),"")</f>
        <v/>
      </c>
    </row>
    <row r="100" customFormat="false" ht="15" hidden="false" customHeight="false" outlineLevel="0" collapsed="false">
      <c r="B100" s="9" t="str">
        <f aca="false">IF($R100="","",IF(INDEX(Activities!$A$2:$A$201,$R100)="","",INDEX(Activities!$A$2:$A$201,$R100)))</f>
        <v/>
      </c>
      <c r="C100" s="9" t="str">
        <f aca="false">IF($R100="","",IF(INDEX(Activities!$B$2:$B$201,$R100)="","",INDEX(Activities!$B$2:$B$201,$R100)))</f>
        <v/>
      </c>
      <c r="D100" s="17" t="str">
        <f aca="false">IF($R100="","",IF(INDEX(Activities!$C$2:$C$201,$R100)="","",INDEX(Activities!$C$2:$C$201,$R100)))</f>
        <v/>
      </c>
      <c r="E100" s="14" t="str">
        <f aca="false">IF($R100="","",IF(INDEX(Activities!$N$2:$N$201,$R100)="","",INDEX(Activities!$N$2:$N$201,$R100)))</f>
        <v/>
      </c>
      <c r="F100" s="10" t="str">
        <f aca="false">IF($R100="","",IF(INDEX(Activities!$H$2:$H$201,$R100)="","",INDEX(Activities!$H$2:$H$201,$R100)))</f>
        <v/>
      </c>
      <c r="G100" s="10" t="str">
        <f aca="false">IF($R100="","",IF(INDEX(Activities!$J$2:$J$201,$R100)="","",INDEX(Activities!$J$2:$J$201,$R100)))</f>
        <v/>
      </c>
      <c r="H100" s="10" t="str">
        <f aca="false">IF($R100="","",IF(INDEX(Activities!$K$2:$K$201,$R100)="","",INDEX(Activities!$K$2:$K$201,$R100)))</f>
        <v/>
      </c>
      <c r="I100" s="11" t="str">
        <f aca="false">IF($R100="","",IF(INDEX(Activities!$L$2:$L$201,$R100)="","",INDEX(Activities!$L$2:$L$201,$R100)))</f>
        <v/>
      </c>
      <c r="J100" s="14" t="str">
        <f aca="false">IF($R100="","",IF(INDEX(Activities!$M$2:$M$201,$R100)="","",INDEX(Activities!$M$2:$M$201,$R100)))</f>
        <v/>
      </c>
      <c r="R100" s="0" t="str">
        <f aca="false">IFERROR(MATCH(SMALL(Activities!$O$2:$O$201,33),Activities!$O$2:$O$201,0),"")</f>
        <v/>
      </c>
    </row>
    <row r="101" customFormat="false" ht="15" hidden="false" customHeight="false" outlineLevel="0" collapsed="false">
      <c r="B101" s="9" t="str">
        <f aca="false">IF($R101="","",IF(INDEX(Activities!$A$2:$A$201,$R101)="","",INDEX(Activities!$A$2:$A$201,$R101)))</f>
        <v/>
      </c>
      <c r="C101" s="9" t="str">
        <f aca="false">IF($R101="","",IF(INDEX(Activities!$B$2:$B$201,$R101)="","",INDEX(Activities!$B$2:$B$201,$R101)))</f>
        <v/>
      </c>
      <c r="D101" s="17" t="str">
        <f aca="false">IF($R101="","",IF(INDEX(Activities!$C$2:$C$201,$R101)="","",INDEX(Activities!$C$2:$C$201,$R101)))</f>
        <v/>
      </c>
      <c r="E101" s="14" t="str">
        <f aca="false">IF($R101="","",IF(INDEX(Activities!$N$2:$N$201,$R101)="","",INDEX(Activities!$N$2:$N$201,$R101)))</f>
        <v/>
      </c>
      <c r="F101" s="10" t="str">
        <f aca="false">IF($R101="","",IF(INDEX(Activities!$H$2:$H$201,$R101)="","",INDEX(Activities!$H$2:$H$201,$R101)))</f>
        <v/>
      </c>
      <c r="G101" s="10" t="str">
        <f aca="false">IF($R101="","",IF(INDEX(Activities!$J$2:$J$201,$R101)="","",INDEX(Activities!$J$2:$J$201,$R101)))</f>
        <v/>
      </c>
      <c r="H101" s="10" t="str">
        <f aca="false">IF($R101="","",IF(INDEX(Activities!$K$2:$K$201,$R101)="","",INDEX(Activities!$K$2:$K$201,$R101)))</f>
        <v/>
      </c>
      <c r="I101" s="11" t="str">
        <f aca="false">IF($R101="","",IF(INDEX(Activities!$L$2:$L$201,$R101)="","",INDEX(Activities!$L$2:$L$201,$R101)))</f>
        <v/>
      </c>
      <c r="J101" s="14" t="str">
        <f aca="false">IF($R101="","",IF(INDEX(Activities!$M$2:$M$201,$R101)="","",INDEX(Activities!$M$2:$M$201,$R101)))</f>
        <v/>
      </c>
      <c r="R101" s="0" t="str">
        <f aca="false">IFERROR(MATCH(SMALL(Activities!$O$2:$O$201,34),Activities!$O$2:$O$201,0),"")</f>
        <v/>
      </c>
    </row>
    <row r="102" customFormat="false" ht="15" hidden="false" customHeight="false" outlineLevel="0" collapsed="false">
      <c r="B102" s="9" t="str">
        <f aca="false">IF($R102="","",IF(INDEX(Activities!$A$2:$A$201,$R102)="","",INDEX(Activities!$A$2:$A$201,$R102)))</f>
        <v/>
      </c>
      <c r="C102" s="9" t="str">
        <f aca="false">IF($R102="","",IF(INDEX(Activities!$B$2:$B$201,$R102)="","",INDEX(Activities!$B$2:$B$201,$R102)))</f>
        <v/>
      </c>
      <c r="D102" s="17" t="str">
        <f aca="false">IF($R102="","",IF(INDEX(Activities!$C$2:$C$201,$R102)="","",INDEX(Activities!$C$2:$C$201,$R102)))</f>
        <v/>
      </c>
      <c r="E102" s="14" t="str">
        <f aca="false">IF($R102="","",IF(INDEX(Activities!$N$2:$N$201,$R102)="","",INDEX(Activities!$N$2:$N$201,$R102)))</f>
        <v/>
      </c>
      <c r="F102" s="10" t="str">
        <f aca="false">IF($R102="","",IF(INDEX(Activities!$H$2:$H$201,$R102)="","",INDEX(Activities!$H$2:$H$201,$R102)))</f>
        <v/>
      </c>
      <c r="G102" s="10" t="str">
        <f aca="false">IF($R102="","",IF(INDEX(Activities!$J$2:$J$201,$R102)="","",INDEX(Activities!$J$2:$J$201,$R102)))</f>
        <v/>
      </c>
      <c r="H102" s="10" t="str">
        <f aca="false">IF($R102="","",IF(INDEX(Activities!$K$2:$K$201,$R102)="","",INDEX(Activities!$K$2:$K$201,$R102)))</f>
        <v/>
      </c>
      <c r="I102" s="11" t="str">
        <f aca="false">IF($R102="","",IF(INDEX(Activities!$L$2:$L$201,$R102)="","",INDEX(Activities!$L$2:$L$201,$R102)))</f>
        <v/>
      </c>
      <c r="J102" s="14" t="str">
        <f aca="false">IF($R102="","",IF(INDEX(Activities!$M$2:$M$201,$R102)="","",INDEX(Activities!$M$2:$M$201,$R102)))</f>
        <v/>
      </c>
      <c r="R102" s="0" t="str">
        <f aca="false">IFERROR(MATCH(SMALL(Activities!$O$2:$O$201,35),Activities!$O$2:$O$201,0),"")</f>
        <v/>
      </c>
    </row>
    <row r="103" customFormat="false" ht="15" hidden="false" customHeight="false" outlineLevel="0" collapsed="false">
      <c r="B103" s="9" t="str">
        <f aca="false">IF($R103="","",IF(INDEX(Activities!$A$2:$A$201,$R103)="","",INDEX(Activities!$A$2:$A$201,$R103)))</f>
        <v/>
      </c>
      <c r="C103" s="9" t="str">
        <f aca="false">IF($R103="","",IF(INDEX(Activities!$B$2:$B$201,$R103)="","",INDEX(Activities!$B$2:$B$201,$R103)))</f>
        <v/>
      </c>
      <c r="D103" s="17" t="str">
        <f aca="false">IF($R103="","",IF(INDEX(Activities!$C$2:$C$201,$R103)="","",INDEX(Activities!$C$2:$C$201,$R103)))</f>
        <v/>
      </c>
      <c r="E103" s="14" t="str">
        <f aca="false">IF($R103="","",IF(INDEX(Activities!$N$2:$N$201,$R103)="","",INDEX(Activities!$N$2:$N$201,$R103)))</f>
        <v/>
      </c>
      <c r="F103" s="10" t="str">
        <f aca="false">IF($R103="","",IF(INDEX(Activities!$H$2:$H$201,$R103)="","",INDEX(Activities!$H$2:$H$201,$R103)))</f>
        <v/>
      </c>
      <c r="G103" s="10" t="str">
        <f aca="false">IF($R103="","",IF(INDEX(Activities!$J$2:$J$201,$R103)="","",INDEX(Activities!$J$2:$J$201,$R103)))</f>
        <v/>
      </c>
      <c r="H103" s="10" t="str">
        <f aca="false">IF($R103="","",IF(INDEX(Activities!$K$2:$K$201,$R103)="","",INDEX(Activities!$K$2:$K$201,$R103)))</f>
        <v/>
      </c>
      <c r="I103" s="11" t="str">
        <f aca="false">IF($R103="","",IF(INDEX(Activities!$L$2:$L$201,$R103)="","",INDEX(Activities!$L$2:$L$201,$R103)))</f>
        <v/>
      </c>
      <c r="J103" s="14" t="str">
        <f aca="false">IF($R103="","",IF(INDEX(Activities!$M$2:$M$201,$R103)="","",INDEX(Activities!$M$2:$M$201,$R103)))</f>
        <v/>
      </c>
      <c r="R103" s="0" t="str">
        <f aca="false">IFERROR(MATCH(SMALL(Activities!$O$2:$O$201,36),Activities!$O$2:$O$201,0),"")</f>
        <v/>
      </c>
    </row>
    <row r="104" customFormat="false" ht="15" hidden="false" customHeight="false" outlineLevel="0" collapsed="false">
      <c r="B104" s="9" t="str">
        <f aca="false">IF($R104="","",IF(INDEX(Activities!$A$2:$A$201,$R104)="","",INDEX(Activities!$A$2:$A$201,$R104)))</f>
        <v/>
      </c>
      <c r="C104" s="9" t="str">
        <f aca="false">IF($R104="","",IF(INDEX(Activities!$B$2:$B$201,$R104)="","",INDEX(Activities!$B$2:$B$201,$R104)))</f>
        <v/>
      </c>
      <c r="D104" s="17" t="str">
        <f aca="false">IF($R104="","",IF(INDEX(Activities!$C$2:$C$201,$R104)="","",INDEX(Activities!$C$2:$C$201,$R104)))</f>
        <v/>
      </c>
      <c r="E104" s="14" t="str">
        <f aca="false">IF($R104="","",IF(INDEX(Activities!$N$2:$N$201,$R104)="","",INDEX(Activities!$N$2:$N$201,$R104)))</f>
        <v/>
      </c>
      <c r="F104" s="10" t="str">
        <f aca="false">IF($R104="","",IF(INDEX(Activities!$H$2:$H$201,$R104)="","",INDEX(Activities!$H$2:$H$201,$R104)))</f>
        <v/>
      </c>
      <c r="G104" s="10" t="str">
        <f aca="false">IF($R104="","",IF(INDEX(Activities!$J$2:$J$201,$R104)="","",INDEX(Activities!$J$2:$J$201,$R104)))</f>
        <v/>
      </c>
      <c r="H104" s="10" t="str">
        <f aca="false">IF($R104="","",IF(INDEX(Activities!$K$2:$K$201,$R104)="","",INDEX(Activities!$K$2:$K$201,$R104)))</f>
        <v/>
      </c>
      <c r="I104" s="11" t="str">
        <f aca="false">IF($R104="","",IF(INDEX(Activities!$L$2:$L$201,$R104)="","",INDEX(Activities!$L$2:$L$201,$R104)))</f>
        <v/>
      </c>
      <c r="J104" s="14" t="str">
        <f aca="false">IF($R104="","",IF(INDEX(Activities!$M$2:$M$201,$R104)="","",INDEX(Activities!$M$2:$M$201,$R104)))</f>
        <v/>
      </c>
      <c r="R104" s="0" t="str">
        <f aca="false">IFERROR(MATCH(SMALL(Activities!$O$2:$O$201,37),Activities!$O$2:$O$201,0),"")</f>
        <v/>
      </c>
    </row>
    <row r="105" customFormat="false" ht="15" hidden="false" customHeight="false" outlineLevel="0" collapsed="false">
      <c r="B105" s="9" t="str">
        <f aca="false">IF($R105="","",IF(INDEX(Activities!$A$2:$A$201,$R105)="","",INDEX(Activities!$A$2:$A$201,$R105)))</f>
        <v/>
      </c>
      <c r="C105" s="9" t="str">
        <f aca="false">IF($R105="","",IF(INDEX(Activities!$B$2:$B$201,$R105)="","",INDEX(Activities!$B$2:$B$201,$R105)))</f>
        <v/>
      </c>
      <c r="D105" s="17" t="str">
        <f aca="false">IF($R105="","",IF(INDEX(Activities!$C$2:$C$201,$R105)="","",INDEX(Activities!$C$2:$C$201,$R105)))</f>
        <v/>
      </c>
      <c r="E105" s="14" t="str">
        <f aca="false">IF($R105="","",IF(INDEX(Activities!$N$2:$N$201,$R105)="","",INDEX(Activities!$N$2:$N$201,$R105)))</f>
        <v/>
      </c>
      <c r="F105" s="10" t="str">
        <f aca="false">IF($R105="","",IF(INDEX(Activities!$H$2:$H$201,$R105)="","",INDEX(Activities!$H$2:$H$201,$R105)))</f>
        <v/>
      </c>
      <c r="G105" s="10" t="str">
        <f aca="false">IF($R105="","",IF(INDEX(Activities!$J$2:$J$201,$R105)="","",INDEX(Activities!$J$2:$J$201,$R105)))</f>
        <v/>
      </c>
      <c r="H105" s="10" t="str">
        <f aca="false">IF($R105="","",IF(INDEX(Activities!$K$2:$K$201,$R105)="","",INDEX(Activities!$K$2:$K$201,$R105)))</f>
        <v/>
      </c>
      <c r="I105" s="11" t="str">
        <f aca="false">IF($R105="","",IF(INDEX(Activities!$L$2:$L$201,$R105)="","",INDEX(Activities!$L$2:$L$201,$R105)))</f>
        <v/>
      </c>
      <c r="J105" s="14" t="str">
        <f aca="false">IF($R105="","",IF(INDEX(Activities!$M$2:$M$201,$R105)="","",INDEX(Activities!$M$2:$M$201,$R105)))</f>
        <v/>
      </c>
      <c r="R105" s="0" t="str">
        <f aca="false">IFERROR(MATCH(SMALL(Activities!$O$2:$O$201,38),Activities!$O$2:$O$201,0),"")</f>
        <v/>
      </c>
    </row>
    <row r="106" customFormat="false" ht="15" hidden="false" customHeight="false" outlineLevel="0" collapsed="false">
      <c r="B106" s="9" t="str">
        <f aca="false">IF($R106="","",IF(INDEX(Activities!$A$2:$A$201,$R106)="","",INDEX(Activities!$A$2:$A$201,$R106)))</f>
        <v/>
      </c>
      <c r="C106" s="9" t="str">
        <f aca="false">IF($R106="","",IF(INDEX(Activities!$B$2:$B$201,$R106)="","",INDEX(Activities!$B$2:$B$201,$R106)))</f>
        <v/>
      </c>
      <c r="D106" s="17" t="str">
        <f aca="false">IF($R106="","",IF(INDEX(Activities!$C$2:$C$201,$R106)="","",INDEX(Activities!$C$2:$C$201,$R106)))</f>
        <v/>
      </c>
      <c r="E106" s="14" t="str">
        <f aca="false">IF($R106="","",IF(INDEX(Activities!$N$2:$N$201,$R106)="","",INDEX(Activities!$N$2:$N$201,$R106)))</f>
        <v/>
      </c>
      <c r="F106" s="10" t="str">
        <f aca="false">IF($R106="","",IF(INDEX(Activities!$H$2:$H$201,$R106)="","",INDEX(Activities!$H$2:$H$201,$R106)))</f>
        <v/>
      </c>
      <c r="G106" s="10" t="str">
        <f aca="false">IF($R106="","",IF(INDEX(Activities!$J$2:$J$201,$R106)="","",INDEX(Activities!$J$2:$J$201,$R106)))</f>
        <v/>
      </c>
      <c r="H106" s="10" t="str">
        <f aca="false">IF($R106="","",IF(INDEX(Activities!$K$2:$K$201,$R106)="","",INDEX(Activities!$K$2:$K$201,$R106)))</f>
        <v/>
      </c>
      <c r="I106" s="11" t="str">
        <f aca="false">IF($R106="","",IF(INDEX(Activities!$L$2:$L$201,$R106)="","",INDEX(Activities!$L$2:$L$201,$R106)))</f>
        <v/>
      </c>
      <c r="J106" s="14" t="str">
        <f aca="false">IF($R106="","",IF(INDEX(Activities!$M$2:$M$201,$R106)="","",INDEX(Activities!$M$2:$M$201,$R106)))</f>
        <v/>
      </c>
      <c r="R106" s="0" t="str">
        <f aca="false">IFERROR(MATCH(SMALL(Activities!$O$2:$O$201,39),Activities!$O$2:$O$201,0),"")</f>
        <v/>
      </c>
    </row>
    <row r="107" customFormat="false" ht="15" hidden="false" customHeight="false" outlineLevel="0" collapsed="false">
      <c r="B107" s="9" t="str">
        <f aca="false">IF($R107="","",IF(INDEX(Activities!$A$2:$A$201,$R107)="","",INDEX(Activities!$A$2:$A$201,$R107)))</f>
        <v/>
      </c>
      <c r="C107" s="9" t="str">
        <f aca="false">IF($R107="","",IF(INDEX(Activities!$B$2:$B$201,$R107)="","",INDEX(Activities!$B$2:$B$201,$R107)))</f>
        <v/>
      </c>
      <c r="D107" s="17" t="str">
        <f aca="false">IF($R107="","",IF(INDEX(Activities!$C$2:$C$201,$R107)="","",INDEX(Activities!$C$2:$C$201,$R107)))</f>
        <v/>
      </c>
      <c r="E107" s="14" t="str">
        <f aca="false">IF($R107="","",IF(INDEX(Activities!$N$2:$N$201,$R107)="","",INDEX(Activities!$N$2:$N$201,$R107)))</f>
        <v/>
      </c>
      <c r="F107" s="10" t="str">
        <f aca="false">IF($R107="","",IF(INDEX(Activities!$H$2:$H$201,$R107)="","",INDEX(Activities!$H$2:$H$201,$R107)))</f>
        <v/>
      </c>
      <c r="G107" s="10" t="str">
        <f aca="false">IF($R107="","",IF(INDEX(Activities!$J$2:$J$201,$R107)="","",INDEX(Activities!$J$2:$J$201,$R107)))</f>
        <v/>
      </c>
      <c r="H107" s="10" t="str">
        <f aca="false">IF($R107="","",IF(INDEX(Activities!$K$2:$K$201,$R107)="","",INDEX(Activities!$K$2:$K$201,$R107)))</f>
        <v/>
      </c>
      <c r="I107" s="11" t="str">
        <f aca="false">IF($R107="","",IF(INDEX(Activities!$L$2:$L$201,$R107)="","",INDEX(Activities!$L$2:$L$201,$R107)))</f>
        <v/>
      </c>
      <c r="J107" s="14" t="str">
        <f aca="false">IF($R107="","",IF(INDEX(Activities!$M$2:$M$201,$R107)="","",INDEX(Activities!$M$2:$M$201,$R107)))</f>
        <v/>
      </c>
      <c r="R107" s="0" t="str">
        <f aca="false">IFERROR(MATCH(SMALL(Activities!$O$2:$O$201,40),Activities!$O$2:$O$201,0),"")</f>
        <v/>
      </c>
    </row>
    <row r="108" customFormat="false" ht="15" hidden="false" customHeight="false" outlineLevel="0" collapsed="false">
      <c r="B108" s="9" t="str">
        <f aca="false">IF($R108="","",IF(INDEX(Activities!$A$2:$A$201,$R108)="","",INDEX(Activities!$A$2:$A$201,$R108)))</f>
        <v/>
      </c>
      <c r="C108" s="9" t="str">
        <f aca="false">IF($R108="","",IF(INDEX(Activities!$B$2:$B$201,$R108)="","",INDEX(Activities!$B$2:$B$201,$R108)))</f>
        <v/>
      </c>
      <c r="D108" s="17" t="str">
        <f aca="false">IF($R108="","",IF(INDEX(Activities!$C$2:$C$201,$R108)="","",INDEX(Activities!$C$2:$C$201,$R108)))</f>
        <v/>
      </c>
      <c r="E108" s="14" t="str">
        <f aca="false">IF($R108="","",IF(INDEX(Activities!$N$2:$N$201,$R108)="","",INDEX(Activities!$N$2:$N$201,$R108)))</f>
        <v/>
      </c>
      <c r="F108" s="10" t="str">
        <f aca="false">IF($R108="","",IF(INDEX(Activities!$H$2:$H$201,$R108)="","",INDEX(Activities!$H$2:$H$201,$R108)))</f>
        <v/>
      </c>
      <c r="G108" s="10" t="str">
        <f aca="false">IF($R108="","",IF(INDEX(Activities!$J$2:$J$201,$R108)="","",INDEX(Activities!$J$2:$J$201,$R108)))</f>
        <v/>
      </c>
      <c r="H108" s="10" t="str">
        <f aca="false">IF($R108="","",IF(INDEX(Activities!$K$2:$K$201,$R108)="","",INDEX(Activities!$K$2:$K$201,$R108)))</f>
        <v/>
      </c>
      <c r="I108" s="11" t="str">
        <f aca="false">IF($R108="","",IF(INDEX(Activities!$L$2:$L$201,$R108)="","",INDEX(Activities!$L$2:$L$201,$R108)))</f>
        <v/>
      </c>
      <c r="J108" s="14" t="str">
        <f aca="false">IF($R108="","",IF(INDEX(Activities!$M$2:$M$201,$R108)="","",INDEX(Activities!$M$2:$M$201,$R108)))</f>
        <v/>
      </c>
      <c r="R108" s="0" t="str">
        <f aca="false">IFERROR(MATCH(SMALL(Activities!$O$2:$O$201,41),Activities!$O$2:$O$201,0),"")</f>
        <v/>
      </c>
    </row>
    <row r="109" customFormat="false" ht="15" hidden="false" customHeight="false" outlineLevel="0" collapsed="false">
      <c r="B109" s="9" t="str">
        <f aca="false">IF($R109="","",IF(INDEX(Activities!$A$2:$A$201,$R109)="","",INDEX(Activities!$A$2:$A$201,$R109)))</f>
        <v/>
      </c>
      <c r="C109" s="9" t="str">
        <f aca="false">IF($R109="","",IF(INDEX(Activities!$B$2:$B$201,$R109)="","",INDEX(Activities!$B$2:$B$201,$R109)))</f>
        <v/>
      </c>
      <c r="D109" s="17" t="str">
        <f aca="false">IF($R109="","",IF(INDEX(Activities!$C$2:$C$201,$R109)="","",INDEX(Activities!$C$2:$C$201,$R109)))</f>
        <v/>
      </c>
      <c r="E109" s="14" t="str">
        <f aca="false">IF($R109="","",IF(INDEX(Activities!$N$2:$N$201,$R109)="","",INDEX(Activities!$N$2:$N$201,$R109)))</f>
        <v/>
      </c>
      <c r="F109" s="10" t="str">
        <f aca="false">IF($R109="","",IF(INDEX(Activities!$H$2:$H$201,$R109)="","",INDEX(Activities!$H$2:$H$201,$R109)))</f>
        <v/>
      </c>
      <c r="G109" s="10" t="str">
        <f aca="false">IF($R109="","",IF(INDEX(Activities!$J$2:$J$201,$R109)="","",INDEX(Activities!$J$2:$J$201,$R109)))</f>
        <v/>
      </c>
      <c r="H109" s="10" t="str">
        <f aca="false">IF($R109="","",IF(INDEX(Activities!$K$2:$K$201,$R109)="","",INDEX(Activities!$K$2:$K$201,$R109)))</f>
        <v/>
      </c>
      <c r="I109" s="11" t="str">
        <f aca="false">IF($R109="","",IF(INDEX(Activities!$L$2:$L$201,$R109)="","",INDEX(Activities!$L$2:$L$201,$R109)))</f>
        <v/>
      </c>
      <c r="J109" s="14" t="str">
        <f aca="false">IF($R109="","",IF(INDEX(Activities!$M$2:$M$201,$R109)="","",INDEX(Activities!$M$2:$M$201,$R109)))</f>
        <v/>
      </c>
      <c r="R109" s="0" t="str">
        <f aca="false">IFERROR(MATCH(SMALL(Activities!$O$2:$O$201,42),Activities!$O$2:$O$201,0),"")</f>
        <v/>
      </c>
    </row>
    <row r="110" customFormat="false" ht="15" hidden="false" customHeight="false" outlineLevel="0" collapsed="false">
      <c r="B110" s="9" t="str">
        <f aca="false">IF($R110="","",IF(INDEX(Activities!$A$2:$A$201,$R110)="","",INDEX(Activities!$A$2:$A$201,$R110)))</f>
        <v/>
      </c>
      <c r="C110" s="9" t="str">
        <f aca="false">IF($R110="","",IF(INDEX(Activities!$B$2:$B$201,$R110)="","",INDEX(Activities!$B$2:$B$201,$R110)))</f>
        <v/>
      </c>
      <c r="D110" s="17" t="str">
        <f aca="false">IF($R110="","",IF(INDEX(Activities!$C$2:$C$201,$R110)="","",INDEX(Activities!$C$2:$C$201,$R110)))</f>
        <v/>
      </c>
      <c r="E110" s="14" t="str">
        <f aca="false">IF($R110="","",IF(INDEX(Activities!$N$2:$N$201,$R110)="","",INDEX(Activities!$N$2:$N$201,$R110)))</f>
        <v/>
      </c>
      <c r="F110" s="10" t="str">
        <f aca="false">IF($R110="","",IF(INDEX(Activities!$H$2:$H$201,$R110)="","",INDEX(Activities!$H$2:$H$201,$R110)))</f>
        <v/>
      </c>
      <c r="G110" s="10" t="str">
        <f aca="false">IF($R110="","",IF(INDEX(Activities!$J$2:$J$201,$R110)="","",INDEX(Activities!$J$2:$J$201,$R110)))</f>
        <v/>
      </c>
      <c r="H110" s="10" t="str">
        <f aca="false">IF($R110="","",IF(INDEX(Activities!$K$2:$K$201,$R110)="","",INDEX(Activities!$K$2:$K$201,$R110)))</f>
        <v/>
      </c>
      <c r="I110" s="11" t="str">
        <f aca="false">IF($R110="","",IF(INDEX(Activities!$L$2:$L$201,$R110)="","",INDEX(Activities!$L$2:$L$201,$R110)))</f>
        <v/>
      </c>
      <c r="J110" s="14" t="str">
        <f aca="false">IF($R110="","",IF(INDEX(Activities!$M$2:$M$201,$R110)="","",INDEX(Activities!$M$2:$M$201,$R110)))</f>
        <v/>
      </c>
      <c r="R110" s="0" t="str">
        <f aca="false">IFERROR(MATCH(SMALL(Activities!$O$2:$O$201,43),Activities!$O$2:$O$201,0),"")</f>
        <v/>
      </c>
    </row>
    <row r="111" customFormat="false" ht="15" hidden="false" customHeight="false" outlineLevel="0" collapsed="false">
      <c r="B111" s="9" t="str">
        <f aca="false">IF($R111="","",IF(INDEX(Activities!$A$2:$A$201,$R111)="","",INDEX(Activities!$A$2:$A$201,$R111)))</f>
        <v/>
      </c>
      <c r="C111" s="9" t="str">
        <f aca="false">IF($R111="","",IF(INDEX(Activities!$B$2:$B$201,$R111)="","",INDEX(Activities!$B$2:$B$201,$R111)))</f>
        <v/>
      </c>
      <c r="D111" s="17" t="str">
        <f aca="false">IF($R111="","",IF(INDEX(Activities!$C$2:$C$201,$R111)="","",INDEX(Activities!$C$2:$C$201,$R111)))</f>
        <v/>
      </c>
      <c r="E111" s="14" t="str">
        <f aca="false">IF($R111="","",IF(INDEX(Activities!$N$2:$N$201,$R111)="","",INDEX(Activities!$N$2:$N$201,$R111)))</f>
        <v/>
      </c>
      <c r="F111" s="10" t="str">
        <f aca="false">IF($R111="","",IF(INDEX(Activities!$H$2:$H$201,$R111)="","",INDEX(Activities!$H$2:$H$201,$R111)))</f>
        <v/>
      </c>
      <c r="G111" s="10" t="str">
        <f aca="false">IF($R111="","",IF(INDEX(Activities!$J$2:$J$201,$R111)="","",INDEX(Activities!$J$2:$J$201,$R111)))</f>
        <v/>
      </c>
      <c r="H111" s="10" t="str">
        <f aca="false">IF($R111="","",IF(INDEX(Activities!$K$2:$K$201,$R111)="","",INDEX(Activities!$K$2:$K$201,$R111)))</f>
        <v/>
      </c>
      <c r="I111" s="11" t="str">
        <f aca="false">IF($R111="","",IF(INDEX(Activities!$L$2:$L$201,$R111)="","",INDEX(Activities!$L$2:$L$201,$R111)))</f>
        <v/>
      </c>
      <c r="J111" s="14" t="str">
        <f aca="false">IF($R111="","",IF(INDEX(Activities!$M$2:$M$201,$R111)="","",INDEX(Activities!$M$2:$M$201,$R111)))</f>
        <v/>
      </c>
      <c r="R111" s="0" t="str">
        <f aca="false">IFERROR(MATCH(SMALL(Activities!$O$2:$O$201,44),Activities!$O$2:$O$201,0),"")</f>
        <v/>
      </c>
    </row>
    <row r="112" customFormat="false" ht="15" hidden="false" customHeight="false" outlineLevel="0" collapsed="false">
      <c r="B112" s="9" t="str">
        <f aca="false">IF($R112="","",IF(INDEX(Activities!$A$2:$A$201,$R112)="","",INDEX(Activities!$A$2:$A$201,$R112)))</f>
        <v/>
      </c>
      <c r="C112" s="9" t="str">
        <f aca="false">IF($R112="","",IF(INDEX(Activities!$B$2:$B$201,$R112)="","",INDEX(Activities!$B$2:$B$201,$R112)))</f>
        <v/>
      </c>
      <c r="D112" s="17" t="str">
        <f aca="false">IF($R112="","",IF(INDEX(Activities!$C$2:$C$201,$R112)="","",INDEX(Activities!$C$2:$C$201,$R112)))</f>
        <v/>
      </c>
      <c r="E112" s="14" t="str">
        <f aca="false">IF($R112="","",IF(INDEX(Activities!$N$2:$N$201,$R112)="","",INDEX(Activities!$N$2:$N$201,$R112)))</f>
        <v/>
      </c>
      <c r="F112" s="10" t="str">
        <f aca="false">IF($R112="","",IF(INDEX(Activities!$H$2:$H$201,$R112)="","",INDEX(Activities!$H$2:$H$201,$R112)))</f>
        <v/>
      </c>
      <c r="G112" s="10" t="str">
        <f aca="false">IF($R112="","",IF(INDEX(Activities!$J$2:$J$201,$R112)="","",INDEX(Activities!$J$2:$J$201,$R112)))</f>
        <v/>
      </c>
      <c r="H112" s="10" t="str">
        <f aca="false">IF($R112="","",IF(INDEX(Activities!$K$2:$K$201,$R112)="","",INDEX(Activities!$K$2:$K$201,$R112)))</f>
        <v/>
      </c>
      <c r="I112" s="11" t="str">
        <f aca="false">IF($R112="","",IF(INDEX(Activities!$L$2:$L$201,$R112)="","",INDEX(Activities!$L$2:$L$201,$R112)))</f>
        <v/>
      </c>
      <c r="J112" s="14" t="str">
        <f aca="false">IF($R112="","",IF(INDEX(Activities!$M$2:$M$201,$R112)="","",INDEX(Activities!$M$2:$M$201,$R112)))</f>
        <v/>
      </c>
      <c r="R112" s="0" t="str">
        <f aca="false">IFERROR(MATCH(SMALL(Activities!$O$2:$O$201,45),Activities!$O$2:$O$201,0),"")</f>
        <v/>
      </c>
    </row>
    <row r="113" customFormat="false" ht="15" hidden="false" customHeight="false" outlineLevel="0" collapsed="false">
      <c r="B113" s="9" t="str">
        <f aca="false">IF($R113="","",IF(INDEX(Activities!$A$2:$A$201,$R113)="","",INDEX(Activities!$A$2:$A$201,$R113)))</f>
        <v/>
      </c>
      <c r="C113" s="9" t="str">
        <f aca="false">IF($R113="","",IF(INDEX(Activities!$B$2:$B$201,$R113)="","",INDEX(Activities!$B$2:$B$201,$R113)))</f>
        <v/>
      </c>
      <c r="D113" s="17" t="str">
        <f aca="false">IF($R113="","",IF(INDEX(Activities!$C$2:$C$201,$R113)="","",INDEX(Activities!$C$2:$C$201,$R113)))</f>
        <v/>
      </c>
      <c r="E113" s="14" t="str">
        <f aca="false">IF($R113="","",IF(INDEX(Activities!$N$2:$N$201,$R113)="","",INDEX(Activities!$N$2:$N$201,$R113)))</f>
        <v/>
      </c>
      <c r="F113" s="10" t="str">
        <f aca="false">IF($R113="","",IF(INDEX(Activities!$H$2:$H$201,$R113)="","",INDEX(Activities!$H$2:$H$201,$R113)))</f>
        <v/>
      </c>
      <c r="G113" s="10" t="str">
        <f aca="false">IF($R113="","",IF(INDEX(Activities!$J$2:$J$201,$R113)="","",INDEX(Activities!$J$2:$J$201,$R113)))</f>
        <v/>
      </c>
      <c r="H113" s="10" t="str">
        <f aca="false">IF($R113="","",IF(INDEX(Activities!$K$2:$K$201,$R113)="","",INDEX(Activities!$K$2:$K$201,$R113)))</f>
        <v/>
      </c>
      <c r="I113" s="11" t="str">
        <f aca="false">IF($R113="","",IF(INDEX(Activities!$L$2:$L$201,$R113)="","",INDEX(Activities!$L$2:$L$201,$R113)))</f>
        <v/>
      </c>
      <c r="J113" s="14" t="str">
        <f aca="false">IF($R113="","",IF(INDEX(Activities!$M$2:$M$201,$R113)="","",INDEX(Activities!$M$2:$M$201,$R113)))</f>
        <v/>
      </c>
      <c r="R113" s="0" t="str">
        <f aca="false">IFERROR(MATCH(SMALL(Activities!$O$2:$O$201,46),Activities!$O$2:$O$201,0),"")</f>
        <v/>
      </c>
    </row>
    <row r="114" customFormat="false" ht="15" hidden="false" customHeight="false" outlineLevel="0" collapsed="false">
      <c r="B114" s="9" t="str">
        <f aca="false">IF($R114="","",IF(INDEX(Activities!$A$2:$A$201,$R114)="","",INDEX(Activities!$A$2:$A$201,$R114)))</f>
        <v/>
      </c>
      <c r="C114" s="9" t="str">
        <f aca="false">IF($R114="","",IF(INDEX(Activities!$B$2:$B$201,$R114)="","",INDEX(Activities!$B$2:$B$201,$R114)))</f>
        <v/>
      </c>
      <c r="D114" s="17" t="str">
        <f aca="false">IF($R114="","",IF(INDEX(Activities!$C$2:$C$201,$R114)="","",INDEX(Activities!$C$2:$C$201,$R114)))</f>
        <v/>
      </c>
      <c r="E114" s="14" t="str">
        <f aca="false">IF($R114="","",IF(INDEX(Activities!$N$2:$N$201,$R114)="","",INDEX(Activities!$N$2:$N$201,$R114)))</f>
        <v/>
      </c>
      <c r="F114" s="10" t="str">
        <f aca="false">IF($R114="","",IF(INDEX(Activities!$H$2:$H$201,$R114)="","",INDEX(Activities!$H$2:$H$201,$R114)))</f>
        <v/>
      </c>
      <c r="G114" s="10" t="str">
        <f aca="false">IF($R114="","",IF(INDEX(Activities!$J$2:$J$201,$R114)="","",INDEX(Activities!$J$2:$J$201,$R114)))</f>
        <v/>
      </c>
      <c r="H114" s="10" t="str">
        <f aca="false">IF($R114="","",IF(INDEX(Activities!$K$2:$K$201,$R114)="","",INDEX(Activities!$K$2:$K$201,$R114)))</f>
        <v/>
      </c>
      <c r="I114" s="11" t="str">
        <f aca="false">IF($R114="","",IF(INDEX(Activities!$L$2:$L$201,$R114)="","",INDEX(Activities!$L$2:$L$201,$R114)))</f>
        <v/>
      </c>
      <c r="J114" s="14" t="str">
        <f aca="false">IF($R114="","",IF(INDEX(Activities!$M$2:$M$201,$R114)="","",INDEX(Activities!$M$2:$M$201,$R114)))</f>
        <v/>
      </c>
      <c r="R114" s="0" t="str">
        <f aca="false">IFERROR(MATCH(SMALL(Activities!$O$2:$O$201,47),Activities!$O$2:$O$201,0),"")</f>
        <v/>
      </c>
    </row>
    <row r="115" customFormat="false" ht="15" hidden="false" customHeight="false" outlineLevel="0" collapsed="false">
      <c r="B115" s="9" t="str">
        <f aca="false">IF($R115="","",IF(INDEX(Activities!$A$2:$A$201,$R115)="","",INDEX(Activities!$A$2:$A$201,$R115)))</f>
        <v/>
      </c>
      <c r="C115" s="9" t="str">
        <f aca="false">IF($R115="","",IF(INDEX(Activities!$B$2:$B$201,$R115)="","",INDEX(Activities!$B$2:$B$201,$R115)))</f>
        <v/>
      </c>
      <c r="D115" s="17" t="str">
        <f aca="false">IF($R115="","",IF(INDEX(Activities!$C$2:$C$201,$R115)="","",INDEX(Activities!$C$2:$C$201,$R115)))</f>
        <v/>
      </c>
      <c r="E115" s="14" t="str">
        <f aca="false">IF($R115="","",IF(INDEX(Activities!$N$2:$N$201,$R115)="","",INDEX(Activities!$N$2:$N$201,$R115)))</f>
        <v/>
      </c>
      <c r="F115" s="10" t="str">
        <f aca="false">IF($R115="","",IF(INDEX(Activities!$H$2:$H$201,$R115)="","",INDEX(Activities!$H$2:$H$201,$R115)))</f>
        <v/>
      </c>
      <c r="G115" s="10" t="str">
        <f aca="false">IF($R115="","",IF(INDEX(Activities!$J$2:$J$201,$R115)="","",INDEX(Activities!$J$2:$J$201,$R115)))</f>
        <v/>
      </c>
      <c r="H115" s="10" t="str">
        <f aca="false">IF($R115="","",IF(INDEX(Activities!$K$2:$K$201,$R115)="","",INDEX(Activities!$K$2:$K$201,$R115)))</f>
        <v/>
      </c>
      <c r="I115" s="11" t="str">
        <f aca="false">IF($R115="","",IF(INDEX(Activities!$L$2:$L$201,$R115)="","",INDEX(Activities!$L$2:$L$201,$R115)))</f>
        <v/>
      </c>
      <c r="J115" s="14" t="str">
        <f aca="false">IF($R115="","",IF(INDEX(Activities!$M$2:$M$201,$R115)="","",INDEX(Activities!$M$2:$M$201,$R115)))</f>
        <v/>
      </c>
      <c r="R115" s="0" t="str">
        <f aca="false">IFERROR(MATCH(SMALL(Activities!$O$2:$O$201,48),Activities!$O$2:$O$201,0),"")</f>
        <v/>
      </c>
    </row>
    <row r="116" customFormat="false" ht="15" hidden="false" customHeight="false" outlineLevel="0" collapsed="false">
      <c r="B116" s="9" t="str">
        <f aca="false">IF($R116="","",IF(INDEX(Activities!$A$2:$A$201,$R116)="","",INDEX(Activities!$A$2:$A$201,$R116)))</f>
        <v/>
      </c>
      <c r="C116" s="9" t="str">
        <f aca="false">IF($R116="","",IF(INDEX(Activities!$B$2:$B$201,$R116)="","",INDEX(Activities!$B$2:$B$201,$R116)))</f>
        <v/>
      </c>
      <c r="D116" s="17" t="str">
        <f aca="false">IF($R116="","",IF(INDEX(Activities!$C$2:$C$201,$R116)="","",INDEX(Activities!$C$2:$C$201,$R116)))</f>
        <v/>
      </c>
      <c r="E116" s="14" t="str">
        <f aca="false">IF($R116="","",IF(INDEX(Activities!$N$2:$N$201,$R116)="","",INDEX(Activities!$N$2:$N$201,$R116)))</f>
        <v/>
      </c>
      <c r="F116" s="10" t="str">
        <f aca="false">IF($R116="","",IF(INDEX(Activities!$H$2:$H$201,$R116)="","",INDEX(Activities!$H$2:$H$201,$R116)))</f>
        <v/>
      </c>
      <c r="G116" s="10" t="str">
        <f aca="false">IF($R116="","",IF(INDEX(Activities!$J$2:$J$201,$R116)="","",INDEX(Activities!$J$2:$J$201,$R116)))</f>
        <v/>
      </c>
      <c r="H116" s="10" t="str">
        <f aca="false">IF($R116="","",IF(INDEX(Activities!$K$2:$K$201,$R116)="","",INDEX(Activities!$K$2:$K$201,$R116)))</f>
        <v/>
      </c>
      <c r="I116" s="11" t="str">
        <f aca="false">IF($R116="","",IF(INDEX(Activities!$L$2:$L$201,$R116)="","",INDEX(Activities!$L$2:$L$201,$R116)))</f>
        <v/>
      </c>
      <c r="J116" s="14" t="str">
        <f aca="false">IF($R116="","",IF(INDEX(Activities!$M$2:$M$201,$R116)="","",INDEX(Activities!$M$2:$M$201,$R116)))</f>
        <v/>
      </c>
      <c r="R116" s="0" t="str">
        <f aca="false">IFERROR(MATCH(SMALL(Activities!$O$2:$O$201,49),Activities!$O$2:$O$201,0),"")</f>
        <v/>
      </c>
    </row>
    <row r="117" customFormat="false" ht="15" hidden="false" customHeight="false" outlineLevel="0" collapsed="false">
      <c r="B117" s="9" t="str">
        <f aca="false">IF($R117="","",IF(INDEX(Activities!$A$2:$A$201,$R117)="","",INDEX(Activities!$A$2:$A$201,$R117)))</f>
        <v/>
      </c>
      <c r="C117" s="9" t="str">
        <f aca="false">IF($R117="","",IF(INDEX(Activities!$B$2:$B$201,$R117)="","",INDEX(Activities!$B$2:$B$201,$R117)))</f>
        <v/>
      </c>
      <c r="D117" s="17" t="str">
        <f aca="false">IF($R117="","",IF(INDEX(Activities!$C$2:$C$201,$R117)="","",INDEX(Activities!$C$2:$C$201,$R117)))</f>
        <v/>
      </c>
      <c r="E117" s="14" t="str">
        <f aca="false">IF($R117="","",IF(INDEX(Activities!$N$2:$N$201,$R117)="","",INDEX(Activities!$N$2:$N$201,$R117)))</f>
        <v/>
      </c>
      <c r="F117" s="10" t="str">
        <f aca="false">IF($R117="","",IF(INDEX(Activities!$H$2:$H$201,$R117)="","",INDEX(Activities!$H$2:$H$201,$R117)))</f>
        <v/>
      </c>
      <c r="G117" s="10" t="str">
        <f aca="false">IF($R117="","",IF(INDEX(Activities!$J$2:$J$201,$R117)="","",INDEX(Activities!$J$2:$J$201,$R117)))</f>
        <v/>
      </c>
      <c r="H117" s="10" t="str">
        <f aca="false">IF($R117="","",IF(INDEX(Activities!$K$2:$K$201,$R117)="","",INDEX(Activities!$K$2:$K$201,$R117)))</f>
        <v/>
      </c>
      <c r="I117" s="11" t="str">
        <f aca="false">IF($R117="","",IF(INDEX(Activities!$L$2:$L$201,$R117)="","",INDEX(Activities!$L$2:$L$201,$R117)))</f>
        <v/>
      </c>
      <c r="J117" s="14" t="str">
        <f aca="false">IF($R117="","",IF(INDEX(Activities!$M$2:$M$201,$R117)="","",INDEX(Activities!$M$2:$M$201,$R117)))</f>
        <v/>
      </c>
      <c r="R117" s="0" t="str">
        <f aca="false">IFERROR(MATCH(SMALL(Activities!$O$2:$O$201,50),Activities!$O$2:$O$201,0),"")</f>
        <v/>
      </c>
    </row>
  </sheetData>
  <mergeCells count="34">
    <mergeCell ref="C4:D4"/>
    <mergeCell ref="E4:F4"/>
    <mergeCell ref="G4:H4"/>
    <mergeCell ref="I4:J4"/>
    <mergeCell ref="M4:N4"/>
    <mergeCell ref="O4:P4"/>
    <mergeCell ref="C5:D5"/>
    <mergeCell ref="E5:F5"/>
    <mergeCell ref="G5:H5"/>
    <mergeCell ref="I5:J5"/>
    <mergeCell ref="M5:N5"/>
    <mergeCell ref="O5:P5"/>
    <mergeCell ref="C6:D6"/>
    <mergeCell ref="E6:F6"/>
    <mergeCell ref="G6:H6"/>
    <mergeCell ref="I6:J6"/>
    <mergeCell ref="M6:N6"/>
    <mergeCell ref="O6:P6"/>
    <mergeCell ref="N47:P47"/>
    <mergeCell ref="N48:P48"/>
    <mergeCell ref="N49:P49"/>
    <mergeCell ref="N50:P50"/>
    <mergeCell ref="N51:P51"/>
    <mergeCell ref="N52:P52"/>
    <mergeCell ref="N53:P53"/>
    <mergeCell ref="N54:P54"/>
    <mergeCell ref="N55:P55"/>
    <mergeCell ref="N56:P56"/>
    <mergeCell ref="N57:P57"/>
    <mergeCell ref="N58:P58"/>
    <mergeCell ref="N59:P59"/>
    <mergeCell ref="N60:P60"/>
    <mergeCell ref="N61:P61"/>
    <mergeCell ref="N62:P62"/>
  </mergeCells>
  <conditionalFormatting sqref="E5">
    <cfRule type="cellIs" priority="2" operator="greaterThan" aboveAverage="0" equalAverage="0" bottom="0" percent="0" rank="0" text="" dxfId="0">
      <formula>0</formula>
    </cfRule>
  </conditionalFormatting>
  <conditionalFormatting sqref="O5">
    <cfRule type="cellIs" priority="3" operator="greaterThan" aboveAverage="0" equalAverage="0" bottom="0" percent="0" rank="0" text="" dxfId="0">
      <formula>0</formula>
    </cfRule>
  </conditionalFormatting>
  <conditionalFormatting sqref="F19:F26">
    <cfRule type="cellIs" priority="4" operator="greaterThan" aboveAverage="0" equalAverage="0" bottom="0" percent="0" rank="0" text="" dxfId="1">
      <formula>0</formula>
    </cfRule>
  </conditionalFormatting>
  <conditionalFormatting sqref="O10:O24">
    <cfRule type="cellIs" priority="5" operator="greaterThan" aboveAverage="0" equalAverage="0" bottom="0" percent="0" rank="0" text="" dxfId="1">
      <formula>0</formula>
    </cfRule>
  </conditionalFormatting>
  <conditionalFormatting sqref="D48:D57">
    <cfRule type="expression" priority="6" aboveAverage="0" equalAverage="0" bottom="0" percent="0" rank="0" text="" dxfId="2">
      <formula>AND(D48&lt;&gt;"",D48&gt;=Setup!$H$2)</formula>
    </cfRule>
  </conditionalFormatting>
  <conditionalFormatting sqref="B68:J117">
    <cfRule type="expression" priority="7" aboveAverage="0" equalAverage="0" bottom="0" percent="0" rank="0" text="" dxfId="3">
      <formula>$E68="Past"</formula>
    </cfRule>
  </conditionalFormatting>
  <conditionalFormatting sqref="J68:J117">
    <cfRule type="cellIs" priority="8" operator="equal" aboveAverage="0" equalAverage="0" bottom="0" percent="0" rank="0" text="" dxfId="4">
      <formula>"Fully staffed"</formula>
    </cfRule>
    <cfRule type="cellIs" priority="9" operator="equal" aboveAverage="0" equalAverage="0" bottom="0" percent="0" rank="0" text="" dxfId="2">
      <formula>"Short"</formula>
    </cfRule>
    <cfRule type="cellIs" priority="10" operator="equal" aboveAverage="0" equalAverage="0" bottom="0" percent="0" rank="0" text="" dxfId="5">
      <formula>"Unstaffed"</formula>
    </cfRule>
    <cfRule type="cellIs" priority="11" operator="equal" aboveAverage="0" equalAverage="0" bottom="0" percent="0" rank="0" text="" dxfId="6">
      <formula>"Over-staffed"</formula>
    </cfRule>
  </conditionalFormatting>
  <conditionalFormatting sqref="E68:E117">
    <cfRule type="cellIs" priority="12" operator="equal" aboveAverage="0" equalAverage="0" bottom="0" percent="0" rank="0" text="" dxfId="7">
      <formula>"Upcoming"</formula>
    </cfRule>
  </conditionalFormatting>
  <conditionalFormatting sqref="I68:I117">
    <cfRule type="dataBar" priority="13">
      <dataBar showValue="1" minLength="10" maxLength="90">
        <cfvo type="num" val="0"/>
        <cfvo type="num" val="1"/>
        <color rgb="FF5B8DEF"/>
      </dataBar>
      <extLst>
        <ext xmlns:x14="http://schemas.microsoft.com/office/spreadsheetml/2009/9/main" uri="{B025F937-C7B1-47D3-B67F-A62EFF666E3E}">
          <x14:id>{2A4611C6-DF2D-46B4-A1FC-61E3B1FC5E81}</x14:id>
        </ext>
      </extLst>
    </cfRule>
  </conditionalFormatting>
  <conditionalFormatting sqref="H68:H117">
    <cfRule type="expression" priority="14" aboveAverage="0" equalAverage="0" bottom="0" percent="0" rank="0" text="" dxfId="1">
      <formula>AND(ISNUMBER(H68),H68&gt;0)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2A4611C6-DF2D-46B4-A1FC-61E3B1FC5E81}">
            <x14:dataBar minLength="10" maxLength="90" axisPosition="none" gradient="true">
              <x14:cfvo type="num">
                <xm:f>0</xm:f>
              </x14:cfvo>
              <x14:cfvo type="num">
                <xm:f>1</xm:f>
              </x14:cfvo>
              <x14:negativeFillColor rgb="FF5B8DEF"/>
              <x14:axisColor rgb="FF000000"/>
            </x14:dataBar>
          </x14:cfRule>
          <xm:sqref>I68:I117</xm:sqref>
        </x14:conditionalFormatting>
      </x14:conditionalFormatting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L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5"/>
    <col collapsed="false" customWidth="true" hidden="false" outlineLevel="0" max="4" min="4" style="0" width="12"/>
    <col collapsed="false" customWidth="true" hidden="false" outlineLevel="0" max="5" min="5" style="0" width="10"/>
    <col collapsed="false" customWidth="true" hidden="false" outlineLevel="0" max="6" min="6" style="0" width="28"/>
    <col collapsed="false" customWidth="true" hidden="false" outlineLevel="0" max="7" min="7" style="0" width="14"/>
    <col collapsed="false" customWidth="true" hidden="false" outlineLevel="0" max="8" min="8" style="0" width="18"/>
    <col collapsed="false" customWidth="true" hidden="false" outlineLevel="0" max="10" min="9" style="0" width="12"/>
    <col collapsed="false" customWidth="true" hidden="false" outlineLevel="0" max="11" min="11" style="0" width="10"/>
    <col collapsed="false" customWidth="true" hidden="false" outlineLevel="0" max="12" min="12" style="0" width="16"/>
  </cols>
  <sheetData>
    <row r="1" customFormat="false" ht="30" hidden="false" customHeight="true" outlineLevel="0" collapsed="false">
      <c r="A1" s="19" t="s">
        <v>35</v>
      </c>
      <c r="B1" s="19" t="s">
        <v>43</v>
      </c>
      <c r="C1" s="19" t="s">
        <v>44</v>
      </c>
      <c r="D1" s="19" t="s">
        <v>42</v>
      </c>
      <c r="E1" s="19" t="s">
        <v>45</v>
      </c>
      <c r="F1" s="19" t="s">
        <v>46</v>
      </c>
      <c r="G1" s="20" t="s">
        <v>36</v>
      </c>
      <c r="H1" s="20" t="s">
        <v>24</v>
      </c>
      <c r="I1" s="20" t="s">
        <v>47</v>
      </c>
      <c r="J1" s="20" t="s">
        <v>48</v>
      </c>
      <c r="K1" s="20" t="s">
        <v>49</v>
      </c>
      <c r="L1" s="20" t="s">
        <v>50</v>
      </c>
    </row>
    <row r="2" customFormat="false" ht="15" hidden="false" customHeight="false" outlineLevel="0" collapsed="false">
      <c r="A2" s="21" t="s">
        <v>51</v>
      </c>
      <c r="B2" s="21" t="s">
        <v>52</v>
      </c>
      <c r="C2" s="21" t="s">
        <v>53</v>
      </c>
      <c r="D2" s="21" t="s">
        <v>54</v>
      </c>
      <c r="E2" s="22"/>
      <c r="F2" s="21" t="s">
        <v>55</v>
      </c>
      <c r="G2" s="23" t="n">
        <f aca="false">IF($A2="","",IFERROR(IF(INDEX(Activities!$C$2:$C$201,MATCH($A2,Activities!$A$2:$A$201,0))="","",INDEX(Activities!$C$2:$C$201,MATCH($A2,Activities!$A$2:$A$201,0))),""))</f>
        <v>46311</v>
      </c>
      <c r="H2" s="24" t="str">
        <f aca="false">IF($A2="","",IFERROR(IF(INDEX(Activities!$B$2:$B$201,MATCH($A2,Activities!$A$2:$A$201,0))="","",INDEX(Activities!$B$2:$B$201,MATCH($A2,Activities!$A$2:$A$201,0))),""))</f>
        <v>Ceremony</v>
      </c>
      <c r="I2" s="24" t="str">
        <f aca="false">IF($B2="","",IFERROR(IF(INDEX(Students!$C$2:$C$301,MATCH($B2,Students!$A$2:$A$301,0))="","",INDEX(Students!$C$2:$C$301,MATCH($B2,Students!$A$2:$A$301,0))),""))</f>
        <v>303</v>
      </c>
      <c r="J2" s="24" t="str">
        <f aca="false">IF($B2="","",IFERROR(IF(INDEX(Students!$B$2:$B$301,MATCH($B2,Students!$A$2:$A$301,0))="","",INDEX(Students!$B$2:$B$301,MATCH($B2,Students!$A$2:$A$301,0))),""))</f>
        <v>Wei Ling</v>
      </c>
      <c r="K2" s="25" t="n">
        <f aca="false">IF($A2="","",IF(D2="Withdrawn",0,IF(E2&lt;&gt;"",N(E2),IFERROR(N(INDEX(Activities!$I$2:$I$201,MATCH($A2,Activities!$A$2:$A$201,0))),0))))</f>
        <v>3.5</v>
      </c>
      <c r="L2" s="24" t="str">
        <f aca="false">IF(AND($A2="",$B2=""),"",IF(ISNA(MATCH($A2,Activities!$A$2:$A$201,0)),"Unknown activity",IF(ISNA(MATCH($B2,Students!$A$2:$A$301,0)),"Unknown student",IF(D2="","No status",IF(COUNTIFS($A$2:$A$1001,$A2,$B$2:$B$1001,$B2)&gt;1,"Duplicate",IF(AND(D2&lt;&gt;"Withdrawn",G2&lt;&gt;"",COUNTIFS($B$2:$B$1001,$B2,$G$2:$G$1001,G2,$D$2:$D$1001,"&lt;&gt;Withdrawn")&gt;1),"Same-day clash","OK"))))))</f>
        <v>OK</v>
      </c>
    </row>
    <row r="3" customFormat="false" ht="15" hidden="false" customHeight="false" outlineLevel="0" collapsed="false">
      <c r="E3" s="26"/>
      <c r="G3" s="23" t="str">
        <f aca="false">IF($A3="","",IFERROR(IF(INDEX(Activities!$C$2:$C$201,MATCH($A3,Activities!$A$2:$A$201,0))="","",INDEX(Activities!$C$2:$C$201,MATCH($A3,Activities!$A$2:$A$201,0))),""))</f>
        <v/>
      </c>
      <c r="H3" s="24" t="str">
        <f aca="false">IF($A3="","",IFERROR(IF(INDEX(Activities!$B$2:$B$201,MATCH($A3,Activities!$A$2:$A$201,0))="","",INDEX(Activities!$B$2:$B$201,MATCH($A3,Activities!$A$2:$A$201,0))),""))</f>
        <v/>
      </c>
      <c r="I3" s="24" t="str">
        <f aca="false">IF($B3="","",IFERROR(IF(INDEX(Students!$C$2:$C$301,MATCH($B3,Students!$A$2:$A$301,0))="","",INDEX(Students!$C$2:$C$301,MATCH($B3,Students!$A$2:$A$301,0))),""))</f>
        <v/>
      </c>
      <c r="J3" s="24" t="str">
        <f aca="false">IF($B3="","",IFERROR(IF(INDEX(Students!$B$2:$B$301,MATCH($B3,Students!$A$2:$A$301,0))="","",INDEX(Students!$B$2:$B$301,MATCH($B3,Students!$A$2:$A$301,0))),""))</f>
        <v/>
      </c>
      <c r="K3" s="25" t="str">
        <f aca="false">IF($A3="","",IF(D3="Withdrawn",0,IF(E3&lt;&gt;"",N(E3),IFERROR(N(INDEX(Activities!$I$2:$I$201,MATCH($A3,Activities!$A$2:$A$201,0))),0))))</f>
        <v/>
      </c>
      <c r="L3" s="24" t="str">
        <f aca="false">IF(AND($A3="",$B3=""),"",IF(ISNA(MATCH($A3,Activities!$A$2:$A$201,0)),"Unknown activity",IF(ISNA(MATCH($B3,Students!$A$2:$A$301,0)),"Unknown student",IF(D3="","No status",IF(COUNTIFS($A$2:$A$1001,$A3,$B$2:$B$1001,$B3)&gt;1,"Duplicate",IF(AND(D3&lt;&gt;"Withdrawn",G3&lt;&gt;"",COUNTIFS($B$2:$B$1001,$B3,$G$2:$G$1001,G3,$D$2:$D$1001,"&lt;&gt;Withdrawn")&gt;1),"Same-day clash","OK"))))))</f>
        <v/>
      </c>
    </row>
    <row r="4" customFormat="false" ht="15" hidden="false" customHeight="false" outlineLevel="0" collapsed="false">
      <c r="E4" s="26"/>
      <c r="G4" s="23" t="str">
        <f aca="false">IF($A4="","",IFERROR(IF(INDEX(Activities!$C$2:$C$201,MATCH($A4,Activities!$A$2:$A$201,0))="","",INDEX(Activities!$C$2:$C$201,MATCH($A4,Activities!$A$2:$A$201,0))),""))</f>
        <v/>
      </c>
      <c r="H4" s="24" t="str">
        <f aca="false">IF($A4="","",IFERROR(IF(INDEX(Activities!$B$2:$B$201,MATCH($A4,Activities!$A$2:$A$201,0))="","",INDEX(Activities!$B$2:$B$201,MATCH($A4,Activities!$A$2:$A$201,0))),""))</f>
        <v/>
      </c>
      <c r="I4" s="24" t="str">
        <f aca="false">IF($B4="","",IFERROR(IF(INDEX(Students!$C$2:$C$301,MATCH($B4,Students!$A$2:$A$301,0))="","",INDEX(Students!$C$2:$C$301,MATCH($B4,Students!$A$2:$A$301,0))),""))</f>
        <v/>
      </c>
      <c r="J4" s="24" t="str">
        <f aca="false">IF($B4="","",IFERROR(IF(INDEX(Students!$B$2:$B$301,MATCH($B4,Students!$A$2:$A$301,0))="","",INDEX(Students!$B$2:$B$301,MATCH($B4,Students!$A$2:$A$301,0))),""))</f>
        <v/>
      </c>
      <c r="K4" s="25" t="str">
        <f aca="false">IF($A4="","",IF(D4="Withdrawn",0,IF(E4&lt;&gt;"",N(E4),IFERROR(N(INDEX(Activities!$I$2:$I$201,MATCH($A4,Activities!$A$2:$A$201,0))),0))))</f>
        <v/>
      </c>
      <c r="L4" s="24" t="str">
        <f aca="false">IF(AND($A4="",$B4=""),"",IF(ISNA(MATCH($A4,Activities!$A$2:$A$201,0)),"Unknown activity",IF(ISNA(MATCH($B4,Students!$A$2:$A$301,0)),"Unknown student",IF(D4="","No status",IF(COUNTIFS($A$2:$A$1001,$A4,$B$2:$B$1001,$B4)&gt;1,"Duplicate",IF(AND(D4&lt;&gt;"Withdrawn",G4&lt;&gt;"",COUNTIFS($B$2:$B$1001,$B4,$G$2:$G$1001,G4,$D$2:$D$1001,"&lt;&gt;Withdrawn")&gt;1),"Same-day clash","OK"))))))</f>
        <v/>
      </c>
    </row>
    <row r="5" customFormat="false" ht="15" hidden="false" customHeight="false" outlineLevel="0" collapsed="false">
      <c r="E5" s="26"/>
      <c r="G5" s="23" t="str">
        <f aca="false">IF($A5="","",IFERROR(IF(INDEX(Activities!$C$2:$C$201,MATCH($A5,Activities!$A$2:$A$201,0))="","",INDEX(Activities!$C$2:$C$201,MATCH($A5,Activities!$A$2:$A$201,0))),""))</f>
        <v/>
      </c>
      <c r="H5" s="24" t="str">
        <f aca="false">IF($A5="","",IFERROR(IF(INDEX(Activities!$B$2:$B$201,MATCH($A5,Activities!$A$2:$A$201,0))="","",INDEX(Activities!$B$2:$B$201,MATCH($A5,Activities!$A$2:$A$201,0))),""))</f>
        <v/>
      </c>
      <c r="I5" s="24" t="str">
        <f aca="false">IF($B5="","",IFERROR(IF(INDEX(Students!$C$2:$C$301,MATCH($B5,Students!$A$2:$A$301,0))="","",INDEX(Students!$C$2:$C$301,MATCH($B5,Students!$A$2:$A$301,0))),""))</f>
        <v/>
      </c>
      <c r="J5" s="24" t="str">
        <f aca="false">IF($B5="","",IFERROR(IF(INDEX(Students!$B$2:$B$301,MATCH($B5,Students!$A$2:$A$301,0))="","",INDEX(Students!$B$2:$B$301,MATCH($B5,Students!$A$2:$A$301,0))),""))</f>
        <v/>
      </c>
      <c r="K5" s="25" t="str">
        <f aca="false">IF($A5="","",IF(D5="Withdrawn",0,IF(E5&lt;&gt;"",N(E5),IFERROR(N(INDEX(Activities!$I$2:$I$201,MATCH($A5,Activities!$A$2:$A$201,0))),0))))</f>
        <v/>
      </c>
      <c r="L5" s="24" t="str">
        <f aca="false">IF(AND($A5="",$B5=""),"",IF(ISNA(MATCH($A5,Activities!$A$2:$A$201,0)),"Unknown activity",IF(ISNA(MATCH($B5,Students!$A$2:$A$301,0)),"Unknown student",IF(D5="","No status",IF(COUNTIFS($A$2:$A$1001,$A5,$B$2:$B$1001,$B5)&gt;1,"Duplicate",IF(AND(D5&lt;&gt;"Withdrawn",G5&lt;&gt;"",COUNTIFS($B$2:$B$1001,$B5,$G$2:$G$1001,G5,$D$2:$D$1001,"&lt;&gt;Withdrawn")&gt;1),"Same-day clash","OK"))))))</f>
        <v/>
      </c>
    </row>
    <row r="6" customFormat="false" ht="15" hidden="false" customHeight="false" outlineLevel="0" collapsed="false">
      <c r="E6" s="26"/>
      <c r="G6" s="23" t="str">
        <f aca="false">IF($A6="","",IFERROR(IF(INDEX(Activities!$C$2:$C$201,MATCH($A6,Activities!$A$2:$A$201,0))="","",INDEX(Activities!$C$2:$C$201,MATCH($A6,Activities!$A$2:$A$201,0))),""))</f>
        <v/>
      </c>
      <c r="H6" s="24" t="str">
        <f aca="false">IF($A6="","",IFERROR(IF(INDEX(Activities!$B$2:$B$201,MATCH($A6,Activities!$A$2:$A$201,0))="","",INDEX(Activities!$B$2:$B$201,MATCH($A6,Activities!$A$2:$A$201,0))),""))</f>
        <v/>
      </c>
      <c r="I6" s="24" t="str">
        <f aca="false">IF($B6="","",IFERROR(IF(INDEX(Students!$C$2:$C$301,MATCH($B6,Students!$A$2:$A$301,0))="","",INDEX(Students!$C$2:$C$301,MATCH($B6,Students!$A$2:$A$301,0))),""))</f>
        <v/>
      </c>
      <c r="J6" s="24" t="str">
        <f aca="false">IF($B6="","",IFERROR(IF(INDEX(Students!$B$2:$B$301,MATCH($B6,Students!$A$2:$A$301,0))="","",INDEX(Students!$B$2:$B$301,MATCH($B6,Students!$A$2:$A$301,0))),""))</f>
        <v/>
      </c>
      <c r="K6" s="25" t="str">
        <f aca="false">IF($A6="","",IF(D6="Withdrawn",0,IF(E6&lt;&gt;"",N(E6),IFERROR(N(INDEX(Activities!$I$2:$I$201,MATCH($A6,Activities!$A$2:$A$201,0))),0))))</f>
        <v/>
      </c>
      <c r="L6" s="24" t="str">
        <f aca="false">IF(AND($A6="",$B6=""),"",IF(ISNA(MATCH($A6,Activities!$A$2:$A$201,0)),"Unknown activity",IF(ISNA(MATCH($B6,Students!$A$2:$A$301,0)),"Unknown student",IF(D6="","No status",IF(COUNTIFS($A$2:$A$1001,$A6,$B$2:$B$1001,$B6)&gt;1,"Duplicate",IF(AND(D6&lt;&gt;"Withdrawn",G6&lt;&gt;"",COUNTIFS($B$2:$B$1001,$B6,$G$2:$G$1001,G6,$D$2:$D$1001,"&lt;&gt;Withdrawn")&gt;1),"Same-day clash","OK"))))))</f>
        <v/>
      </c>
    </row>
    <row r="7" customFormat="false" ht="15" hidden="false" customHeight="false" outlineLevel="0" collapsed="false">
      <c r="E7" s="26"/>
      <c r="G7" s="23" t="str">
        <f aca="false">IF($A7="","",IFERROR(IF(INDEX(Activities!$C$2:$C$201,MATCH($A7,Activities!$A$2:$A$201,0))="","",INDEX(Activities!$C$2:$C$201,MATCH($A7,Activities!$A$2:$A$201,0))),""))</f>
        <v/>
      </c>
      <c r="H7" s="24" t="str">
        <f aca="false">IF($A7="","",IFERROR(IF(INDEX(Activities!$B$2:$B$201,MATCH($A7,Activities!$A$2:$A$201,0))="","",INDEX(Activities!$B$2:$B$201,MATCH($A7,Activities!$A$2:$A$201,0))),""))</f>
        <v/>
      </c>
      <c r="I7" s="24" t="str">
        <f aca="false">IF($B7="","",IFERROR(IF(INDEX(Students!$C$2:$C$301,MATCH($B7,Students!$A$2:$A$301,0))="","",INDEX(Students!$C$2:$C$301,MATCH($B7,Students!$A$2:$A$301,0))),""))</f>
        <v/>
      </c>
      <c r="J7" s="24" t="str">
        <f aca="false">IF($B7="","",IFERROR(IF(INDEX(Students!$B$2:$B$301,MATCH($B7,Students!$A$2:$A$301,0))="","",INDEX(Students!$B$2:$B$301,MATCH($B7,Students!$A$2:$A$301,0))),""))</f>
        <v/>
      </c>
      <c r="K7" s="25" t="str">
        <f aca="false">IF($A7="","",IF(D7="Withdrawn",0,IF(E7&lt;&gt;"",N(E7),IFERROR(N(INDEX(Activities!$I$2:$I$201,MATCH($A7,Activities!$A$2:$A$201,0))),0))))</f>
        <v/>
      </c>
      <c r="L7" s="24" t="str">
        <f aca="false">IF(AND($A7="",$B7=""),"",IF(ISNA(MATCH($A7,Activities!$A$2:$A$201,0)),"Unknown activity",IF(ISNA(MATCH($B7,Students!$A$2:$A$301,0)),"Unknown student",IF(D7="","No status",IF(COUNTIFS($A$2:$A$1001,$A7,$B$2:$B$1001,$B7)&gt;1,"Duplicate",IF(AND(D7&lt;&gt;"Withdrawn",G7&lt;&gt;"",COUNTIFS($B$2:$B$1001,$B7,$G$2:$G$1001,G7,$D$2:$D$1001,"&lt;&gt;Withdrawn")&gt;1),"Same-day clash","OK"))))))</f>
        <v/>
      </c>
    </row>
    <row r="8" customFormat="false" ht="15" hidden="false" customHeight="false" outlineLevel="0" collapsed="false">
      <c r="E8" s="26"/>
      <c r="G8" s="23" t="str">
        <f aca="false">IF($A8="","",IFERROR(IF(INDEX(Activities!$C$2:$C$201,MATCH($A8,Activities!$A$2:$A$201,0))="","",INDEX(Activities!$C$2:$C$201,MATCH($A8,Activities!$A$2:$A$201,0))),""))</f>
        <v/>
      </c>
      <c r="H8" s="24" t="str">
        <f aca="false">IF($A8="","",IFERROR(IF(INDEX(Activities!$B$2:$B$201,MATCH($A8,Activities!$A$2:$A$201,0))="","",INDEX(Activities!$B$2:$B$201,MATCH($A8,Activities!$A$2:$A$201,0))),""))</f>
        <v/>
      </c>
      <c r="I8" s="24" t="str">
        <f aca="false">IF($B8="","",IFERROR(IF(INDEX(Students!$C$2:$C$301,MATCH($B8,Students!$A$2:$A$301,0))="","",INDEX(Students!$C$2:$C$301,MATCH($B8,Students!$A$2:$A$301,0))),""))</f>
        <v/>
      </c>
      <c r="J8" s="24" t="str">
        <f aca="false">IF($B8="","",IFERROR(IF(INDEX(Students!$B$2:$B$301,MATCH($B8,Students!$A$2:$A$301,0))="","",INDEX(Students!$B$2:$B$301,MATCH($B8,Students!$A$2:$A$301,0))),""))</f>
        <v/>
      </c>
      <c r="K8" s="25" t="str">
        <f aca="false">IF($A8="","",IF(D8="Withdrawn",0,IF(E8&lt;&gt;"",N(E8),IFERROR(N(INDEX(Activities!$I$2:$I$201,MATCH($A8,Activities!$A$2:$A$201,0))),0))))</f>
        <v/>
      </c>
      <c r="L8" s="24" t="str">
        <f aca="false">IF(AND($A8="",$B8=""),"",IF(ISNA(MATCH($A8,Activities!$A$2:$A$201,0)),"Unknown activity",IF(ISNA(MATCH($B8,Students!$A$2:$A$301,0)),"Unknown student",IF(D8="","No status",IF(COUNTIFS($A$2:$A$1001,$A8,$B$2:$B$1001,$B8)&gt;1,"Duplicate",IF(AND(D8&lt;&gt;"Withdrawn",G8&lt;&gt;"",COUNTIFS($B$2:$B$1001,$B8,$G$2:$G$1001,G8,$D$2:$D$1001,"&lt;&gt;Withdrawn")&gt;1),"Same-day clash","OK"))))))</f>
        <v/>
      </c>
    </row>
    <row r="9" customFormat="false" ht="15" hidden="false" customHeight="false" outlineLevel="0" collapsed="false">
      <c r="E9" s="26"/>
      <c r="G9" s="23" t="str">
        <f aca="false">IF($A9="","",IFERROR(IF(INDEX(Activities!$C$2:$C$201,MATCH($A9,Activities!$A$2:$A$201,0))="","",INDEX(Activities!$C$2:$C$201,MATCH($A9,Activities!$A$2:$A$201,0))),""))</f>
        <v/>
      </c>
      <c r="H9" s="24" t="str">
        <f aca="false">IF($A9="","",IFERROR(IF(INDEX(Activities!$B$2:$B$201,MATCH($A9,Activities!$A$2:$A$201,0))="","",INDEX(Activities!$B$2:$B$201,MATCH($A9,Activities!$A$2:$A$201,0))),""))</f>
        <v/>
      </c>
      <c r="I9" s="24" t="str">
        <f aca="false">IF($B9="","",IFERROR(IF(INDEX(Students!$C$2:$C$301,MATCH($B9,Students!$A$2:$A$301,0))="","",INDEX(Students!$C$2:$C$301,MATCH($B9,Students!$A$2:$A$301,0))),""))</f>
        <v/>
      </c>
      <c r="J9" s="24" t="str">
        <f aca="false">IF($B9="","",IFERROR(IF(INDEX(Students!$B$2:$B$301,MATCH($B9,Students!$A$2:$A$301,0))="","",INDEX(Students!$B$2:$B$301,MATCH($B9,Students!$A$2:$A$301,0))),""))</f>
        <v/>
      </c>
      <c r="K9" s="25" t="str">
        <f aca="false">IF($A9="","",IF(D9="Withdrawn",0,IF(E9&lt;&gt;"",N(E9),IFERROR(N(INDEX(Activities!$I$2:$I$201,MATCH($A9,Activities!$A$2:$A$201,0))),0))))</f>
        <v/>
      </c>
      <c r="L9" s="24" t="str">
        <f aca="false">IF(AND($A9="",$B9=""),"",IF(ISNA(MATCH($A9,Activities!$A$2:$A$201,0)),"Unknown activity",IF(ISNA(MATCH($B9,Students!$A$2:$A$301,0)),"Unknown student",IF(D9="","No status",IF(COUNTIFS($A$2:$A$1001,$A9,$B$2:$B$1001,$B9)&gt;1,"Duplicate",IF(AND(D9&lt;&gt;"Withdrawn",G9&lt;&gt;"",COUNTIFS($B$2:$B$1001,$B9,$G$2:$G$1001,G9,$D$2:$D$1001,"&lt;&gt;Withdrawn")&gt;1),"Same-day clash","OK"))))))</f>
        <v/>
      </c>
    </row>
    <row r="10" customFormat="false" ht="15" hidden="false" customHeight="false" outlineLevel="0" collapsed="false">
      <c r="E10" s="26"/>
      <c r="G10" s="23" t="str">
        <f aca="false">IF($A10="","",IFERROR(IF(INDEX(Activities!$C$2:$C$201,MATCH($A10,Activities!$A$2:$A$201,0))="","",INDEX(Activities!$C$2:$C$201,MATCH($A10,Activities!$A$2:$A$201,0))),""))</f>
        <v/>
      </c>
      <c r="H10" s="24" t="str">
        <f aca="false">IF($A10="","",IFERROR(IF(INDEX(Activities!$B$2:$B$201,MATCH($A10,Activities!$A$2:$A$201,0))="","",INDEX(Activities!$B$2:$B$201,MATCH($A10,Activities!$A$2:$A$201,0))),""))</f>
        <v/>
      </c>
      <c r="I10" s="24" t="str">
        <f aca="false">IF($B10="","",IFERROR(IF(INDEX(Students!$C$2:$C$301,MATCH($B10,Students!$A$2:$A$301,0))="","",INDEX(Students!$C$2:$C$301,MATCH($B10,Students!$A$2:$A$301,0))),""))</f>
        <v/>
      </c>
      <c r="J10" s="24" t="str">
        <f aca="false">IF($B10="","",IFERROR(IF(INDEX(Students!$B$2:$B$301,MATCH($B10,Students!$A$2:$A$301,0))="","",INDEX(Students!$B$2:$B$301,MATCH($B10,Students!$A$2:$A$301,0))),""))</f>
        <v/>
      </c>
      <c r="K10" s="25" t="str">
        <f aca="false">IF($A10="","",IF(D10="Withdrawn",0,IF(E10&lt;&gt;"",N(E10),IFERROR(N(INDEX(Activities!$I$2:$I$201,MATCH($A10,Activities!$A$2:$A$201,0))),0))))</f>
        <v/>
      </c>
      <c r="L10" s="24" t="str">
        <f aca="false">IF(AND($A10="",$B10=""),"",IF(ISNA(MATCH($A10,Activities!$A$2:$A$201,0)),"Unknown activity",IF(ISNA(MATCH($B10,Students!$A$2:$A$301,0)),"Unknown student",IF(D10="","No status",IF(COUNTIFS($A$2:$A$1001,$A10,$B$2:$B$1001,$B10)&gt;1,"Duplicate",IF(AND(D10&lt;&gt;"Withdrawn",G10&lt;&gt;"",COUNTIFS($B$2:$B$1001,$B10,$G$2:$G$1001,G10,$D$2:$D$1001,"&lt;&gt;Withdrawn")&gt;1),"Same-day clash","OK"))))))</f>
        <v/>
      </c>
    </row>
    <row r="11" customFormat="false" ht="15" hidden="false" customHeight="false" outlineLevel="0" collapsed="false">
      <c r="E11" s="26"/>
      <c r="G11" s="23" t="str">
        <f aca="false">IF($A11="","",IFERROR(IF(INDEX(Activities!$C$2:$C$201,MATCH($A11,Activities!$A$2:$A$201,0))="","",INDEX(Activities!$C$2:$C$201,MATCH($A11,Activities!$A$2:$A$201,0))),""))</f>
        <v/>
      </c>
      <c r="H11" s="24" t="str">
        <f aca="false">IF($A11="","",IFERROR(IF(INDEX(Activities!$B$2:$B$201,MATCH($A11,Activities!$A$2:$A$201,0))="","",INDEX(Activities!$B$2:$B$201,MATCH($A11,Activities!$A$2:$A$201,0))),""))</f>
        <v/>
      </c>
      <c r="I11" s="24" t="str">
        <f aca="false">IF($B11="","",IFERROR(IF(INDEX(Students!$C$2:$C$301,MATCH($B11,Students!$A$2:$A$301,0))="","",INDEX(Students!$C$2:$C$301,MATCH($B11,Students!$A$2:$A$301,0))),""))</f>
        <v/>
      </c>
      <c r="J11" s="24" t="str">
        <f aca="false">IF($B11="","",IFERROR(IF(INDEX(Students!$B$2:$B$301,MATCH($B11,Students!$A$2:$A$301,0))="","",INDEX(Students!$B$2:$B$301,MATCH($B11,Students!$A$2:$A$301,0))),""))</f>
        <v/>
      </c>
      <c r="K11" s="25" t="str">
        <f aca="false">IF($A11="","",IF(D11="Withdrawn",0,IF(E11&lt;&gt;"",N(E11),IFERROR(N(INDEX(Activities!$I$2:$I$201,MATCH($A11,Activities!$A$2:$A$201,0))),0))))</f>
        <v/>
      </c>
      <c r="L11" s="24" t="str">
        <f aca="false">IF(AND($A11="",$B11=""),"",IF(ISNA(MATCH($A11,Activities!$A$2:$A$201,0)),"Unknown activity",IF(ISNA(MATCH($B11,Students!$A$2:$A$301,0)),"Unknown student",IF(D11="","No status",IF(COUNTIFS($A$2:$A$1001,$A11,$B$2:$B$1001,$B11)&gt;1,"Duplicate",IF(AND(D11&lt;&gt;"Withdrawn",G11&lt;&gt;"",COUNTIFS($B$2:$B$1001,$B11,$G$2:$G$1001,G11,$D$2:$D$1001,"&lt;&gt;Withdrawn")&gt;1),"Same-day clash","OK"))))))</f>
        <v/>
      </c>
    </row>
    <row r="12" customFormat="false" ht="15" hidden="false" customHeight="false" outlineLevel="0" collapsed="false">
      <c r="E12" s="26"/>
      <c r="G12" s="23" t="str">
        <f aca="false">IF($A12="","",IFERROR(IF(INDEX(Activities!$C$2:$C$201,MATCH($A12,Activities!$A$2:$A$201,0))="","",INDEX(Activities!$C$2:$C$201,MATCH($A12,Activities!$A$2:$A$201,0))),""))</f>
        <v/>
      </c>
      <c r="H12" s="24" t="str">
        <f aca="false">IF($A12="","",IFERROR(IF(INDEX(Activities!$B$2:$B$201,MATCH($A12,Activities!$A$2:$A$201,0))="","",INDEX(Activities!$B$2:$B$201,MATCH($A12,Activities!$A$2:$A$201,0))),""))</f>
        <v/>
      </c>
      <c r="I12" s="24" t="str">
        <f aca="false">IF($B12="","",IFERROR(IF(INDEX(Students!$C$2:$C$301,MATCH($B12,Students!$A$2:$A$301,0))="","",INDEX(Students!$C$2:$C$301,MATCH($B12,Students!$A$2:$A$301,0))),""))</f>
        <v/>
      </c>
      <c r="J12" s="24" t="str">
        <f aca="false">IF($B12="","",IFERROR(IF(INDEX(Students!$B$2:$B$301,MATCH($B12,Students!$A$2:$A$301,0))="","",INDEX(Students!$B$2:$B$301,MATCH($B12,Students!$A$2:$A$301,0))),""))</f>
        <v/>
      </c>
      <c r="K12" s="25" t="str">
        <f aca="false">IF($A12="","",IF(D12="Withdrawn",0,IF(E12&lt;&gt;"",N(E12),IFERROR(N(INDEX(Activities!$I$2:$I$201,MATCH($A12,Activities!$A$2:$A$201,0))),0))))</f>
        <v/>
      </c>
      <c r="L12" s="24" t="str">
        <f aca="false">IF(AND($A12="",$B12=""),"",IF(ISNA(MATCH($A12,Activities!$A$2:$A$201,0)),"Unknown activity",IF(ISNA(MATCH($B12,Students!$A$2:$A$301,0)),"Unknown student",IF(D12="","No status",IF(COUNTIFS($A$2:$A$1001,$A12,$B$2:$B$1001,$B12)&gt;1,"Duplicate",IF(AND(D12&lt;&gt;"Withdrawn",G12&lt;&gt;"",COUNTIFS($B$2:$B$1001,$B12,$G$2:$G$1001,G12,$D$2:$D$1001,"&lt;&gt;Withdrawn")&gt;1),"Same-day clash","OK"))))))</f>
        <v/>
      </c>
    </row>
    <row r="13" customFormat="false" ht="15" hidden="false" customHeight="false" outlineLevel="0" collapsed="false">
      <c r="E13" s="26"/>
      <c r="G13" s="23" t="str">
        <f aca="false">IF($A13="","",IFERROR(IF(INDEX(Activities!$C$2:$C$201,MATCH($A13,Activities!$A$2:$A$201,0))="","",INDEX(Activities!$C$2:$C$201,MATCH($A13,Activities!$A$2:$A$201,0))),""))</f>
        <v/>
      </c>
      <c r="H13" s="24" t="str">
        <f aca="false">IF($A13="","",IFERROR(IF(INDEX(Activities!$B$2:$B$201,MATCH($A13,Activities!$A$2:$A$201,0))="","",INDEX(Activities!$B$2:$B$201,MATCH($A13,Activities!$A$2:$A$201,0))),""))</f>
        <v/>
      </c>
      <c r="I13" s="24" t="str">
        <f aca="false">IF($B13="","",IFERROR(IF(INDEX(Students!$C$2:$C$301,MATCH($B13,Students!$A$2:$A$301,0))="","",INDEX(Students!$C$2:$C$301,MATCH($B13,Students!$A$2:$A$301,0))),""))</f>
        <v/>
      </c>
      <c r="J13" s="24" t="str">
        <f aca="false">IF($B13="","",IFERROR(IF(INDEX(Students!$B$2:$B$301,MATCH($B13,Students!$A$2:$A$301,0))="","",INDEX(Students!$B$2:$B$301,MATCH($B13,Students!$A$2:$A$301,0))),""))</f>
        <v/>
      </c>
      <c r="K13" s="25" t="str">
        <f aca="false">IF($A13="","",IF(D13="Withdrawn",0,IF(E13&lt;&gt;"",N(E13),IFERROR(N(INDEX(Activities!$I$2:$I$201,MATCH($A13,Activities!$A$2:$A$201,0))),0))))</f>
        <v/>
      </c>
      <c r="L13" s="24" t="str">
        <f aca="false">IF(AND($A13="",$B13=""),"",IF(ISNA(MATCH($A13,Activities!$A$2:$A$201,0)),"Unknown activity",IF(ISNA(MATCH($B13,Students!$A$2:$A$301,0)),"Unknown student",IF(D13="","No status",IF(COUNTIFS($A$2:$A$1001,$A13,$B$2:$B$1001,$B13)&gt;1,"Duplicate",IF(AND(D13&lt;&gt;"Withdrawn",G13&lt;&gt;"",COUNTIFS($B$2:$B$1001,$B13,$G$2:$G$1001,G13,$D$2:$D$1001,"&lt;&gt;Withdrawn")&gt;1),"Same-day clash","OK"))))))</f>
        <v/>
      </c>
    </row>
    <row r="14" customFormat="false" ht="15" hidden="false" customHeight="false" outlineLevel="0" collapsed="false">
      <c r="E14" s="26"/>
      <c r="G14" s="23" t="str">
        <f aca="false">IF($A14="","",IFERROR(IF(INDEX(Activities!$C$2:$C$201,MATCH($A14,Activities!$A$2:$A$201,0))="","",INDEX(Activities!$C$2:$C$201,MATCH($A14,Activities!$A$2:$A$201,0))),""))</f>
        <v/>
      </c>
      <c r="H14" s="24" t="str">
        <f aca="false">IF($A14="","",IFERROR(IF(INDEX(Activities!$B$2:$B$201,MATCH($A14,Activities!$A$2:$A$201,0))="","",INDEX(Activities!$B$2:$B$201,MATCH($A14,Activities!$A$2:$A$201,0))),""))</f>
        <v/>
      </c>
      <c r="I14" s="24" t="str">
        <f aca="false">IF($B14="","",IFERROR(IF(INDEX(Students!$C$2:$C$301,MATCH($B14,Students!$A$2:$A$301,0))="","",INDEX(Students!$C$2:$C$301,MATCH($B14,Students!$A$2:$A$301,0))),""))</f>
        <v/>
      </c>
      <c r="J14" s="24" t="str">
        <f aca="false">IF($B14="","",IFERROR(IF(INDEX(Students!$B$2:$B$301,MATCH($B14,Students!$A$2:$A$301,0))="","",INDEX(Students!$B$2:$B$301,MATCH($B14,Students!$A$2:$A$301,0))),""))</f>
        <v/>
      </c>
      <c r="K14" s="25" t="str">
        <f aca="false">IF($A14="","",IF(D14="Withdrawn",0,IF(E14&lt;&gt;"",N(E14),IFERROR(N(INDEX(Activities!$I$2:$I$201,MATCH($A14,Activities!$A$2:$A$201,0))),0))))</f>
        <v/>
      </c>
      <c r="L14" s="24" t="str">
        <f aca="false">IF(AND($A14="",$B14=""),"",IF(ISNA(MATCH($A14,Activities!$A$2:$A$201,0)),"Unknown activity",IF(ISNA(MATCH($B14,Students!$A$2:$A$301,0)),"Unknown student",IF(D14="","No status",IF(COUNTIFS($A$2:$A$1001,$A14,$B$2:$B$1001,$B14)&gt;1,"Duplicate",IF(AND(D14&lt;&gt;"Withdrawn",G14&lt;&gt;"",COUNTIFS($B$2:$B$1001,$B14,$G$2:$G$1001,G14,$D$2:$D$1001,"&lt;&gt;Withdrawn")&gt;1),"Same-day clash","OK"))))))</f>
        <v/>
      </c>
    </row>
    <row r="15" customFormat="false" ht="15" hidden="false" customHeight="false" outlineLevel="0" collapsed="false">
      <c r="E15" s="26"/>
      <c r="G15" s="23" t="str">
        <f aca="false">IF($A15="","",IFERROR(IF(INDEX(Activities!$C$2:$C$201,MATCH($A15,Activities!$A$2:$A$201,0))="","",INDEX(Activities!$C$2:$C$201,MATCH($A15,Activities!$A$2:$A$201,0))),""))</f>
        <v/>
      </c>
      <c r="H15" s="24" t="str">
        <f aca="false">IF($A15="","",IFERROR(IF(INDEX(Activities!$B$2:$B$201,MATCH($A15,Activities!$A$2:$A$201,0))="","",INDEX(Activities!$B$2:$B$201,MATCH($A15,Activities!$A$2:$A$201,0))),""))</f>
        <v/>
      </c>
      <c r="I15" s="24" t="str">
        <f aca="false">IF($B15="","",IFERROR(IF(INDEX(Students!$C$2:$C$301,MATCH($B15,Students!$A$2:$A$301,0))="","",INDEX(Students!$C$2:$C$301,MATCH($B15,Students!$A$2:$A$301,0))),""))</f>
        <v/>
      </c>
      <c r="J15" s="24" t="str">
        <f aca="false">IF($B15="","",IFERROR(IF(INDEX(Students!$B$2:$B$301,MATCH($B15,Students!$A$2:$A$301,0))="","",INDEX(Students!$B$2:$B$301,MATCH($B15,Students!$A$2:$A$301,0))),""))</f>
        <v/>
      </c>
      <c r="K15" s="25" t="str">
        <f aca="false">IF($A15="","",IF(D15="Withdrawn",0,IF(E15&lt;&gt;"",N(E15),IFERROR(N(INDEX(Activities!$I$2:$I$201,MATCH($A15,Activities!$A$2:$A$201,0))),0))))</f>
        <v/>
      </c>
      <c r="L15" s="24" t="str">
        <f aca="false">IF(AND($A15="",$B15=""),"",IF(ISNA(MATCH($A15,Activities!$A$2:$A$201,0)),"Unknown activity",IF(ISNA(MATCH($B15,Students!$A$2:$A$301,0)),"Unknown student",IF(D15="","No status",IF(COUNTIFS($A$2:$A$1001,$A15,$B$2:$B$1001,$B15)&gt;1,"Duplicate",IF(AND(D15&lt;&gt;"Withdrawn",G15&lt;&gt;"",COUNTIFS($B$2:$B$1001,$B15,$G$2:$G$1001,G15,$D$2:$D$1001,"&lt;&gt;Withdrawn")&gt;1),"Same-day clash","OK"))))))</f>
        <v/>
      </c>
    </row>
    <row r="16" customFormat="false" ht="15" hidden="false" customHeight="false" outlineLevel="0" collapsed="false">
      <c r="E16" s="26"/>
      <c r="G16" s="23" t="str">
        <f aca="false">IF($A16="","",IFERROR(IF(INDEX(Activities!$C$2:$C$201,MATCH($A16,Activities!$A$2:$A$201,0))="","",INDEX(Activities!$C$2:$C$201,MATCH($A16,Activities!$A$2:$A$201,0))),""))</f>
        <v/>
      </c>
      <c r="H16" s="24" t="str">
        <f aca="false">IF($A16="","",IFERROR(IF(INDEX(Activities!$B$2:$B$201,MATCH($A16,Activities!$A$2:$A$201,0))="","",INDEX(Activities!$B$2:$B$201,MATCH($A16,Activities!$A$2:$A$201,0))),""))</f>
        <v/>
      </c>
      <c r="I16" s="24" t="str">
        <f aca="false">IF($B16="","",IFERROR(IF(INDEX(Students!$C$2:$C$301,MATCH($B16,Students!$A$2:$A$301,0))="","",INDEX(Students!$C$2:$C$301,MATCH($B16,Students!$A$2:$A$301,0))),""))</f>
        <v/>
      </c>
      <c r="J16" s="24" t="str">
        <f aca="false">IF($B16="","",IFERROR(IF(INDEX(Students!$B$2:$B$301,MATCH($B16,Students!$A$2:$A$301,0))="","",INDEX(Students!$B$2:$B$301,MATCH($B16,Students!$A$2:$A$301,0))),""))</f>
        <v/>
      </c>
      <c r="K16" s="25" t="str">
        <f aca="false">IF($A16="","",IF(D16="Withdrawn",0,IF(E16&lt;&gt;"",N(E16),IFERROR(N(INDEX(Activities!$I$2:$I$201,MATCH($A16,Activities!$A$2:$A$201,0))),0))))</f>
        <v/>
      </c>
      <c r="L16" s="24" t="str">
        <f aca="false">IF(AND($A16="",$B16=""),"",IF(ISNA(MATCH($A16,Activities!$A$2:$A$201,0)),"Unknown activity",IF(ISNA(MATCH($B16,Students!$A$2:$A$301,0)),"Unknown student",IF(D16="","No status",IF(COUNTIFS($A$2:$A$1001,$A16,$B$2:$B$1001,$B16)&gt;1,"Duplicate",IF(AND(D16&lt;&gt;"Withdrawn",G16&lt;&gt;"",COUNTIFS($B$2:$B$1001,$B16,$G$2:$G$1001,G16,$D$2:$D$1001,"&lt;&gt;Withdrawn")&gt;1),"Same-day clash","OK"))))))</f>
        <v/>
      </c>
    </row>
    <row r="17" customFormat="false" ht="15" hidden="false" customHeight="false" outlineLevel="0" collapsed="false">
      <c r="E17" s="26"/>
      <c r="G17" s="23" t="str">
        <f aca="false">IF($A17="","",IFERROR(IF(INDEX(Activities!$C$2:$C$201,MATCH($A17,Activities!$A$2:$A$201,0))="","",INDEX(Activities!$C$2:$C$201,MATCH($A17,Activities!$A$2:$A$201,0))),""))</f>
        <v/>
      </c>
      <c r="H17" s="24" t="str">
        <f aca="false">IF($A17="","",IFERROR(IF(INDEX(Activities!$B$2:$B$201,MATCH($A17,Activities!$A$2:$A$201,0))="","",INDEX(Activities!$B$2:$B$201,MATCH($A17,Activities!$A$2:$A$201,0))),""))</f>
        <v/>
      </c>
      <c r="I17" s="24" t="str">
        <f aca="false">IF($B17="","",IFERROR(IF(INDEX(Students!$C$2:$C$301,MATCH($B17,Students!$A$2:$A$301,0))="","",INDEX(Students!$C$2:$C$301,MATCH($B17,Students!$A$2:$A$301,0))),""))</f>
        <v/>
      </c>
      <c r="J17" s="24" t="str">
        <f aca="false">IF($B17="","",IFERROR(IF(INDEX(Students!$B$2:$B$301,MATCH($B17,Students!$A$2:$A$301,0))="","",INDEX(Students!$B$2:$B$301,MATCH($B17,Students!$A$2:$A$301,0))),""))</f>
        <v/>
      </c>
      <c r="K17" s="25" t="str">
        <f aca="false">IF($A17="","",IF(D17="Withdrawn",0,IF(E17&lt;&gt;"",N(E17),IFERROR(N(INDEX(Activities!$I$2:$I$201,MATCH($A17,Activities!$A$2:$A$201,0))),0))))</f>
        <v/>
      </c>
      <c r="L17" s="24" t="str">
        <f aca="false">IF(AND($A17="",$B17=""),"",IF(ISNA(MATCH($A17,Activities!$A$2:$A$201,0)),"Unknown activity",IF(ISNA(MATCH($B17,Students!$A$2:$A$301,0)),"Unknown student",IF(D17="","No status",IF(COUNTIFS($A$2:$A$1001,$A17,$B$2:$B$1001,$B17)&gt;1,"Duplicate",IF(AND(D17&lt;&gt;"Withdrawn",G17&lt;&gt;"",COUNTIFS($B$2:$B$1001,$B17,$G$2:$G$1001,G17,$D$2:$D$1001,"&lt;&gt;Withdrawn")&gt;1),"Same-day clash","OK"))))))</f>
        <v/>
      </c>
    </row>
    <row r="18" customFormat="false" ht="15" hidden="false" customHeight="false" outlineLevel="0" collapsed="false">
      <c r="E18" s="26"/>
      <c r="G18" s="23" t="str">
        <f aca="false">IF($A18="","",IFERROR(IF(INDEX(Activities!$C$2:$C$201,MATCH($A18,Activities!$A$2:$A$201,0))="","",INDEX(Activities!$C$2:$C$201,MATCH($A18,Activities!$A$2:$A$201,0))),""))</f>
        <v/>
      </c>
      <c r="H18" s="24" t="str">
        <f aca="false">IF($A18="","",IFERROR(IF(INDEX(Activities!$B$2:$B$201,MATCH($A18,Activities!$A$2:$A$201,0))="","",INDEX(Activities!$B$2:$B$201,MATCH($A18,Activities!$A$2:$A$201,0))),""))</f>
        <v/>
      </c>
      <c r="I18" s="24" t="str">
        <f aca="false">IF($B18="","",IFERROR(IF(INDEX(Students!$C$2:$C$301,MATCH($B18,Students!$A$2:$A$301,0))="","",INDEX(Students!$C$2:$C$301,MATCH($B18,Students!$A$2:$A$301,0))),""))</f>
        <v/>
      </c>
      <c r="J18" s="24" t="str">
        <f aca="false">IF($B18="","",IFERROR(IF(INDEX(Students!$B$2:$B$301,MATCH($B18,Students!$A$2:$A$301,0))="","",INDEX(Students!$B$2:$B$301,MATCH($B18,Students!$A$2:$A$301,0))),""))</f>
        <v/>
      </c>
      <c r="K18" s="25" t="str">
        <f aca="false">IF($A18="","",IF(D18="Withdrawn",0,IF(E18&lt;&gt;"",N(E18),IFERROR(N(INDEX(Activities!$I$2:$I$201,MATCH($A18,Activities!$A$2:$A$201,0))),0))))</f>
        <v/>
      </c>
      <c r="L18" s="24" t="str">
        <f aca="false">IF(AND($A18="",$B18=""),"",IF(ISNA(MATCH($A18,Activities!$A$2:$A$201,0)),"Unknown activity",IF(ISNA(MATCH($B18,Students!$A$2:$A$301,0)),"Unknown student",IF(D18="","No status",IF(COUNTIFS($A$2:$A$1001,$A18,$B$2:$B$1001,$B18)&gt;1,"Duplicate",IF(AND(D18&lt;&gt;"Withdrawn",G18&lt;&gt;"",COUNTIFS($B$2:$B$1001,$B18,$G$2:$G$1001,G18,$D$2:$D$1001,"&lt;&gt;Withdrawn")&gt;1),"Same-day clash","OK"))))))</f>
        <v/>
      </c>
    </row>
    <row r="19" customFormat="false" ht="15" hidden="false" customHeight="false" outlineLevel="0" collapsed="false">
      <c r="E19" s="26"/>
      <c r="G19" s="23" t="str">
        <f aca="false">IF($A19="","",IFERROR(IF(INDEX(Activities!$C$2:$C$201,MATCH($A19,Activities!$A$2:$A$201,0))="","",INDEX(Activities!$C$2:$C$201,MATCH($A19,Activities!$A$2:$A$201,0))),""))</f>
        <v/>
      </c>
      <c r="H19" s="24" t="str">
        <f aca="false">IF($A19="","",IFERROR(IF(INDEX(Activities!$B$2:$B$201,MATCH($A19,Activities!$A$2:$A$201,0))="","",INDEX(Activities!$B$2:$B$201,MATCH($A19,Activities!$A$2:$A$201,0))),""))</f>
        <v/>
      </c>
      <c r="I19" s="24" t="str">
        <f aca="false">IF($B19="","",IFERROR(IF(INDEX(Students!$C$2:$C$301,MATCH($B19,Students!$A$2:$A$301,0))="","",INDEX(Students!$C$2:$C$301,MATCH($B19,Students!$A$2:$A$301,0))),""))</f>
        <v/>
      </c>
      <c r="J19" s="24" t="str">
        <f aca="false">IF($B19="","",IFERROR(IF(INDEX(Students!$B$2:$B$301,MATCH($B19,Students!$A$2:$A$301,0))="","",INDEX(Students!$B$2:$B$301,MATCH($B19,Students!$A$2:$A$301,0))),""))</f>
        <v/>
      </c>
      <c r="K19" s="25" t="str">
        <f aca="false">IF($A19="","",IF(D19="Withdrawn",0,IF(E19&lt;&gt;"",N(E19),IFERROR(N(INDEX(Activities!$I$2:$I$201,MATCH($A19,Activities!$A$2:$A$201,0))),0))))</f>
        <v/>
      </c>
      <c r="L19" s="24" t="str">
        <f aca="false">IF(AND($A19="",$B19=""),"",IF(ISNA(MATCH($A19,Activities!$A$2:$A$201,0)),"Unknown activity",IF(ISNA(MATCH($B19,Students!$A$2:$A$301,0)),"Unknown student",IF(D19="","No status",IF(COUNTIFS($A$2:$A$1001,$A19,$B$2:$B$1001,$B19)&gt;1,"Duplicate",IF(AND(D19&lt;&gt;"Withdrawn",G19&lt;&gt;"",COUNTIFS($B$2:$B$1001,$B19,$G$2:$G$1001,G19,$D$2:$D$1001,"&lt;&gt;Withdrawn")&gt;1),"Same-day clash","OK"))))))</f>
        <v/>
      </c>
    </row>
    <row r="20" customFormat="false" ht="15" hidden="false" customHeight="false" outlineLevel="0" collapsed="false">
      <c r="E20" s="26"/>
      <c r="G20" s="23" t="str">
        <f aca="false">IF($A20="","",IFERROR(IF(INDEX(Activities!$C$2:$C$201,MATCH($A20,Activities!$A$2:$A$201,0))="","",INDEX(Activities!$C$2:$C$201,MATCH($A20,Activities!$A$2:$A$201,0))),""))</f>
        <v/>
      </c>
      <c r="H20" s="24" t="str">
        <f aca="false">IF($A20="","",IFERROR(IF(INDEX(Activities!$B$2:$B$201,MATCH($A20,Activities!$A$2:$A$201,0))="","",INDEX(Activities!$B$2:$B$201,MATCH($A20,Activities!$A$2:$A$201,0))),""))</f>
        <v/>
      </c>
      <c r="I20" s="24" t="str">
        <f aca="false">IF($B20="","",IFERROR(IF(INDEX(Students!$C$2:$C$301,MATCH($B20,Students!$A$2:$A$301,0))="","",INDEX(Students!$C$2:$C$301,MATCH($B20,Students!$A$2:$A$301,0))),""))</f>
        <v/>
      </c>
      <c r="J20" s="24" t="str">
        <f aca="false">IF($B20="","",IFERROR(IF(INDEX(Students!$B$2:$B$301,MATCH($B20,Students!$A$2:$A$301,0))="","",INDEX(Students!$B$2:$B$301,MATCH($B20,Students!$A$2:$A$301,0))),""))</f>
        <v/>
      </c>
      <c r="K20" s="25" t="str">
        <f aca="false">IF($A20="","",IF(D20="Withdrawn",0,IF(E20&lt;&gt;"",N(E20),IFERROR(N(INDEX(Activities!$I$2:$I$201,MATCH($A20,Activities!$A$2:$A$201,0))),0))))</f>
        <v/>
      </c>
      <c r="L20" s="24" t="str">
        <f aca="false">IF(AND($A20="",$B20=""),"",IF(ISNA(MATCH($A20,Activities!$A$2:$A$201,0)),"Unknown activity",IF(ISNA(MATCH($B20,Students!$A$2:$A$301,0)),"Unknown student",IF(D20="","No status",IF(COUNTIFS($A$2:$A$1001,$A20,$B$2:$B$1001,$B20)&gt;1,"Duplicate",IF(AND(D20&lt;&gt;"Withdrawn",G20&lt;&gt;"",COUNTIFS($B$2:$B$1001,$B20,$G$2:$G$1001,G20,$D$2:$D$1001,"&lt;&gt;Withdrawn")&gt;1),"Same-day clash","OK"))))))</f>
        <v/>
      </c>
    </row>
    <row r="21" customFormat="false" ht="15" hidden="false" customHeight="false" outlineLevel="0" collapsed="false">
      <c r="E21" s="26"/>
      <c r="G21" s="23" t="str">
        <f aca="false">IF($A21="","",IFERROR(IF(INDEX(Activities!$C$2:$C$201,MATCH($A21,Activities!$A$2:$A$201,0))="","",INDEX(Activities!$C$2:$C$201,MATCH($A21,Activities!$A$2:$A$201,0))),""))</f>
        <v/>
      </c>
      <c r="H21" s="24" t="str">
        <f aca="false">IF($A21="","",IFERROR(IF(INDEX(Activities!$B$2:$B$201,MATCH($A21,Activities!$A$2:$A$201,0))="","",INDEX(Activities!$B$2:$B$201,MATCH($A21,Activities!$A$2:$A$201,0))),""))</f>
        <v/>
      </c>
      <c r="I21" s="24" t="str">
        <f aca="false">IF($B21="","",IFERROR(IF(INDEX(Students!$C$2:$C$301,MATCH($B21,Students!$A$2:$A$301,0))="","",INDEX(Students!$C$2:$C$301,MATCH($B21,Students!$A$2:$A$301,0))),""))</f>
        <v/>
      </c>
      <c r="J21" s="24" t="str">
        <f aca="false">IF($B21="","",IFERROR(IF(INDEX(Students!$B$2:$B$301,MATCH($B21,Students!$A$2:$A$301,0))="","",INDEX(Students!$B$2:$B$301,MATCH($B21,Students!$A$2:$A$301,0))),""))</f>
        <v/>
      </c>
      <c r="K21" s="25" t="str">
        <f aca="false">IF($A21="","",IF(D21="Withdrawn",0,IF(E21&lt;&gt;"",N(E21),IFERROR(N(INDEX(Activities!$I$2:$I$201,MATCH($A21,Activities!$A$2:$A$201,0))),0))))</f>
        <v/>
      </c>
      <c r="L21" s="24" t="str">
        <f aca="false">IF(AND($A21="",$B21=""),"",IF(ISNA(MATCH($A21,Activities!$A$2:$A$201,0)),"Unknown activity",IF(ISNA(MATCH($B21,Students!$A$2:$A$301,0)),"Unknown student",IF(D21="","No status",IF(COUNTIFS($A$2:$A$1001,$A21,$B$2:$B$1001,$B21)&gt;1,"Duplicate",IF(AND(D21&lt;&gt;"Withdrawn",G21&lt;&gt;"",COUNTIFS($B$2:$B$1001,$B21,$G$2:$G$1001,G21,$D$2:$D$1001,"&lt;&gt;Withdrawn")&gt;1),"Same-day clash","OK"))))))</f>
        <v/>
      </c>
    </row>
    <row r="22" customFormat="false" ht="15" hidden="false" customHeight="false" outlineLevel="0" collapsed="false">
      <c r="E22" s="26"/>
      <c r="G22" s="23" t="str">
        <f aca="false">IF($A22="","",IFERROR(IF(INDEX(Activities!$C$2:$C$201,MATCH($A22,Activities!$A$2:$A$201,0))="","",INDEX(Activities!$C$2:$C$201,MATCH($A22,Activities!$A$2:$A$201,0))),""))</f>
        <v/>
      </c>
      <c r="H22" s="24" t="str">
        <f aca="false">IF($A22="","",IFERROR(IF(INDEX(Activities!$B$2:$B$201,MATCH($A22,Activities!$A$2:$A$201,0))="","",INDEX(Activities!$B$2:$B$201,MATCH($A22,Activities!$A$2:$A$201,0))),""))</f>
        <v/>
      </c>
      <c r="I22" s="24" t="str">
        <f aca="false">IF($B22="","",IFERROR(IF(INDEX(Students!$C$2:$C$301,MATCH($B22,Students!$A$2:$A$301,0))="","",INDEX(Students!$C$2:$C$301,MATCH($B22,Students!$A$2:$A$301,0))),""))</f>
        <v/>
      </c>
      <c r="J22" s="24" t="str">
        <f aca="false">IF($B22="","",IFERROR(IF(INDEX(Students!$B$2:$B$301,MATCH($B22,Students!$A$2:$A$301,0))="","",INDEX(Students!$B$2:$B$301,MATCH($B22,Students!$A$2:$A$301,0))),""))</f>
        <v/>
      </c>
      <c r="K22" s="25" t="str">
        <f aca="false">IF($A22="","",IF(D22="Withdrawn",0,IF(E22&lt;&gt;"",N(E22),IFERROR(N(INDEX(Activities!$I$2:$I$201,MATCH($A22,Activities!$A$2:$A$201,0))),0))))</f>
        <v/>
      </c>
      <c r="L22" s="24" t="str">
        <f aca="false">IF(AND($A22="",$B22=""),"",IF(ISNA(MATCH($A22,Activities!$A$2:$A$201,0)),"Unknown activity",IF(ISNA(MATCH($B22,Students!$A$2:$A$301,0)),"Unknown student",IF(D22="","No status",IF(COUNTIFS($A$2:$A$1001,$A22,$B$2:$B$1001,$B22)&gt;1,"Duplicate",IF(AND(D22&lt;&gt;"Withdrawn",G22&lt;&gt;"",COUNTIFS($B$2:$B$1001,$B22,$G$2:$G$1001,G22,$D$2:$D$1001,"&lt;&gt;Withdrawn")&gt;1),"Same-day clash","OK"))))))</f>
        <v/>
      </c>
    </row>
    <row r="23" customFormat="false" ht="15" hidden="false" customHeight="false" outlineLevel="0" collapsed="false">
      <c r="E23" s="26"/>
      <c r="G23" s="23" t="str">
        <f aca="false">IF($A23="","",IFERROR(IF(INDEX(Activities!$C$2:$C$201,MATCH($A23,Activities!$A$2:$A$201,0))="","",INDEX(Activities!$C$2:$C$201,MATCH($A23,Activities!$A$2:$A$201,0))),""))</f>
        <v/>
      </c>
      <c r="H23" s="24" t="str">
        <f aca="false">IF($A23="","",IFERROR(IF(INDEX(Activities!$B$2:$B$201,MATCH($A23,Activities!$A$2:$A$201,0))="","",INDEX(Activities!$B$2:$B$201,MATCH($A23,Activities!$A$2:$A$201,0))),""))</f>
        <v/>
      </c>
      <c r="I23" s="24" t="str">
        <f aca="false">IF($B23="","",IFERROR(IF(INDEX(Students!$C$2:$C$301,MATCH($B23,Students!$A$2:$A$301,0))="","",INDEX(Students!$C$2:$C$301,MATCH($B23,Students!$A$2:$A$301,0))),""))</f>
        <v/>
      </c>
      <c r="J23" s="24" t="str">
        <f aca="false">IF($B23="","",IFERROR(IF(INDEX(Students!$B$2:$B$301,MATCH($B23,Students!$A$2:$A$301,0))="","",INDEX(Students!$B$2:$B$301,MATCH($B23,Students!$A$2:$A$301,0))),""))</f>
        <v/>
      </c>
      <c r="K23" s="25" t="str">
        <f aca="false">IF($A23="","",IF(D23="Withdrawn",0,IF(E23&lt;&gt;"",N(E23),IFERROR(N(INDEX(Activities!$I$2:$I$201,MATCH($A23,Activities!$A$2:$A$201,0))),0))))</f>
        <v/>
      </c>
      <c r="L23" s="24" t="str">
        <f aca="false">IF(AND($A23="",$B23=""),"",IF(ISNA(MATCH($A23,Activities!$A$2:$A$201,0)),"Unknown activity",IF(ISNA(MATCH($B23,Students!$A$2:$A$301,0)),"Unknown student",IF(D23="","No status",IF(COUNTIFS($A$2:$A$1001,$A23,$B$2:$B$1001,$B23)&gt;1,"Duplicate",IF(AND(D23&lt;&gt;"Withdrawn",G23&lt;&gt;"",COUNTIFS($B$2:$B$1001,$B23,$G$2:$G$1001,G23,$D$2:$D$1001,"&lt;&gt;Withdrawn")&gt;1),"Same-day clash","OK"))))))</f>
        <v/>
      </c>
    </row>
    <row r="24" customFormat="false" ht="15" hidden="false" customHeight="false" outlineLevel="0" collapsed="false">
      <c r="E24" s="26"/>
      <c r="G24" s="23" t="str">
        <f aca="false">IF($A24="","",IFERROR(IF(INDEX(Activities!$C$2:$C$201,MATCH($A24,Activities!$A$2:$A$201,0))="","",INDEX(Activities!$C$2:$C$201,MATCH($A24,Activities!$A$2:$A$201,0))),""))</f>
        <v/>
      </c>
      <c r="H24" s="24" t="str">
        <f aca="false">IF($A24="","",IFERROR(IF(INDEX(Activities!$B$2:$B$201,MATCH($A24,Activities!$A$2:$A$201,0))="","",INDEX(Activities!$B$2:$B$201,MATCH($A24,Activities!$A$2:$A$201,0))),""))</f>
        <v/>
      </c>
      <c r="I24" s="24" t="str">
        <f aca="false">IF($B24="","",IFERROR(IF(INDEX(Students!$C$2:$C$301,MATCH($B24,Students!$A$2:$A$301,0))="","",INDEX(Students!$C$2:$C$301,MATCH($B24,Students!$A$2:$A$301,0))),""))</f>
        <v/>
      </c>
      <c r="J24" s="24" t="str">
        <f aca="false">IF($B24="","",IFERROR(IF(INDEX(Students!$B$2:$B$301,MATCH($B24,Students!$A$2:$A$301,0))="","",INDEX(Students!$B$2:$B$301,MATCH($B24,Students!$A$2:$A$301,0))),""))</f>
        <v/>
      </c>
      <c r="K24" s="25" t="str">
        <f aca="false">IF($A24="","",IF(D24="Withdrawn",0,IF(E24&lt;&gt;"",N(E24),IFERROR(N(INDEX(Activities!$I$2:$I$201,MATCH($A24,Activities!$A$2:$A$201,0))),0))))</f>
        <v/>
      </c>
      <c r="L24" s="24" t="str">
        <f aca="false">IF(AND($A24="",$B24=""),"",IF(ISNA(MATCH($A24,Activities!$A$2:$A$201,0)),"Unknown activity",IF(ISNA(MATCH($B24,Students!$A$2:$A$301,0)),"Unknown student",IF(D24="","No status",IF(COUNTIFS($A$2:$A$1001,$A24,$B$2:$B$1001,$B24)&gt;1,"Duplicate",IF(AND(D24&lt;&gt;"Withdrawn",G24&lt;&gt;"",COUNTIFS($B$2:$B$1001,$B24,$G$2:$G$1001,G24,$D$2:$D$1001,"&lt;&gt;Withdrawn")&gt;1),"Same-day clash","OK"))))))</f>
        <v/>
      </c>
    </row>
    <row r="25" customFormat="false" ht="15" hidden="false" customHeight="false" outlineLevel="0" collapsed="false">
      <c r="E25" s="26"/>
      <c r="G25" s="23" t="str">
        <f aca="false">IF($A25="","",IFERROR(IF(INDEX(Activities!$C$2:$C$201,MATCH($A25,Activities!$A$2:$A$201,0))="","",INDEX(Activities!$C$2:$C$201,MATCH($A25,Activities!$A$2:$A$201,0))),""))</f>
        <v/>
      </c>
      <c r="H25" s="24" t="str">
        <f aca="false">IF($A25="","",IFERROR(IF(INDEX(Activities!$B$2:$B$201,MATCH($A25,Activities!$A$2:$A$201,0))="","",INDEX(Activities!$B$2:$B$201,MATCH($A25,Activities!$A$2:$A$201,0))),""))</f>
        <v/>
      </c>
      <c r="I25" s="24" t="str">
        <f aca="false">IF($B25="","",IFERROR(IF(INDEX(Students!$C$2:$C$301,MATCH($B25,Students!$A$2:$A$301,0))="","",INDEX(Students!$C$2:$C$301,MATCH($B25,Students!$A$2:$A$301,0))),""))</f>
        <v/>
      </c>
      <c r="J25" s="24" t="str">
        <f aca="false">IF($B25="","",IFERROR(IF(INDEX(Students!$B$2:$B$301,MATCH($B25,Students!$A$2:$A$301,0))="","",INDEX(Students!$B$2:$B$301,MATCH($B25,Students!$A$2:$A$301,0))),""))</f>
        <v/>
      </c>
      <c r="K25" s="25" t="str">
        <f aca="false">IF($A25="","",IF(D25="Withdrawn",0,IF(E25&lt;&gt;"",N(E25),IFERROR(N(INDEX(Activities!$I$2:$I$201,MATCH($A25,Activities!$A$2:$A$201,0))),0))))</f>
        <v/>
      </c>
      <c r="L25" s="24" t="str">
        <f aca="false">IF(AND($A25="",$B25=""),"",IF(ISNA(MATCH($A25,Activities!$A$2:$A$201,0)),"Unknown activity",IF(ISNA(MATCH($B25,Students!$A$2:$A$301,0)),"Unknown student",IF(D25="","No status",IF(COUNTIFS($A$2:$A$1001,$A25,$B$2:$B$1001,$B25)&gt;1,"Duplicate",IF(AND(D25&lt;&gt;"Withdrawn",G25&lt;&gt;"",COUNTIFS($B$2:$B$1001,$B25,$G$2:$G$1001,G25,$D$2:$D$1001,"&lt;&gt;Withdrawn")&gt;1),"Same-day clash","OK"))))))</f>
        <v/>
      </c>
    </row>
    <row r="26" customFormat="false" ht="15" hidden="false" customHeight="false" outlineLevel="0" collapsed="false">
      <c r="E26" s="26"/>
      <c r="G26" s="23" t="str">
        <f aca="false">IF($A26="","",IFERROR(IF(INDEX(Activities!$C$2:$C$201,MATCH($A26,Activities!$A$2:$A$201,0))="","",INDEX(Activities!$C$2:$C$201,MATCH($A26,Activities!$A$2:$A$201,0))),""))</f>
        <v/>
      </c>
      <c r="H26" s="24" t="str">
        <f aca="false">IF($A26="","",IFERROR(IF(INDEX(Activities!$B$2:$B$201,MATCH($A26,Activities!$A$2:$A$201,0))="","",INDEX(Activities!$B$2:$B$201,MATCH($A26,Activities!$A$2:$A$201,0))),""))</f>
        <v/>
      </c>
      <c r="I26" s="24" t="str">
        <f aca="false">IF($B26="","",IFERROR(IF(INDEX(Students!$C$2:$C$301,MATCH($B26,Students!$A$2:$A$301,0))="","",INDEX(Students!$C$2:$C$301,MATCH($B26,Students!$A$2:$A$301,0))),""))</f>
        <v/>
      </c>
      <c r="J26" s="24" t="str">
        <f aca="false">IF($B26="","",IFERROR(IF(INDEX(Students!$B$2:$B$301,MATCH($B26,Students!$A$2:$A$301,0))="","",INDEX(Students!$B$2:$B$301,MATCH($B26,Students!$A$2:$A$301,0))),""))</f>
        <v/>
      </c>
      <c r="K26" s="25" t="str">
        <f aca="false">IF($A26="","",IF(D26="Withdrawn",0,IF(E26&lt;&gt;"",N(E26),IFERROR(N(INDEX(Activities!$I$2:$I$201,MATCH($A26,Activities!$A$2:$A$201,0))),0))))</f>
        <v/>
      </c>
      <c r="L26" s="24" t="str">
        <f aca="false">IF(AND($A26="",$B26=""),"",IF(ISNA(MATCH($A26,Activities!$A$2:$A$201,0)),"Unknown activity",IF(ISNA(MATCH($B26,Students!$A$2:$A$301,0)),"Unknown student",IF(D26="","No status",IF(COUNTIFS($A$2:$A$1001,$A26,$B$2:$B$1001,$B26)&gt;1,"Duplicate",IF(AND(D26&lt;&gt;"Withdrawn",G26&lt;&gt;"",COUNTIFS($B$2:$B$1001,$B26,$G$2:$G$1001,G26,$D$2:$D$1001,"&lt;&gt;Withdrawn")&gt;1),"Same-day clash","OK"))))))</f>
        <v/>
      </c>
    </row>
    <row r="27" customFormat="false" ht="15" hidden="false" customHeight="false" outlineLevel="0" collapsed="false">
      <c r="E27" s="26"/>
      <c r="G27" s="23" t="str">
        <f aca="false">IF($A27="","",IFERROR(IF(INDEX(Activities!$C$2:$C$201,MATCH($A27,Activities!$A$2:$A$201,0))="","",INDEX(Activities!$C$2:$C$201,MATCH($A27,Activities!$A$2:$A$201,0))),""))</f>
        <v/>
      </c>
      <c r="H27" s="24" t="str">
        <f aca="false">IF($A27="","",IFERROR(IF(INDEX(Activities!$B$2:$B$201,MATCH($A27,Activities!$A$2:$A$201,0))="","",INDEX(Activities!$B$2:$B$201,MATCH($A27,Activities!$A$2:$A$201,0))),""))</f>
        <v/>
      </c>
      <c r="I27" s="24" t="str">
        <f aca="false">IF($B27="","",IFERROR(IF(INDEX(Students!$C$2:$C$301,MATCH($B27,Students!$A$2:$A$301,0))="","",INDEX(Students!$C$2:$C$301,MATCH($B27,Students!$A$2:$A$301,0))),""))</f>
        <v/>
      </c>
      <c r="J27" s="24" t="str">
        <f aca="false">IF($B27="","",IFERROR(IF(INDEX(Students!$B$2:$B$301,MATCH($B27,Students!$A$2:$A$301,0))="","",INDEX(Students!$B$2:$B$301,MATCH($B27,Students!$A$2:$A$301,0))),""))</f>
        <v/>
      </c>
      <c r="K27" s="25" t="str">
        <f aca="false">IF($A27="","",IF(D27="Withdrawn",0,IF(E27&lt;&gt;"",N(E27),IFERROR(N(INDEX(Activities!$I$2:$I$201,MATCH($A27,Activities!$A$2:$A$201,0))),0))))</f>
        <v/>
      </c>
      <c r="L27" s="24" t="str">
        <f aca="false">IF(AND($A27="",$B27=""),"",IF(ISNA(MATCH($A27,Activities!$A$2:$A$201,0)),"Unknown activity",IF(ISNA(MATCH($B27,Students!$A$2:$A$301,0)),"Unknown student",IF(D27="","No status",IF(COUNTIFS($A$2:$A$1001,$A27,$B$2:$B$1001,$B27)&gt;1,"Duplicate",IF(AND(D27&lt;&gt;"Withdrawn",G27&lt;&gt;"",COUNTIFS($B$2:$B$1001,$B27,$G$2:$G$1001,G27,$D$2:$D$1001,"&lt;&gt;Withdrawn")&gt;1),"Same-day clash","OK"))))))</f>
        <v/>
      </c>
    </row>
    <row r="28" customFormat="false" ht="15" hidden="false" customHeight="false" outlineLevel="0" collapsed="false">
      <c r="E28" s="26"/>
      <c r="G28" s="23" t="str">
        <f aca="false">IF($A28="","",IFERROR(IF(INDEX(Activities!$C$2:$C$201,MATCH($A28,Activities!$A$2:$A$201,0))="","",INDEX(Activities!$C$2:$C$201,MATCH($A28,Activities!$A$2:$A$201,0))),""))</f>
        <v/>
      </c>
      <c r="H28" s="24" t="str">
        <f aca="false">IF($A28="","",IFERROR(IF(INDEX(Activities!$B$2:$B$201,MATCH($A28,Activities!$A$2:$A$201,0))="","",INDEX(Activities!$B$2:$B$201,MATCH($A28,Activities!$A$2:$A$201,0))),""))</f>
        <v/>
      </c>
      <c r="I28" s="24" t="str">
        <f aca="false">IF($B28="","",IFERROR(IF(INDEX(Students!$C$2:$C$301,MATCH($B28,Students!$A$2:$A$301,0))="","",INDEX(Students!$C$2:$C$301,MATCH($B28,Students!$A$2:$A$301,0))),""))</f>
        <v/>
      </c>
      <c r="J28" s="24" t="str">
        <f aca="false">IF($B28="","",IFERROR(IF(INDEX(Students!$B$2:$B$301,MATCH($B28,Students!$A$2:$A$301,0))="","",INDEX(Students!$B$2:$B$301,MATCH($B28,Students!$A$2:$A$301,0))),""))</f>
        <v/>
      </c>
      <c r="K28" s="25" t="str">
        <f aca="false">IF($A28="","",IF(D28="Withdrawn",0,IF(E28&lt;&gt;"",N(E28),IFERROR(N(INDEX(Activities!$I$2:$I$201,MATCH($A28,Activities!$A$2:$A$201,0))),0))))</f>
        <v/>
      </c>
      <c r="L28" s="24" t="str">
        <f aca="false">IF(AND($A28="",$B28=""),"",IF(ISNA(MATCH($A28,Activities!$A$2:$A$201,0)),"Unknown activity",IF(ISNA(MATCH($B28,Students!$A$2:$A$301,0)),"Unknown student",IF(D28="","No status",IF(COUNTIFS($A$2:$A$1001,$A28,$B$2:$B$1001,$B28)&gt;1,"Duplicate",IF(AND(D28&lt;&gt;"Withdrawn",G28&lt;&gt;"",COUNTIFS($B$2:$B$1001,$B28,$G$2:$G$1001,G28,$D$2:$D$1001,"&lt;&gt;Withdrawn")&gt;1),"Same-day clash","OK"))))))</f>
        <v/>
      </c>
    </row>
    <row r="29" customFormat="false" ht="15" hidden="false" customHeight="false" outlineLevel="0" collapsed="false">
      <c r="E29" s="26"/>
      <c r="G29" s="23" t="str">
        <f aca="false">IF($A29="","",IFERROR(IF(INDEX(Activities!$C$2:$C$201,MATCH($A29,Activities!$A$2:$A$201,0))="","",INDEX(Activities!$C$2:$C$201,MATCH($A29,Activities!$A$2:$A$201,0))),""))</f>
        <v/>
      </c>
      <c r="H29" s="24" t="str">
        <f aca="false">IF($A29="","",IFERROR(IF(INDEX(Activities!$B$2:$B$201,MATCH($A29,Activities!$A$2:$A$201,0))="","",INDEX(Activities!$B$2:$B$201,MATCH($A29,Activities!$A$2:$A$201,0))),""))</f>
        <v/>
      </c>
      <c r="I29" s="24" t="str">
        <f aca="false">IF($B29="","",IFERROR(IF(INDEX(Students!$C$2:$C$301,MATCH($B29,Students!$A$2:$A$301,0))="","",INDEX(Students!$C$2:$C$301,MATCH($B29,Students!$A$2:$A$301,0))),""))</f>
        <v/>
      </c>
      <c r="J29" s="24" t="str">
        <f aca="false">IF($B29="","",IFERROR(IF(INDEX(Students!$B$2:$B$301,MATCH($B29,Students!$A$2:$A$301,0))="","",INDEX(Students!$B$2:$B$301,MATCH($B29,Students!$A$2:$A$301,0))),""))</f>
        <v/>
      </c>
      <c r="K29" s="25" t="str">
        <f aca="false">IF($A29="","",IF(D29="Withdrawn",0,IF(E29&lt;&gt;"",N(E29),IFERROR(N(INDEX(Activities!$I$2:$I$201,MATCH($A29,Activities!$A$2:$A$201,0))),0))))</f>
        <v/>
      </c>
      <c r="L29" s="24" t="str">
        <f aca="false">IF(AND($A29="",$B29=""),"",IF(ISNA(MATCH($A29,Activities!$A$2:$A$201,0)),"Unknown activity",IF(ISNA(MATCH($B29,Students!$A$2:$A$301,0)),"Unknown student",IF(D29="","No status",IF(COUNTIFS($A$2:$A$1001,$A29,$B$2:$B$1001,$B29)&gt;1,"Duplicate",IF(AND(D29&lt;&gt;"Withdrawn",G29&lt;&gt;"",COUNTIFS($B$2:$B$1001,$B29,$G$2:$G$1001,G29,$D$2:$D$1001,"&lt;&gt;Withdrawn")&gt;1),"Same-day clash","OK"))))))</f>
        <v/>
      </c>
    </row>
    <row r="30" customFormat="false" ht="15" hidden="false" customHeight="false" outlineLevel="0" collapsed="false">
      <c r="E30" s="26"/>
      <c r="G30" s="23" t="str">
        <f aca="false">IF($A30="","",IFERROR(IF(INDEX(Activities!$C$2:$C$201,MATCH($A30,Activities!$A$2:$A$201,0))="","",INDEX(Activities!$C$2:$C$201,MATCH($A30,Activities!$A$2:$A$201,0))),""))</f>
        <v/>
      </c>
      <c r="H30" s="24" t="str">
        <f aca="false">IF($A30="","",IFERROR(IF(INDEX(Activities!$B$2:$B$201,MATCH($A30,Activities!$A$2:$A$201,0))="","",INDEX(Activities!$B$2:$B$201,MATCH($A30,Activities!$A$2:$A$201,0))),""))</f>
        <v/>
      </c>
      <c r="I30" s="24" t="str">
        <f aca="false">IF($B30="","",IFERROR(IF(INDEX(Students!$C$2:$C$301,MATCH($B30,Students!$A$2:$A$301,0))="","",INDEX(Students!$C$2:$C$301,MATCH($B30,Students!$A$2:$A$301,0))),""))</f>
        <v/>
      </c>
      <c r="J30" s="24" t="str">
        <f aca="false">IF($B30="","",IFERROR(IF(INDEX(Students!$B$2:$B$301,MATCH($B30,Students!$A$2:$A$301,0))="","",INDEX(Students!$B$2:$B$301,MATCH($B30,Students!$A$2:$A$301,0))),""))</f>
        <v/>
      </c>
      <c r="K30" s="25" t="str">
        <f aca="false">IF($A30="","",IF(D30="Withdrawn",0,IF(E30&lt;&gt;"",N(E30),IFERROR(N(INDEX(Activities!$I$2:$I$201,MATCH($A30,Activities!$A$2:$A$201,0))),0))))</f>
        <v/>
      </c>
      <c r="L30" s="24" t="str">
        <f aca="false">IF(AND($A30="",$B30=""),"",IF(ISNA(MATCH($A30,Activities!$A$2:$A$201,0)),"Unknown activity",IF(ISNA(MATCH($B30,Students!$A$2:$A$301,0)),"Unknown student",IF(D30="","No status",IF(COUNTIFS($A$2:$A$1001,$A30,$B$2:$B$1001,$B30)&gt;1,"Duplicate",IF(AND(D30&lt;&gt;"Withdrawn",G30&lt;&gt;"",COUNTIFS($B$2:$B$1001,$B30,$G$2:$G$1001,G30,$D$2:$D$1001,"&lt;&gt;Withdrawn")&gt;1),"Same-day clash","OK"))))))</f>
        <v/>
      </c>
    </row>
    <row r="31" customFormat="false" ht="15" hidden="false" customHeight="false" outlineLevel="0" collapsed="false">
      <c r="E31" s="26"/>
      <c r="G31" s="23" t="str">
        <f aca="false">IF($A31="","",IFERROR(IF(INDEX(Activities!$C$2:$C$201,MATCH($A31,Activities!$A$2:$A$201,0))="","",INDEX(Activities!$C$2:$C$201,MATCH($A31,Activities!$A$2:$A$201,0))),""))</f>
        <v/>
      </c>
      <c r="H31" s="24" t="str">
        <f aca="false">IF($A31="","",IFERROR(IF(INDEX(Activities!$B$2:$B$201,MATCH($A31,Activities!$A$2:$A$201,0))="","",INDEX(Activities!$B$2:$B$201,MATCH($A31,Activities!$A$2:$A$201,0))),""))</f>
        <v/>
      </c>
      <c r="I31" s="24" t="str">
        <f aca="false">IF($B31="","",IFERROR(IF(INDEX(Students!$C$2:$C$301,MATCH($B31,Students!$A$2:$A$301,0))="","",INDEX(Students!$C$2:$C$301,MATCH($B31,Students!$A$2:$A$301,0))),""))</f>
        <v/>
      </c>
      <c r="J31" s="24" t="str">
        <f aca="false">IF($B31="","",IFERROR(IF(INDEX(Students!$B$2:$B$301,MATCH($B31,Students!$A$2:$A$301,0))="","",INDEX(Students!$B$2:$B$301,MATCH($B31,Students!$A$2:$A$301,0))),""))</f>
        <v/>
      </c>
      <c r="K31" s="25" t="str">
        <f aca="false">IF($A31="","",IF(D31="Withdrawn",0,IF(E31&lt;&gt;"",N(E31),IFERROR(N(INDEX(Activities!$I$2:$I$201,MATCH($A31,Activities!$A$2:$A$201,0))),0))))</f>
        <v/>
      </c>
      <c r="L31" s="24" t="str">
        <f aca="false">IF(AND($A31="",$B31=""),"",IF(ISNA(MATCH($A31,Activities!$A$2:$A$201,0)),"Unknown activity",IF(ISNA(MATCH($B31,Students!$A$2:$A$301,0)),"Unknown student",IF(D31="","No status",IF(COUNTIFS($A$2:$A$1001,$A31,$B$2:$B$1001,$B31)&gt;1,"Duplicate",IF(AND(D31&lt;&gt;"Withdrawn",G31&lt;&gt;"",COUNTIFS($B$2:$B$1001,$B31,$G$2:$G$1001,G31,$D$2:$D$1001,"&lt;&gt;Withdrawn")&gt;1),"Same-day clash","OK"))))))</f>
        <v/>
      </c>
    </row>
    <row r="32" customFormat="false" ht="15" hidden="false" customHeight="false" outlineLevel="0" collapsed="false">
      <c r="E32" s="26"/>
      <c r="G32" s="23" t="str">
        <f aca="false">IF($A32="","",IFERROR(IF(INDEX(Activities!$C$2:$C$201,MATCH($A32,Activities!$A$2:$A$201,0))="","",INDEX(Activities!$C$2:$C$201,MATCH($A32,Activities!$A$2:$A$201,0))),""))</f>
        <v/>
      </c>
      <c r="H32" s="24" t="str">
        <f aca="false">IF($A32="","",IFERROR(IF(INDEX(Activities!$B$2:$B$201,MATCH($A32,Activities!$A$2:$A$201,0))="","",INDEX(Activities!$B$2:$B$201,MATCH($A32,Activities!$A$2:$A$201,0))),""))</f>
        <v/>
      </c>
      <c r="I32" s="24" t="str">
        <f aca="false">IF($B32="","",IFERROR(IF(INDEX(Students!$C$2:$C$301,MATCH($B32,Students!$A$2:$A$301,0))="","",INDEX(Students!$C$2:$C$301,MATCH($B32,Students!$A$2:$A$301,0))),""))</f>
        <v/>
      </c>
      <c r="J32" s="24" t="str">
        <f aca="false">IF($B32="","",IFERROR(IF(INDEX(Students!$B$2:$B$301,MATCH($B32,Students!$A$2:$A$301,0))="","",INDEX(Students!$B$2:$B$301,MATCH($B32,Students!$A$2:$A$301,0))),""))</f>
        <v/>
      </c>
      <c r="K32" s="25" t="str">
        <f aca="false">IF($A32="","",IF(D32="Withdrawn",0,IF(E32&lt;&gt;"",N(E32),IFERROR(N(INDEX(Activities!$I$2:$I$201,MATCH($A32,Activities!$A$2:$A$201,0))),0))))</f>
        <v/>
      </c>
      <c r="L32" s="24" t="str">
        <f aca="false">IF(AND($A32="",$B32=""),"",IF(ISNA(MATCH($A32,Activities!$A$2:$A$201,0)),"Unknown activity",IF(ISNA(MATCH($B32,Students!$A$2:$A$301,0)),"Unknown student",IF(D32="","No status",IF(COUNTIFS($A$2:$A$1001,$A32,$B$2:$B$1001,$B32)&gt;1,"Duplicate",IF(AND(D32&lt;&gt;"Withdrawn",G32&lt;&gt;"",COUNTIFS($B$2:$B$1001,$B32,$G$2:$G$1001,G32,$D$2:$D$1001,"&lt;&gt;Withdrawn")&gt;1),"Same-day clash","OK"))))))</f>
        <v/>
      </c>
    </row>
    <row r="33" customFormat="false" ht="15" hidden="false" customHeight="false" outlineLevel="0" collapsed="false">
      <c r="E33" s="26"/>
      <c r="G33" s="23" t="str">
        <f aca="false">IF($A33="","",IFERROR(IF(INDEX(Activities!$C$2:$C$201,MATCH($A33,Activities!$A$2:$A$201,0))="","",INDEX(Activities!$C$2:$C$201,MATCH($A33,Activities!$A$2:$A$201,0))),""))</f>
        <v/>
      </c>
      <c r="H33" s="24" t="str">
        <f aca="false">IF($A33="","",IFERROR(IF(INDEX(Activities!$B$2:$B$201,MATCH($A33,Activities!$A$2:$A$201,0))="","",INDEX(Activities!$B$2:$B$201,MATCH($A33,Activities!$A$2:$A$201,0))),""))</f>
        <v/>
      </c>
      <c r="I33" s="24" t="str">
        <f aca="false">IF($B33="","",IFERROR(IF(INDEX(Students!$C$2:$C$301,MATCH($B33,Students!$A$2:$A$301,0))="","",INDEX(Students!$C$2:$C$301,MATCH($B33,Students!$A$2:$A$301,0))),""))</f>
        <v/>
      </c>
      <c r="J33" s="24" t="str">
        <f aca="false">IF($B33="","",IFERROR(IF(INDEX(Students!$B$2:$B$301,MATCH($B33,Students!$A$2:$A$301,0))="","",INDEX(Students!$B$2:$B$301,MATCH($B33,Students!$A$2:$A$301,0))),""))</f>
        <v/>
      </c>
      <c r="K33" s="25" t="str">
        <f aca="false">IF($A33="","",IF(D33="Withdrawn",0,IF(E33&lt;&gt;"",N(E33),IFERROR(N(INDEX(Activities!$I$2:$I$201,MATCH($A33,Activities!$A$2:$A$201,0))),0))))</f>
        <v/>
      </c>
      <c r="L33" s="24" t="str">
        <f aca="false">IF(AND($A33="",$B33=""),"",IF(ISNA(MATCH($A33,Activities!$A$2:$A$201,0)),"Unknown activity",IF(ISNA(MATCH($B33,Students!$A$2:$A$301,0)),"Unknown student",IF(D33="","No status",IF(COUNTIFS($A$2:$A$1001,$A33,$B$2:$B$1001,$B33)&gt;1,"Duplicate",IF(AND(D33&lt;&gt;"Withdrawn",G33&lt;&gt;"",COUNTIFS($B$2:$B$1001,$B33,$G$2:$G$1001,G33,$D$2:$D$1001,"&lt;&gt;Withdrawn")&gt;1),"Same-day clash","OK"))))))</f>
        <v/>
      </c>
    </row>
    <row r="34" customFormat="false" ht="15" hidden="false" customHeight="false" outlineLevel="0" collapsed="false">
      <c r="E34" s="26"/>
      <c r="G34" s="23" t="str">
        <f aca="false">IF($A34="","",IFERROR(IF(INDEX(Activities!$C$2:$C$201,MATCH($A34,Activities!$A$2:$A$201,0))="","",INDEX(Activities!$C$2:$C$201,MATCH($A34,Activities!$A$2:$A$201,0))),""))</f>
        <v/>
      </c>
      <c r="H34" s="24" t="str">
        <f aca="false">IF($A34="","",IFERROR(IF(INDEX(Activities!$B$2:$B$201,MATCH($A34,Activities!$A$2:$A$201,0))="","",INDEX(Activities!$B$2:$B$201,MATCH($A34,Activities!$A$2:$A$201,0))),""))</f>
        <v/>
      </c>
      <c r="I34" s="24" t="str">
        <f aca="false">IF($B34="","",IFERROR(IF(INDEX(Students!$C$2:$C$301,MATCH($B34,Students!$A$2:$A$301,0))="","",INDEX(Students!$C$2:$C$301,MATCH($B34,Students!$A$2:$A$301,0))),""))</f>
        <v/>
      </c>
      <c r="J34" s="24" t="str">
        <f aca="false">IF($B34="","",IFERROR(IF(INDEX(Students!$B$2:$B$301,MATCH($B34,Students!$A$2:$A$301,0))="","",INDEX(Students!$B$2:$B$301,MATCH($B34,Students!$A$2:$A$301,0))),""))</f>
        <v/>
      </c>
      <c r="K34" s="25" t="str">
        <f aca="false">IF($A34="","",IF(D34="Withdrawn",0,IF(E34&lt;&gt;"",N(E34),IFERROR(N(INDEX(Activities!$I$2:$I$201,MATCH($A34,Activities!$A$2:$A$201,0))),0))))</f>
        <v/>
      </c>
      <c r="L34" s="24" t="str">
        <f aca="false">IF(AND($A34="",$B34=""),"",IF(ISNA(MATCH($A34,Activities!$A$2:$A$201,0)),"Unknown activity",IF(ISNA(MATCH($B34,Students!$A$2:$A$301,0)),"Unknown student",IF(D34="","No status",IF(COUNTIFS($A$2:$A$1001,$A34,$B$2:$B$1001,$B34)&gt;1,"Duplicate",IF(AND(D34&lt;&gt;"Withdrawn",G34&lt;&gt;"",COUNTIFS($B$2:$B$1001,$B34,$G$2:$G$1001,G34,$D$2:$D$1001,"&lt;&gt;Withdrawn")&gt;1),"Same-day clash","OK"))))))</f>
        <v/>
      </c>
    </row>
    <row r="35" customFormat="false" ht="15" hidden="false" customHeight="false" outlineLevel="0" collapsed="false">
      <c r="E35" s="26"/>
      <c r="G35" s="23" t="str">
        <f aca="false">IF($A35="","",IFERROR(IF(INDEX(Activities!$C$2:$C$201,MATCH($A35,Activities!$A$2:$A$201,0))="","",INDEX(Activities!$C$2:$C$201,MATCH($A35,Activities!$A$2:$A$201,0))),""))</f>
        <v/>
      </c>
      <c r="H35" s="24" t="str">
        <f aca="false">IF($A35="","",IFERROR(IF(INDEX(Activities!$B$2:$B$201,MATCH($A35,Activities!$A$2:$A$201,0))="","",INDEX(Activities!$B$2:$B$201,MATCH($A35,Activities!$A$2:$A$201,0))),""))</f>
        <v/>
      </c>
      <c r="I35" s="24" t="str">
        <f aca="false">IF($B35="","",IFERROR(IF(INDEX(Students!$C$2:$C$301,MATCH($B35,Students!$A$2:$A$301,0))="","",INDEX(Students!$C$2:$C$301,MATCH($B35,Students!$A$2:$A$301,0))),""))</f>
        <v/>
      </c>
      <c r="J35" s="24" t="str">
        <f aca="false">IF($B35="","",IFERROR(IF(INDEX(Students!$B$2:$B$301,MATCH($B35,Students!$A$2:$A$301,0))="","",INDEX(Students!$B$2:$B$301,MATCH($B35,Students!$A$2:$A$301,0))),""))</f>
        <v/>
      </c>
      <c r="K35" s="25" t="str">
        <f aca="false">IF($A35="","",IF(D35="Withdrawn",0,IF(E35&lt;&gt;"",N(E35),IFERROR(N(INDEX(Activities!$I$2:$I$201,MATCH($A35,Activities!$A$2:$A$201,0))),0))))</f>
        <v/>
      </c>
      <c r="L35" s="24" t="str">
        <f aca="false">IF(AND($A35="",$B35=""),"",IF(ISNA(MATCH($A35,Activities!$A$2:$A$201,0)),"Unknown activity",IF(ISNA(MATCH($B35,Students!$A$2:$A$301,0)),"Unknown student",IF(D35="","No status",IF(COUNTIFS($A$2:$A$1001,$A35,$B$2:$B$1001,$B35)&gt;1,"Duplicate",IF(AND(D35&lt;&gt;"Withdrawn",G35&lt;&gt;"",COUNTIFS($B$2:$B$1001,$B35,$G$2:$G$1001,G35,$D$2:$D$1001,"&lt;&gt;Withdrawn")&gt;1),"Same-day clash","OK"))))))</f>
        <v/>
      </c>
    </row>
    <row r="36" customFormat="false" ht="15" hidden="false" customHeight="false" outlineLevel="0" collapsed="false">
      <c r="E36" s="26"/>
      <c r="G36" s="23" t="str">
        <f aca="false">IF($A36="","",IFERROR(IF(INDEX(Activities!$C$2:$C$201,MATCH($A36,Activities!$A$2:$A$201,0))="","",INDEX(Activities!$C$2:$C$201,MATCH($A36,Activities!$A$2:$A$201,0))),""))</f>
        <v/>
      </c>
      <c r="H36" s="24" t="str">
        <f aca="false">IF($A36="","",IFERROR(IF(INDEX(Activities!$B$2:$B$201,MATCH($A36,Activities!$A$2:$A$201,0))="","",INDEX(Activities!$B$2:$B$201,MATCH($A36,Activities!$A$2:$A$201,0))),""))</f>
        <v/>
      </c>
      <c r="I36" s="24" t="str">
        <f aca="false">IF($B36="","",IFERROR(IF(INDEX(Students!$C$2:$C$301,MATCH($B36,Students!$A$2:$A$301,0))="","",INDEX(Students!$C$2:$C$301,MATCH($B36,Students!$A$2:$A$301,0))),""))</f>
        <v/>
      </c>
      <c r="J36" s="24" t="str">
        <f aca="false">IF($B36="","",IFERROR(IF(INDEX(Students!$B$2:$B$301,MATCH($B36,Students!$A$2:$A$301,0))="","",INDEX(Students!$B$2:$B$301,MATCH($B36,Students!$A$2:$A$301,0))),""))</f>
        <v/>
      </c>
      <c r="K36" s="25" t="str">
        <f aca="false">IF($A36="","",IF(D36="Withdrawn",0,IF(E36&lt;&gt;"",N(E36),IFERROR(N(INDEX(Activities!$I$2:$I$201,MATCH($A36,Activities!$A$2:$A$201,0))),0))))</f>
        <v/>
      </c>
      <c r="L36" s="24" t="str">
        <f aca="false">IF(AND($A36="",$B36=""),"",IF(ISNA(MATCH($A36,Activities!$A$2:$A$201,0)),"Unknown activity",IF(ISNA(MATCH($B36,Students!$A$2:$A$301,0)),"Unknown student",IF(D36="","No status",IF(COUNTIFS($A$2:$A$1001,$A36,$B$2:$B$1001,$B36)&gt;1,"Duplicate",IF(AND(D36&lt;&gt;"Withdrawn",G36&lt;&gt;"",COUNTIFS($B$2:$B$1001,$B36,$G$2:$G$1001,G36,$D$2:$D$1001,"&lt;&gt;Withdrawn")&gt;1),"Same-day clash","OK"))))))</f>
        <v/>
      </c>
    </row>
    <row r="37" customFormat="false" ht="15" hidden="false" customHeight="false" outlineLevel="0" collapsed="false">
      <c r="E37" s="26"/>
      <c r="G37" s="23" t="str">
        <f aca="false">IF($A37="","",IFERROR(IF(INDEX(Activities!$C$2:$C$201,MATCH($A37,Activities!$A$2:$A$201,0))="","",INDEX(Activities!$C$2:$C$201,MATCH($A37,Activities!$A$2:$A$201,0))),""))</f>
        <v/>
      </c>
      <c r="H37" s="24" t="str">
        <f aca="false">IF($A37="","",IFERROR(IF(INDEX(Activities!$B$2:$B$201,MATCH($A37,Activities!$A$2:$A$201,0))="","",INDEX(Activities!$B$2:$B$201,MATCH($A37,Activities!$A$2:$A$201,0))),""))</f>
        <v/>
      </c>
      <c r="I37" s="24" t="str">
        <f aca="false">IF($B37="","",IFERROR(IF(INDEX(Students!$C$2:$C$301,MATCH($B37,Students!$A$2:$A$301,0))="","",INDEX(Students!$C$2:$C$301,MATCH($B37,Students!$A$2:$A$301,0))),""))</f>
        <v/>
      </c>
      <c r="J37" s="24" t="str">
        <f aca="false">IF($B37="","",IFERROR(IF(INDEX(Students!$B$2:$B$301,MATCH($B37,Students!$A$2:$A$301,0))="","",INDEX(Students!$B$2:$B$301,MATCH($B37,Students!$A$2:$A$301,0))),""))</f>
        <v/>
      </c>
      <c r="K37" s="25" t="str">
        <f aca="false">IF($A37="","",IF(D37="Withdrawn",0,IF(E37&lt;&gt;"",N(E37),IFERROR(N(INDEX(Activities!$I$2:$I$201,MATCH($A37,Activities!$A$2:$A$201,0))),0))))</f>
        <v/>
      </c>
      <c r="L37" s="24" t="str">
        <f aca="false">IF(AND($A37="",$B37=""),"",IF(ISNA(MATCH($A37,Activities!$A$2:$A$201,0)),"Unknown activity",IF(ISNA(MATCH($B37,Students!$A$2:$A$301,0)),"Unknown student",IF(D37="","No status",IF(COUNTIFS($A$2:$A$1001,$A37,$B$2:$B$1001,$B37)&gt;1,"Duplicate",IF(AND(D37&lt;&gt;"Withdrawn",G37&lt;&gt;"",COUNTIFS($B$2:$B$1001,$B37,$G$2:$G$1001,G37,$D$2:$D$1001,"&lt;&gt;Withdrawn")&gt;1),"Same-day clash","OK"))))))</f>
        <v/>
      </c>
    </row>
    <row r="38" customFormat="false" ht="15" hidden="false" customHeight="false" outlineLevel="0" collapsed="false">
      <c r="E38" s="26"/>
      <c r="G38" s="23" t="str">
        <f aca="false">IF($A38="","",IFERROR(IF(INDEX(Activities!$C$2:$C$201,MATCH($A38,Activities!$A$2:$A$201,0))="","",INDEX(Activities!$C$2:$C$201,MATCH($A38,Activities!$A$2:$A$201,0))),""))</f>
        <v/>
      </c>
      <c r="H38" s="24" t="str">
        <f aca="false">IF($A38="","",IFERROR(IF(INDEX(Activities!$B$2:$B$201,MATCH($A38,Activities!$A$2:$A$201,0))="","",INDEX(Activities!$B$2:$B$201,MATCH($A38,Activities!$A$2:$A$201,0))),""))</f>
        <v/>
      </c>
      <c r="I38" s="24" t="str">
        <f aca="false">IF($B38="","",IFERROR(IF(INDEX(Students!$C$2:$C$301,MATCH($B38,Students!$A$2:$A$301,0))="","",INDEX(Students!$C$2:$C$301,MATCH($B38,Students!$A$2:$A$301,0))),""))</f>
        <v/>
      </c>
      <c r="J38" s="24" t="str">
        <f aca="false">IF($B38="","",IFERROR(IF(INDEX(Students!$B$2:$B$301,MATCH($B38,Students!$A$2:$A$301,0))="","",INDEX(Students!$B$2:$B$301,MATCH($B38,Students!$A$2:$A$301,0))),""))</f>
        <v/>
      </c>
      <c r="K38" s="25" t="str">
        <f aca="false">IF($A38="","",IF(D38="Withdrawn",0,IF(E38&lt;&gt;"",N(E38),IFERROR(N(INDEX(Activities!$I$2:$I$201,MATCH($A38,Activities!$A$2:$A$201,0))),0))))</f>
        <v/>
      </c>
      <c r="L38" s="24" t="str">
        <f aca="false">IF(AND($A38="",$B38=""),"",IF(ISNA(MATCH($A38,Activities!$A$2:$A$201,0)),"Unknown activity",IF(ISNA(MATCH($B38,Students!$A$2:$A$301,0)),"Unknown student",IF(D38="","No status",IF(COUNTIFS($A$2:$A$1001,$A38,$B$2:$B$1001,$B38)&gt;1,"Duplicate",IF(AND(D38&lt;&gt;"Withdrawn",G38&lt;&gt;"",COUNTIFS($B$2:$B$1001,$B38,$G$2:$G$1001,G38,$D$2:$D$1001,"&lt;&gt;Withdrawn")&gt;1),"Same-day clash","OK"))))))</f>
        <v/>
      </c>
    </row>
    <row r="39" customFormat="false" ht="15" hidden="false" customHeight="false" outlineLevel="0" collapsed="false">
      <c r="E39" s="26"/>
      <c r="G39" s="23" t="str">
        <f aca="false">IF($A39="","",IFERROR(IF(INDEX(Activities!$C$2:$C$201,MATCH($A39,Activities!$A$2:$A$201,0))="","",INDEX(Activities!$C$2:$C$201,MATCH($A39,Activities!$A$2:$A$201,0))),""))</f>
        <v/>
      </c>
      <c r="H39" s="24" t="str">
        <f aca="false">IF($A39="","",IFERROR(IF(INDEX(Activities!$B$2:$B$201,MATCH($A39,Activities!$A$2:$A$201,0))="","",INDEX(Activities!$B$2:$B$201,MATCH($A39,Activities!$A$2:$A$201,0))),""))</f>
        <v/>
      </c>
      <c r="I39" s="24" t="str">
        <f aca="false">IF($B39="","",IFERROR(IF(INDEX(Students!$C$2:$C$301,MATCH($B39,Students!$A$2:$A$301,0))="","",INDEX(Students!$C$2:$C$301,MATCH($B39,Students!$A$2:$A$301,0))),""))</f>
        <v/>
      </c>
      <c r="J39" s="24" t="str">
        <f aca="false">IF($B39="","",IFERROR(IF(INDEX(Students!$B$2:$B$301,MATCH($B39,Students!$A$2:$A$301,0))="","",INDEX(Students!$B$2:$B$301,MATCH($B39,Students!$A$2:$A$301,0))),""))</f>
        <v/>
      </c>
      <c r="K39" s="25" t="str">
        <f aca="false">IF($A39="","",IF(D39="Withdrawn",0,IF(E39&lt;&gt;"",N(E39),IFERROR(N(INDEX(Activities!$I$2:$I$201,MATCH($A39,Activities!$A$2:$A$201,0))),0))))</f>
        <v/>
      </c>
      <c r="L39" s="24" t="str">
        <f aca="false">IF(AND($A39="",$B39=""),"",IF(ISNA(MATCH($A39,Activities!$A$2:$A$201,0)),"Unknown activity",IF(ISNA(MATCH($B39,Students!$A$2:$A$301,0)),"Unknown student",IF(D39="","No status",IF(COUNTIFS($A$2:$A$1001,$A39,$B$2:$B$1001,$B39)&gt;1,"Duplicate",IF(AND(D39&lt;&gt;"Withdrawn",G39&lt;&gt;"",COUNTIFS($B$2:$B$1001,$B39,$G$2:$G$1001,G39,$D$2:$D$1001,"&lt;&gt;Withdrawn")&gt;1),"Same-day clash","OK"))))))</f>
        <v/>
      </c>
    </row>
    <row r="40" customFormat="false" ht="15" hidden="false" customHeight="false" outlineLevel="0" collapsed="false">
      <c r="E40" s="26"/>
      <c r="G40" s="23" t="str">
        <f aca="false">IF($A40="","",IFERROR(IF(INDEX(Activities!$C$2:$C$201,MATCH($A40,Activities!$A$2:$A$201,0))="","",INDEX(Activities!$C$2:$C$201,MATCH($A40,Activities!$A$2:$A$201,0))),""))</f>
        <v/>
      </c>
      <c r="H40" s="24" t="str">
        <f aca="false">IF($A40="","",IFERROR(IF(INDEX(Activities!$B$2:$B$201,MATCH($A40,Activities!$A$2:$A$201,0))="","",INDEX(Activities!$B$2:$B$201,MATCH($A40,Activities!$A$2:$A$201,0))),""))</f>
        <v/>
      </c>
      <c r="I40" s="24" t="str">
        <f aca="false">IF($B40="","",IFERROR(IF(INDEX(Students!$C$2:$C$301,MATCH($B40,Students!$A$2:$A$301,0))="","",INDEX(Students!$C$2:$C$301,MATCH($B40,Students!$A$2:$A$301,0))),""))</f>
        <v/>
      </c>
      <c r="J40" s="24" t="str">
        <f aca="false">IF($B40="","",IFERROR(IF(INDEX(Students!$B$2:$B$301,MATCH($B40,Students!$A$2:$A$301,0))="","",INDEX(Students!$B$2:$B$301,MATCH($B40,Students!$A$2:$A$301,0))),""))</f>
        <v/>
      </c>
      <c r="K40" s="25" t="str">
        <f aca="false">IF($A40="","",IF(D40="Withdrawn",0,IF(E40&lt;&gt;"",N(E40),IFERROR(N(INDEX(Activities!$I$2:$I$201,MATCH($A40,Activities!$A$2:$A$201,0))),0))))</f>
        <v/>
      </c>
      <c r="L40" s="24" t="str">
        <f aca="false">IF(AND($A40="",$B40=""),"",IF(ISNA(MATCH($A40,Activities!$A$2:$A$201,0)),"Unknown activity",IF(ISNA(MATCH($B40,Students!$A$2:$A$301,0)),"Unknown student",IF(D40="","No status",IF(COUNTIFS($A$2:$A$1001,$A40,$B$2:$B$1001,$B40)&gt;1,"Duplicate",IF(AND(D40&lt;&gt;"Withdrawn",G40&lt;&gt;"",COUNTIFS($B$2:$B$1001,$B40,$G$2:$G$1001,G40,$D$2:$D$1001,"&lt;&gt;Withdrawn")&gt;1),"Same-day clash","OK"))))))</f>
        <v/>
      </c>
    </row>
    <row r="41" customFormat="false" ht="15" hidden="false" customHeight="false" outlineLevel="0" collapsed="false">
      <c r="E41" s="26"/>
      <c r="G41" s="23" t="str">
        <f aca="false">IF($A41="","",IFERROR(IF(INDEX(Activities!$C$2:$C$201,MATCH($A41,Activities!$A$2:$A$201,0))="","",INDEX(Activities!$C$2:$C$201,MATCH($A41,Activities!$A$2:$A$201,0))),""))</f>
        <v/>
      </c>
      <c r="H41" s="24" t="str">
        <f aca="false">IF($A41="","",IFERROR(IF(INDEX(Activities!$B$2:$B$201,MATCH($A41,Activities!$A$2:$A$201,0))="","",INDEX(Activities!$B$2:$B$201,MATCH($A41,Activities!$A$2:$A$201,0))),""))</f>
        <v/>
      </c>
      <c r="I41" s="24" t="str">
        <f aca="false">IF($B41="","",IFERROR(IF(INDEX(Students!$C$2:$C$301,MATCH($B41,Students!$A$2:$A$301,0))="","",INDEX(Students!$C$2:$C$301,MATCH($B41,Students!$A$2:$A$301,0))),""))</f>
        <v/>
      </c>
      <c r="J41" s="24" t="str">
        <f aca="false">IF($B41="","",IFERROR(IF(INDEX(Students!$B$2:$B$301,MATCH($B41,Students!$A$2:$A$301,0))="","",INDEX(Students!$B$2:$B$301,MATCH($B41,Students!$A$2:$A$301,0))),""))</f>
        <v/>
      </c>
      <c r="K41" s="25" t="str">
        <f aca="false">IF($A41="","",IF(D41="Withdrawn",0,IF(E41&lt;&gt;"",N(E41),IFERROR(N(INDEX(Activities!$I$2:$I$201,MATCH($A41,Activities!$A$2:$A$201,0))),0))))</f>
        <v/>
      </c>
      <c r="L41" s="24" t="str">
        <f aca="false">IF(AND($A41="",$B41=""),"",IF(ISNA(MATCH($A41,Activities!$A$2:$A$201,0)),"Unknown activity",IF(ISNA(MATCH($B41,Students!$A$2:$A$301,0)),"Unknown student",IF(D41="","No status",IF(COUNTIFS($A$2:$A$1001,$A41,$B$2:$B$1001,$B41)&gt;1,"Duplicate",IF(AND(D41&lt;&gt;"Withdrawn",G41&lt;&gt;"",COUNTIFS($B$2:$B$1001,$B41,$G$2:$G$1001,G41,$D$2:$D$1001,"&lt;&gt;Withdrawn")&gt;1),"Same-day clash","OK"))))))</f>
        <v/>
      </c>
    </row>
    <row r="42" customFormat="false" ht="15" hidden="false" customHeight="false" outlineLevel="0" collapsed="false">
      <c r="E42" s="26"/>
      <c r="G42" s="23" t="str">
        <f aca="false">IF($A42="","",IFERROR(IF(INDEX(Activities!$C$2:$C$201,MATCH($A42,Activities!$A$2:$A$201,0))="","",INDEX(Activities!$C$2:$C$201,MATCH($A42,Activities!$A$2:$A$201,0))),""))</f>
        <v/>
      </c>
      <c r="H42" s="24" t="str">
        <f aca="false">IF($A42="","",IFERROR(IF(INDEX(Activities!$B$2:$B$201,MATCH($A42,Activities!$A$2:$A$201,0))="","",INDEX(Activities!$B$2:$B$201,MATCH($A42,Activities!$A$2:$A$201,0))),""))</f>
        <v/>
      </c>
      <c r="I42" s="24" t="str">
        <f aca="false">IF($B42="","",IFERROR(IF(INDEX(Students!$C$2:$C$301,MATCH($B42,Students!$A$2:$A$301,0))="","",INDEX(Students!$C$2:$C$301,MATCH($B42,Students!$A$2:$A$301,0))),""))</f>
        <v/>
      </c>
      <c r="J42" s="24" t="str">
        <f aca="false">IF($B42="","",IFERROR(IF(INDEX(Students!$B$2:$B$301,MATCH($B42,Students!$A$2:$A$301,0))="","",INDEX(Students!$B$2:$B$301,MATCH($B42,Students!$A$2:$A$301,0))),""))</f>
        <v/>
      </c>
      <c r="K42" s="25" t="str">
        <f aca="false">IF($A42="","",IF(D42="Withdrawn",0,IF(E42&lt;&gt;"",N(E42),IFERROR(N(INDEX(Activities!$I$2:$I$201,MATCH($A42,Activities!$A$2:$A$201,0))),0))))</f>
        <v/>
      </c>
      <c r="L42" s="24" t="str">
        <f aca="false">IF(AND($A42="",$B42=""),"",IF(ISNA(MATCH($A42,Activities!$A$2:$A$201,0)),"Unknown activity",IF(ISNA(MATCH($B42,Students!$A$2:$A$301,0)),"Unknown student",IF(D42="","No status",IF(COUNTIFS($A$2:$A$1001,$A42,$B$2:$B$1001,$B42)&gt;1,"Duplicate",IF(AND(D42&lt;&gt;"Withdrawn",G42&lt;&gt;"",COUNTIFS($B$2:$B$1001,$B42,$G$2:$G$1001,G42,$D$2:$D$1001,"&lt;&gt;Withdrawn")&gt;1),"Same-day clash","OK"))))))</f>
        <v/>
      </c>
    </row>
    <row r="43" customFormat="false" ht="15" hidden="false" customHeight="false" outlineLevel="0" collapsed="false">
      <c r="E43" s="26"/>
      <c r="G43" s="23" t="str">
        <f aca="false">IF($A43="","",IFERROR(IF(INDEX(Activities!$C$2:$C$201,MATCH($A43,Activities!$A$2:$A$201,0))="","",INDEX(Activities!$C$2:$C$201,MATCH($A43,Activities!$A$2:$A$201,0))),""))</f>
        <v/>
      </c>
      <c r="H43" s="24" t="str">
        <f aca="false">IF($A43="","",IFERROR(IF(INDEX(Activities!$B$2:$B$201,MATCH($A43,Activities!$A$2:$A$201,0))="","",INDEX(Activities!$B$2:$B$201,MATCH($A43,Activities!$A$2:$A$201,0))),""))</f>
        <v/>
      </c>
      <c r="I43" s="24" t="str">
        <f aca="false">IF($B43="","",IFERROR(IF(INDEX(Students!$C$2:$C$301,MATCH($B43,Students!$A$2:$A$301,0))="","",INDEX(Students!$C$2:$C$301,MATCH($B43,Students!$A$2:$A$301,0))),""))</f>
        <v/>
      </c>
      <c r="J43" s="24" t="str">
        <f aca="false">IF($B43="","",IFERROR(IF(INDEX(Students!$B$2:$B$301,MATCH($B43,Students!$A$2:$A$301,0))="","",INDEX(Students!$B$2:$B$301,MATCH($B43,Students!$A$2:$A$301,0))),""))</f>
        <v/>
      </c>
      <c r="K43" s="25" t="str">
        <f aca="false">IF($A43="","",IF(D43="Withdrawn",0,IF(E43&lt;&gt;"",N(E43),IFERROR(N(INDEX(Activities!$I$2:$I$201,MATCH($A43,Activities!$A$2:$A$201,0))),0))))</f>
        <v/>
      </c>
      <c r="L43" s="24" t="str">
        <f aca="false">IF(AND($A43="",$B43=""),"",IF(ISNA(MATCH($A43,Activities!$A$2:$A$201,0)),"Unknown activity",IF(ISNA(MATCH($B43,Students!$A$2:$A$301,0)),"Unknown student",IF(D43="","No status",IF(COUNTIFS($A$2:$A$1001,$A43,$B$2:$B$1001,$B43)&gt;1,"Duplicate",IF(AND(D43&lt;&gt;"Withdrawn",G43&lt;&gt;"",COUNTIFS($B$2:$B$1001,$B43,$G$2:$G$1001,G43,$D$2:$D$1001,"&lt;&gt;Withdrawn")&gt;1),"Same-day clash","OK"))))))</f>
        <v/>
      </c>
    </row>
    <row r="44" customFormat="false" ht="15" hidden="false" customHeight="false" outlineLevel="0" collapsed="false">
      <c r="E44" s="26"/>
      <c r="G44" s="23" t="str">
        <f aca="false">IF($A44="","",IFERROR(IF(INDEX(Activities!$C$2:$C$201,MATCH($A44,Activities!$A$2:$A$201,0))="","",INDEX(Activities!$C$2:$C$201,MATCH($A44,Activities!$A$2:$A$201,0))),""))</f>
        <v/>
      </c>
      <c r="H44" s="24" t="str">
        <f aca="false">IF($A44="","",IFERROR(IF(INDEX(Activities!$B$2:$B$201,MATCH($A44,Activities!$A$2:$A$201,0))="","",INDEX(Activities!$B$2:$B$201,MATCH($A44,Activities!$A$2:$A$201,0))),""))</f>
        <v/>
      </c>
      <c r="I44" s="24" t="str">
        <f aca="false">IF($B44="","",IFERROR(IF(INDEX(Students!$C$2:$C$301,MATCH($B44,Students!$A$2:$A$301,0))="","",INDEX(Students!$C$2:$C$301,MATCH($B44,Students!$A$2:$A$301,0))),""))</f>
        <v/>
      </c>
      <c r="J44" s="24" t="str">
        <f aca="false">IF($B44="","",IFERROR(IF(INDEX(Students!$B$2:$B$301,MATCH($B44,Students!$A$2:$A$301,0))="","",INDEX(Students!$B$2:$B$301,MATCH($B44,Students!$A$2:$A$301,0))),""))</f>
        <v/>
      </c>
      <c r="K44" s="25" t="str">
        <f aca="false">IF($A44="","",IF(D44="Withdrawn",0,IF(E44&lt;&gt;"",N(E44),IFERROR(N(INDEX(Activities!$I$2:$I$201,MATCH($A44,Activities!$A$2:$A$201,0))),0))))</f>
        <v/>
      </c>
      <c r="L44" s="24" t="str">
        <f aca="false">IF(AND($A44="",$B44=""),"",IF(ISNA(MATCH($A44,Activities!$A$2:$A$201,0)),"Unknown activity",IF(ISNA(MATCH($B44,Students!$A$2:$A$301,0)),"Unknown student",IF(D44="","No status",IF(COUNTIFS($A$2:$A$1001,$A44,$B$2:$B$1001,$B44)&gt;1,"Duplicate",IF(AND(D44&lt;&gt;"Withdrawn",G44&lt;&gt;"",COUNTIFS($B$2:$B$1001,$B44,$G$2:$G$1001,G44,$D$2:$D$1001,"&lt;&gt;Withdrawn")&gt;1),"Same-day clash","OK"))))))</f>
        <v/>
      </c>
    </row>
    <row r="45" customFormat="false" ht="15" hidden="false" customHeight="false" outlineLevel="0" collapsed="false">
      <c r="E45" s="26"/>
      <c r="G45" s="23" t="str">
        <f aca="false">IF($A45="","",IFERROR(IF(INDEX(Activities!$C$2:$C$201,MATCH($A45,Activities!$A$2:$A$201,0))="","",INDEX(Activities!$C$2:$C$201,MATCH($A45,Activities!$A$2:$A$201,0))),""))</f>
        <v/>
      </c>
      <c r="H45" s="24" t="str">
        <f aca="false">IF($A45="","",IFERROR(IF(INDEX(Activities!$B$2:$B$201,MATCH($A45,Activities!$A$2:$A$201,0))="","",INDEX(Activities!$B$2:$B$201,MATCH($A45,Activities!$A$2:$A$201,0))),""))</f>
        <v/>
      </c>
      <c r="I45" s="24" t="str">
        <f aca="false">IF($B45="","",IFERROR(IF(INDEX(Students!$C$2:$C$301,MATCH($B45,Students!$A$2:$A$301,0))="","",INDEX(Students!$C$2:$C$301,MATCH($B45,Students!$A$2:$A$301,0))),""))</f>
        <v/>
      </c>
      <c r="J45" s="24" t="str">
        <f aca="false">IF($B45="","",IFERROR(IF(INDEX(Students!$B$2:$B$301,MATCH($B45,Students!$A$2:$A$301,0))="","",INDEX(Students!$B$2:$B$301,MATCH($B45,Students!$A$2:$A$301,0))),""))</f>
        <v/>
      </c>
      <c r="K45" s="25" t="str">
        <f aca="false">IF($A45="","",IF(D45="Withdrawn",0,IF(E45&lt;&gt;"",N(E45),IFERROR(N(INDEX(Activities!$I$2:$I$201,MATCH($A45,Activities!$A$2:$A$201,0))),0))))</f>
        <v/>
      </c>
      <c r="L45" s="24" t="str">
        <f aca="false">IF(AND($A45="",$B45=""),"",IF(ISNA(MATCH($A45,Activities!$A$2:$A$201,0)),"Unknown activity",IF(ISNA(MATCH($B45,Students!$A$2:$A$301,0)),"Unknown student",IF(D45="","No status",IF(COUNTIFS($A$2:$A$1001,$A45,$B$2:$B$1001,$B45)&gt;1,"Duplicate",IF(AND(D45&lt;&gt;"Withdrawn",G45&lt;&gt;"",COUNTIFS($B$2:$B$1001,$B45,$G$2:$G$1001,G45,$D$2:$D$1001,"&lt;&gt;Withdrawn")&gt;1),"Same-day clash","OK"))))))</f>
        <v/>
      </c>
    </row>
    <row r="46" customFormat="false" ht="15" hidden="false" customHeight="false" outlineLevel="0" collapsed="false">
      <c r="E46" s="26"/>
      <c r="G46" s="23" t="str">
        <f aca="false">IF($A46="","",IFERROR(IF(INDEX(Activities!$C$2:$C$201,MATCH($A46,Activities!$A$2:$A$201,0))="","",INDEX(Activities!$C$2:$C$201,MATCH($A46,Activities!$A$2:$A$201,0))),""))</f>
        <v/>
      </c>
      <c r="H46" s="24" t="str">
        <f aca="false">IF($A46="","",IFERROR(IF(INDEX(Activities!$B$2:$B$201,MATCH($A46,Activities!$A$2:$A$201,0))="","",INDEX(Activities!$B$2:$B$201,MATCH($A46,Activities!$A$2:$A$201,0))),""))</f>
        <v/>
      </c>
      <c r="I46" s="24" t="str">
        <f aca="false">IF($B46="","",IFERROR(IF(INDEX(Students!$C$2:$C$301,MATCH($B46,Students!$A$2:$A$301,0))="","",INDEX(Students!$C$2:$C$301,MATCH($B46,Students!$A$2:$A$301,0))),""))</f>
        <v/>
      </c>
      <c r="J46" s="24" t="str">
        <f aca="false">IF($B46="","",IFERROR(IF(INDEX(Students!$B$2:$B$301,MATCH($B46,Students!$A$2:$A$301,0))="","",INDEX(Students!$B$2:$B$301,MATCH($B46,Students!$A$2:$A$301,0))),""))</f>
        <v/>
      </c>
      <c r="K46" s="25" t="str">
        <f aca="false">IF($A46="","",IF(D46="Withdrawn",0,IF(E46&lt;&gt;"",N(E46),IFERROR(N(INDEX(Activities!$I$2:$I$201,MATCH($A46,Activities!$A$2:$A$201,0))),0))))</f>
        <v/>
      </c>
      <c r="L46" s="24" t="str">
        <f aca="false">IF(AND($A46="",$B46=""),"",IF(ISNA(MATCH($A46,Activities!$A$2:$A$201,0)),"Unknown activity",IF(ISNA(MATCH($B46,Students!$A$2:$A$301,0)),"Unknown student",IF(D46="","No status",IF(COUNTIFS($A$2:$A$1001,$A46,$B$2:$B$1001,$B46)&gt;1,"Duplicate",IF(AND(D46&lt;&gt;"Withdrawn",G46&lt;&gt;"",COUNTIFS($B$2:$B$1001,$B46,$G$2:$G$1001,G46,$D$2:$D$1001,"&lt;&gt;Withdrawn")&gt;1),"Same-day clash","OK"))))))</f>
        <v/>
      </c>
    </row>
    <row r="47" customFormat="false" ht="15" hidden="false" customHeight="false" outlineLevel="0" collapsed="false">
      <c r="E47" s="26"/>
      <c r="G47" s="23" t="str">
        <f aca="false">IF($A47="","",IFERROR(IF(INDEX(Activities!$C$2:$C$201,MATCH($A47,Activities!$A$2:$A$201,0))="","",INDEX(Activities!$C$2:$C$201,MATCH($A47,Activities!$A$2:$A$201,0))),""))</f>
        <v/>
      </c>
      <c r="H47" s="24" t="str">
        <f aca="false">IF($A47="","",IFERROR(IF(INDEX(Activities!$B$2:$B$201,MATCH($A47,Activities!$A$2:$A$201,0))="","",INDEX(Activities!$B$2:$B$201,MATCH($A47,Activities!$A$2:$A$201,0))),""))</f>
        <v/>
      </c>
      <c r="I47" s="24" t="str">
        <f aca="false">IF($B47="","",IFERROR(IF(INDEX(Students!$C$2:$C$301,MATCH($B47,Students!$A$2:$A$301,0))="","",INDEX(Students!$C$2:$C$301,MATCH($B47,Students!$A$2:$A$301,0))),""))</f>
        <v/>
      </c>
      <c r="J47" s="24" t="str">
        <f aca="false">IF($B47="","",IFERROR(IF(INDEX(Students!$B$2:$B$301,MATCH($B47,Students!$A$2:$A$301,0))="","",INDEX(Students!$B$2:$B$301,MATCH($B47,Students!$A$2:$A$301,0))),""))</f>
        <v/>
      </c>
      <c r="K47" s="25" t="str">
        <f aca="false">IF($A47="","",IF(D47="Withdrawn",0,IF(E47&lt;&gt;"",N(E47),IFERROR(N(INDEX(Activities!$I$2:$I$201,MATCH($A47,Activities!$A$2:$A$201,0))),0))))</f>
        <v/>
      </c>
      <c r="L47" s="24" t="str">
        <f aca="false">IF(AND($A47="",$B47=""),"",IF(ISNA(MATCH($A47,Activities!$A$2:$A$201,0)),"Unknown activity",IF(ISNA(MATCH($B47,Students!$A$2:$A$301,0)),"Unknown student",IF(D47="","No status",IF(COUNTIFS($A$2:$A$1001,$A47,$B$2:$B$1001,$B47)&gt;1,"Duplicate",IF(AND(D47&lt;&gt;"Withdrawn",G47&lt;&gt;"",COUNTIFS($B$2:$B$1001,$B47,$G$2:$G$1001,G47,$D$2:$D$1001,"&lt;&gt;Withdrawn")&gt;1),"Same-day clash","OK"))))))</f>
        <v/>
      </c>
    </row>
    <row r="48" customFormat="false" ht="15" hidden="false" customHeight="false" outlineLevel="0" collapsed="false">
      <c r="E48" s="26"/>
      <c r="G48" s="23" t="str">
        <f aca="false">IF($A48="","",IFERROR(IF(INDEX(Activities!$C$2:$C$201,MATCH($A48,Activities!$A$2:$A$201,0))="","",INDEX(Activities!$C$2:$C$201,MATCH($A48,Activities!$A$2:$A$201,0))),""))</f>
        <v/>
      </c>
      <c r="H48" s="24" t="str">
        <f aca="false">IF($A48="","",IFERROR(IF(INDEX(Activities!$B$2:$B$201,MATCH($A48,Activities!$A$2:$A$201,0))="","",INDEX(Activities!$B$2:$B$201,MATCH($A48,Activities!$A$2:$A$201,0))),""))</f>
        <v/>
      </c>
      <c r="I48" s="24" t="str">
        <f aca="false">IF($B48="","",IFERROR(IF(INDEX(Students!$C$2:$C$301,MATCH($B48,Students!$A$2:$A$301,0))="","",INDEX(Students!$C$2:$C$301,MATCH($B48,Students!$A$2:$A$301,0))),""))</f>
        <v/>
      </c>
      <c r="J48" s="24" t="str">
        <f aca="false">IF($B48="","",IFERROR(IF(INDEX(Students!$B$2:$B$301,MATCH($B48,Students!$A$2:$A$301,0))="","",INDEX(Students!$B$2:$B$301,MATCH($B48,Students!$A$2:$A$301,0))),""))</f>
        <v/>
      </c>
      <c r="K48" s="25" t="str">
        <f aca="false">IF($A48="","",IF(D48="Withdrawn",0,IF(E48&lt;&gt;"",N(E48),IFERROR(N(INDEX(Activities!$I$2:$I$201,MATCH($A48,Activities!$A$2:$A$201,0))),0))))</f>
        <v/>
      </c>
      <c r="L48" s="24" t="str">
        <f aca="false">IF(AND($A48="",$B48=""),"",IF(ISNA(MATCH($A48,Activities!$A$2:$A$201,0)),"Unknown activity",IF(ISNA(MATCH($B48,Students!$A$2:$A$301,0)),"Unknown student",IF(D48="","No status",IF(COUNTIFS($A$2:$A$1001,$A48,$B$2:$B$1001,$B48)&gt;1,"Duplicate",IF(AND(D48&lt;&gt;"Withdrawn",G48&lt;&gt;"",COUNTIFS($B$2:$B$1001,$B48,$G$2:$G$1001,G48,$D$2:$D$1001,"&lt;&gt;Withdrawn")&gt;1),"Same-day clash","OK"))))))</f>
        <v/>
      </c>
    </row>
    <row r="49" customFormat="false" ht="15" hidden="false" customHeight="false" outlineLevel="0" collapsed="false">
      <c r="E49" s="26"/>
      <c r="G49" s="23" t="str">
        <f aca="false">IF($A49="","",IFERROR(IF(INDEX(Activities!$C$2:$C$201,MATCH($A49,Activities!$A$2:$A$201,0))="","",INDEX(Activities!$C$2:$C$201,MATCH($A49,Activities!$A$2:$A$201,0))),""))</f>
        <v/>
      </c>
      <c r="H49" s="24" t="str">
        <f aca="false">IF($A49="","",IFERROR(IF(INDEX(Activities!$B$2:$B$201,MATCH($A49,Activities!$A$2:$A$201,0))="","",INDEX(Activities!$B$2:$B$201,MATCH($A49,Activities!$A$2:$A$201,0))),""))</f>
        <v/>
      </c>
      <c r="I49" s="24" t="str">
        <f aca="false">IF($B49="","",IFERROR(IF(INDEX(Students!$C$2:$C$301,MATCH($B49,Students!$A$2:$A$301,0))="","",INDEX(Students!$C$2:$C$301,MATCH($B49,Students!$A$2:$A$301,0))),""))</f>
        <v/>
      </c>
      <c r="J49" s="24" t="str">
        <f aca="false">IF($B49="","",IFERROR(IF(INDEX(Students!$B$2:$B$301,MATCH($B49,Students!$A$2:$A$301,0))="","",INDEX(Students!$B$2:$B$301,MATCH($B49,Students!$A$2:$A$301,0))),""))</f>
        <v/>
      </c>
      <c r="K49" s="25" t="str">
        <f aca="false">IF($A49="","",IF(D49="Withdrawn",0,IF(E49&lt;&gt;"",N(E49),IFERROR(N(INDEX(Activities!$I$2:$I$201,MATCH($A49,Activities!$A$2:$A$201,0))),0))))</f>
        <v/>
      </c>
      <c r="L49" s="24" t="str">
        <f aca="false">IF(AND($A49="",$B49=""),"",IF(ISNA(MATCH($A49,Activities!$A$2:$A$201,0)),"Unknown activity",IF(ISNA(MATCH($B49,Students!$A$2:$A$301,0)),"Unknown student",IF(D49="","No status",IF(COUNTIFS($A$2:$A$1001,$A49,$B$2:$B$1001,$B49)&gt;1,"Duplicate",IF(AND(D49&lt;&gt;"Withdrawn",G49&lt;&gt;"",COUNTIFS($B$2:$B$1001,$B49,$G$2:$G$1001,G49,$D$2:$D$1001,"&lt;&gt;Withdrawn")&gt;1),"Same-day clash","OK"))))))</f>
        <v/>
      </c>
    </row>
    <row r="50" customFormat="false" ht="15" hidden="false" customHeight="false" outlineLevel="0" collapsed="false">
      <c r="E50" s="26"/>
      <c r="G50" s="23" t="str">
        <f aca="false">IF($A50="","",IFERROR(IF(INDEX(Activities!$C$2:$C$201,MATCH($A50,Activities!$A$2:$A$201,0))="","",INDEX(Activities!$C$2:$C$201,MATCH($A50,Activities!$A$2:$A$201,0))),""))</f>
        <v/>
      </c>
      <c r="H50" s="24" t="str">
        <f aca="false">IF($A50="","",IFERROR(IF(INDEX(Activities!$B$2:$B$201,MATCH($A50,Activities!$A$2:$A$201,0))="","",INDEX(Activities!$B$2:$B$201,MATCH($A50,Activities!$A$2:$A$201,0))),""))</f>
        <v/>
      </c>
      <c r="I50" s="24" t="str">
        <f aca="false">IF($B50="","",IFERROR(IF(INDEX(Students!$C$2:$C$301,MATCH($B50,Students!$A$2:$A$301,0))="","",INDEX(Students!$C$2:$C$301,MATCH($B50,Students!$A$2:$A$301,0))),""))</f>
        <v/>
      </c>
      <c r="J50" s="24" t="str">
        <f aca="false">IF($B50="","",IFERROR(IF(INDEX(Students!$B$2:$B$301,MATCH($B50,Students!$A$2:$A$301,0))="","",INDEX(Students!$B$2:$B$301,MATCH($B50,Students!$A$2:$A$301,0))),""))</f>
        <v/>
      </c>
      <c r="K50" s="25" t="str">
        <f aca="false">IF($A50="","",IF(D50="Withdrawn",0,IF(E50&lt;&gt;"",N(E50),IFERROR(N(INDEX(Activities!$I$2:$I$201,MATCH($A50,Activities!$A$2:$A$201,0))),0))))</f>
        <v/>
      </c>
      <c r="L50" s="24" t="str">
        <f aca="false">IF(AND($A50="",$B50=""),"",IF(ISNA(MATCH($A50,Activities!$A$2:$A$201,0)),"Unknown activity",IF(ISNA(MATCH($B50,Students!$A$2:$A$301,0)),"Unknown student",IF(D50="","No status",IF(COUNTIFS($A$2:$A$1001,$A50,$B$2:$B$1001,$B50)&gt;1,"Duplicate",IF(AND(D50&lt;&gt;"Withdrawn",G50&lt;&gt;"",COUNTIFS($B$2:$B$1001,$B50,$G$2:$G$1001,G50,$D$2:$D$1001,"&lt;&gt;Withdrawn")&gt;1),"Same-day clash","OK"))))))</f>
        <v/>
      </c>
    </row>
    <row r="51" customFormat="false" ht="15" hidden="false" customHeight="false" outlineLevel="0" collapsed="false">
      <c r="E51" s="26"/>
      <c r="G51" s="23" t="str">
        <f aca="false">IF($A51="","",IFERROR(IF(INDEX(Activities!$C$2:$C$201,MATCH($A51,Activities!$A$2:$A$201,0))="","",INDEX(Activities!$C$2:$C$201,MATCH($A51,Activities!$A$2:$A$201,0))),""))</f>
        <v/>
      </c>
      <c r="H51" s="24" t="str">
        <f aca="false">IF($A51="","",IFERROR(IF(INDEX(Activities!$B$2:$B$201,MATCH($A51,Activities!$A$2:$A$201,0))="","",INDEX(Activities!$B$2:$B$201,MATCH($A51,Activities!$A$2:$A$201,0))),""))</f>
        <v/>
      </c>
      <c r="I51" s="24" t="str">
        <f aca="false">IF($B51="","",IFERROR(IF(INDEX(Students!$C$2:$C$301,MATCH($B51,Students!$A$2:$A$301,0))="","",INDEX(Students!$C$2:$C$301,MATCH($B51,Students!$A$2:$A$301,0))),""))</f>
        <v/>
      </c>
      <c r="J51" s="24" t="str">
        <f aca="false">IF($B51="","",IFERROR(IF(INDEX(Students!$B$2:$B$301,MATCH($B51,Students!$A$2:$A$301,0))="","",INDEX(Students!$B$2:$B$301,MATCH($B51,Students!$A$2:$A$301,0))),""))</f>
        <v/>
      </c>
      <c r="K51" s="25" t="str">
        <f aca="false">IF($A51="","",IF(D51="Withdrawn",0,IF(E51&lt;&gt;"",N(E51),IFERROR(N(INDEX(Activities!$I$2:$I$201,MATCH($A51,Activities!$A$2:$A$201,0))),0))))</f>
        <v/>
      </c>
      <c r="L51" s="24" t="str">
        <f aca="false">IF(AND($A51="",$B51=""),"",IF(ISNA(MATCH($A51,Activities!$A$2:$A$201,0)),"Unknown activity",IF(ISNA(MATCH($B51,Students!$A$2:$A$301,0)),"Unknown student",IF(D51="","No status",IF(COUNTIFS($A$2:$A$1001,$A51,$B$2:$B$1001,$B51)&gt;1,"Duplicate",IF(AND(D51&lt;&gt;"Withdrawn",G51&lt;&gt;"",COUNTIFS($B$2:$B$1001,$B51,$G$2:$G$1001,G51,$D$2:$D$1001,"&lt;&gt;Withdrawn")&gt;1),"Same-day clash","OK"))))))</f>
        <v/>
      </c>
    </row>
    <row r="52" customFormat="false" ht="15" hidden="false" customHeight="false" outlineLevel="0" collapsed="false">
      <c r="E52" s="26"/>
      <c r="G52" s="23" t="str">
        <f aca="false">IF($A52="","",IFERROR(IF(INDEX(Activities!$C$2:$C$201,MATCH($A52,Activities!$A$2:$A$201,0))="","",INDEX(Activities!$C$2:$C$201,MATCH($A52,Activities!$A$2:$A$201,0))),""))</f>
        <v/>
      </c>
      <c r="H52" s="24" t="str">
        <f aca="false">IF($A52="","",IFERROR(IF(INDEX(Activities!$B$2:$B$201,MATCH($A52,Activities!$A$2:$A$201,0))="","",INDEX(Activities!$B$2:$B$201,MATCH($A52,Activities!$A$2:$A$201,0))),""))</f>
        <v/>
      </c>
      <c r="I52" s="24" t="str">
        <f aca="false">IF($B52="","",IFERROR(IF(INDEX(Students!$C$2:$C$301,MATCH($B52,Students!$A$2:$A$301,0))="","",INDEX(Students!$C$2:$C$301,MATCH($B52,Students!$A$2:$A$301,0))),""))</f>
        <v/>
      </c>
      <c r="J52" s="24" t="str">
        <f aca="false">IF($B52="","",IFERROR(IF(INDEX(Students!$B$2:$B$301,MATCH($B52,Students!$A$2:$A$301,0))="","",INDEX(Students!$B$2:$B$301,MATCH($B52,Students!$A$2:$A$301,0))),""))</f>
        <v/>
      </c>
      <c r="K52" s="25" t="str">
        <f aca="false">IF($A52="","",IF(D52="Withdrawn",0,IF(E52&lt;&gt;"",N(E52),IFERROR(N(INDEX(Activities!$I$2:$I$201,MATCH($A52,Activities!$A$2:$A$201,0))),0))))</f>
        <v/>
      </c>
      <c r="L52" s="24" t="str">
        <f aca="false">IF(AND($A52="",$B52=""),"",IF(ISNA(MATCH($A52,Activities!$A$2:$A$201,0)),"Unknown activity",IF(ISNA(MATCH($B52,Students!$A$2:$A$301,0)),"Unknown student",IF(D52="","No status",IF(COUNTIFS($A$2:$A$1001,$A52,$B$2:$B$1001,$B52)&gt;1,"Duplicate",IF(AND(D52&lt;&gt;"Withdrawn",G52&lt;&gt;"",COUNTIFS($B$2:$B$1001,$B52,$G$2:$G$1001,G52,$D$2:$D$1001,"&lt;&gt;Withdrawn")&gt;1),"Same-day clash","OK"))))))</f>
        <v/>
      </c>
    </row>
    <row r="53" customFormat="false" ht="15" hidden="false" customHeight="false" outlineLevel="0" collapsed="false">
      <c r="E53" s="26"/>
      <c r="G53" s="23" t="str">
        <f aca="false">IF($A53="","",IFERROR(IF(INDEX(Activities!$C$2:$C$201,MATCH($A53,Activities!$A$2:$A$201,0))="","",INDEX(Activities!$C$2:$C$201,MATCH($A53,Activities!$A$2:$A$201,0))),""))</f>
        <v/>
      </c>
      <c r="H53" s="24" t="str">
        <f aca="false">IF($A53="","",IFERROR(IF(INDEX(Activities!$B$2:$B$201,MATCH($A53,Activities!$A$2:$A$201,0))="","",INDEX(Activities!$B$2:$B$201,MATCH($A53,Activities!$A$2:$A$201,0))),""))</f>
        <v/>
      </c>
      <c r="I53" s="24" t="str">
        <f aca="false">IF($B53="","",IFERROR(IF(INDEX(Students!$C$2:$C$301,MATCH($B53,Students!$A$2:$A$301,0))="","",INDEX(Students!$C$2:$C$301,MATCH($B53,Students!$A$2:$A$301,0))),""))</f>
        <v/>
      </c>
      <c r="J53" s="24" t="str">
        <f aca="false">IF($B53="","",IFERROR(IF(INDEX(Students!$B$2:$B$301,MATCH($B53,Students!$A$2:$A$301,0))="","",INDEX(Students!$B$2:$B$301,MATCH($B53,Students!$A$2:$A$301,0))),""))</f>
        <v/>
      </c>
      <c r="K53" s="25" t="str">
        <f aca="false">IF($A53="","",IF(D53="Withdrawn",0,IF(E53&lt;&gt;"",N(E53),IFERROR(N(INDEX(Activities!$I$2:$I$201,MATCH($A53,Activities!$A$2:$A$201,0))),0))))</f>
        <v/>
      </c>
      <c r="L53" s="24" t="str">
        <f aca="false">IF(AND($A53="",$B53=""),"",IF(ISNA(MATCH($A53,Activities!$A$2:$A$201,0)),"Unknown activity",IF(ISNA(MATCH($B53,Students!$A$2:$A$301,0)),"Unknown student",IF(D53="","No status",IF(COUNTIFS($A$2:$A$1001,$A53,$B$2:$B$1001,$B53)&gt;1,"Duplicate",IF(AND(D53&lt;&gt;"Withdrawn",G53&lt;&gt;"",COUNTIFS($B$2:$B$1001,$B53,$G$2:$G$1001,G53,$D$2:$D$1001,"&lt;&gt;Withdrawn")&gt;1),"Same-day clash","OK"))))))</f>
        <v/>
      </c>
    </row>
    <row r="54" customFormat="false" ht="15" hidden="false" customHeight="false" outlineLevel="0" collapsed="false">
      <c r="E54" s="26"/>
      <c r="G54" s="23" t="str">
        <f aca="false">IF($A54="","",IFERROR(IF(INDEX(Activities!$C$2:$C$201,MATCH($A54,Activities!$A$2:$A$201,0))="","",INDEX(Activities!$C$2:$C$201,MATCH($A54,Activities!$A$2:$A$201,0))),""))</f>
        <v/>
      </c>
      <c r="H54" s="24" t="str">
        <f aca="false">IF($A54="","",IFERROR(IF(INDEX(Activities!$B$2:$B$201,MATCH($A54,Activities!$A$2:$A$201,0))="","",INDEX(Activities!$B$2:$B$201,MATCH($A54,Activities!$A$2:$A$201,0))),""))</f>
        <v/>
      </c>
      <c r="I54" s="24" t="str">
        <f aca="false">IF($B54="","",IFERROR(IF(INDEX(Students!$C$2:$C$301,MATCH($B54,Students!$A$2:$A$301,0))="","",INDEX(Students!$C$2:$C$301,MATCH($B54,Students!$A$2:$A$301,0))),""))</f>
        <v/>
      </c>
      <c r="J54" s="24" t="str">
        <f aca="false">IF($B54="","",IFERROR(IF(INDEX(Students!$B$2:$B$301,MATCH($B54,Students!$A$2:$A$301,0))="","",INDEX(Students!$B$2:$B$301,MATCH($B54,Students!$A$2:$A$301,0))),""))</f>
        <v/>
      </c>
      <c r="K54" s="25" t="str">
        <f aca="false">IF($A54="","",IF(D54="Withdrawn",0,IF(E54&lt;&gt;"",N(E54),IFERROR(N(INDEX(Activities!$I$2:$I$201,MATCH($A54,Activities!$A$2:$A$201,0))),0))))</f>
        <v/>
      </c>
      <c r="L54" s="24" t="str">
        <f aca="false">IF(AND($A54="",$B54=""),"",IF(ISNA(MATCH($A54,Activities!$A$2:$A$201,0)),"Unknown activity",IF(ISNA(MATCH($B54,Students!$A$2:$A$301,0)),"Unknown student",IF(D54="","No status",IF(COUNTIFS($A$2:$A$1001,$A54,$B$2:$B$1001,$B54)&gt;1,"Duplicate",IF(AND(D54&lt;&gt;"Withdrawn",G54&lt;&gt;"",COUNTIFS($B$2:$B$1001,$B54,$G$2:$G$1001,G54,$D$2:$D$1001,"&lt;&gt;Withdrawn")&gt;1),"Same-day clash","OK"))))))</f>
        <v/>
      </c>
    </row>
    <row r="55" customFormat="false" ht="15" hidden="false" customHeight="false" outlineLevel="0" collapsed="false">
      <c r="E55" s="26"/>
      <c r="G55" s="23" t="str">
        <f aca="false">IF($A55="","",IFERROR(IF(INDEX(Activities!$C$2:$C$201,MATCH($A55,Activities!$A$2:$A$201,0))="","",INDEX(Activities!$C$2:$C$201,MATCH($A55,Activities!$A$2:$A$201,0))),""))</f>
        <v/>
      </c>
      <c r="H55" s="24" t="str">
        <f aca="false">IF($A55="","",IFERROR(IF(INDEX(Activities!$B$2:$B$201,MATCH($A55,Activities!$A$2:$A$201,0))="","",INDEX(Activities!$B$2:$B$201,MATCH($A55,Activities!$A$2:$A$201,0))),""))</f>
        <v/>
      </c>
      <c r="I55" s="24" t="str">
        <f aca="false">IF($B55="","",IFERROR(IF(INDEX(Students!$C$2:$C$301,MATCH($B55,Students!$A$2:$A$301,0))="","",INDEX(Students!$C$2:$C$301,MATCH($B55,Students!$A$2:$A$301,0))),""))</f>
        <v/>
      </c>
      <c r="J55" s="24" t="str">
        <f aca="false">IF($B55="","",IFERROR(IF(INDEX(Students!$B$2:$B$301,MATCH($B55,Students!$A$2:$A$301,0))="","",INDEX(Students!$B$2:$B$301,MATCH($B55,Students!$A$2:$A$301,0))),""))</f>
        <v/>
      </c>
      <c r="K55" s="25" t="str">
        <f aca="false">IF($A55="","",IF(D55="Withdrawn",0,IF(E55&lt;&gt;"",N(E55),IFERROR(N(INDEX(Activities!$I$2:$I$201,MATCH($A55,Activities!$A$2:$A$201,0))),0))))</f>
        <v/>
      </c>
      <c r="L55" s="24" t="str">
        <f aca="false">IF(AND($A55="",$B55=""),"",IF(ISNA(MATCH($A55,Activities!$A$2:$A$201,0)),"Unknown activity",IF(ISNA(MATCH($B55,Students!$A$2:$A$301,0)),"Unknown student",IF(D55="","No status",IF(COUNTIFS($A$2:$A$1001,$A55,$B$2:$B$1001,$B55)&gt;1,"Duplicate",IF(AND(D55&lt;&gt;"Withdrawn",G55&lt;&gt;"",COUNTIFS($B$2:$B$1001,$B55,$G$2:$G$1001,G55,$D$2:$D$1001,"&lt;&gt;Withdrawn")&gt;1),"Same-day clash","OK"))))))</f>
        <v/>
      </c>
    </row>
    <row r="56" customFormat="false" ht="15" hidden="false" customHeight="false" outlineLevel="0" collapsed="false">
      <c r="E56" s="26"/>
      <c r="G56" s="23" t="str">
        <f aca="false">IF($A56="","",IFERROR(IF(INDEX(Activities!$C$2:$C$201,MATCH($A56,Activities!$A$2:$A$201,0))="","",INDEX(Activities!$C$2:$C$201,MATCH($A56,Activities!$A$2:$A$201,0))),""))</f>
        <v/>
      </c>
      <c r="H56" s="24" t="str">
        <f aca="false">IF($A56="","",IFERROR(IF(INDEX(Activities!$B$2:$B$201,MATCH($A56,Activities!$A$2:$A$201,0))="","",INDEX(Activities!$B$2:$B$201,MATCH($A56,Activities!$A$2:$A$201,0))),""))</f>
        <v/>
      </c>
      <c r="I56" s="24" t="str">
        <f aca="false">IF($B56="","",IFERROR(IF(INDEX(Students!$C$2:$C$301,MATCH($B56,Students!$A$2:$A$301,0))="","",INDEX(Students!$C$2:$C$301,MATCH($B56,Students!$A$2:$A$301,0))),""))</f>
        <v/>
      </c>
      <c r="J56" s="24" t="str">
        <f aca="false">IF($B56="","",IFERROR(IF(INDEX(Students!$B$2:$B$301,MATCH($B56,Students!$A$2:$A$301,0))="","",INDEX(Students!$B$2:$B$301,MATCH($B56,Students!$A$2:$A$301,0))),""))</f>
        <v/>
      </c>
      <c r="K56" s="25" t="str">
        <f aca="false">IF($A56="","",IF(D56="Withdrawn",0,IF(E56&lt;&gt;"",N(E56),IFERROR(N(INDEX(Activities!$I$2:$I$201,MATCH($A56,Activities!$A$2:$A$201,0))),0))))</f>
        <v/>
      </c>
      <c r="L56" s="24" t="str">
        <f aca="false">IF(AND($A56="",$B56=""),"",IF(ISNA(MATCH($A56,Activities!$A$2:$A$201,0)),"Unknown activity",IF(ISNA(MATCH($B56,Students!$A$2:$A$301,0)),"Unknown student",IF(D56="","No status",IF(COUNTIFS($A$2:$A$1001,$A56,$B$2:$B$1001,$B56)&gt;1,"Duplicate",IF(AND(D56&lt;&gt;"Withdrawn",G56&lt;&gt;"",COUNTIFS($B$2:$B$1001,$B56,$G$2:$G$1001,G56,$D$2:$D$1001,"&lt;&gt;Withdrawn")&gt;1),"Same-day clash","OK"))))))</f>
        <v/>
      </c>
    </row>
    <row r="57" customFormat="false" ht="15" hidden="false" customHeight="false" outlineLevel="0" collapsed="false">
      <c r="E57" s="26"/>
      <c r="G57" s="23" t="str">
        <f aca="false">IF($A57="","",IFERROR(IF(INDEX(Activities!$C$2:$C$201,MATCH($A57,Activities!$A$2:$A$201,0))="","",INDEX(Activities!$C$2:$C$201,MATCH($A57,Activities!$A$2:$A$201,0))),""))</f>
        <v/>
      </c>
      <c r="H57" s="24" t="str">
        <f aca="false">IF($A57="","",IFERROR(IF(INDEX(Activities!$B$2:$B$201,MATCH($A57,Activities!$A$2:$A$201,0))="","",INDEX(Activities!$B$2:$B$201,MATCH($A57,Activities!$A$2:$A$201,0))),""))</f>
        <v/>
      </c>
      <c r="I57" s="24" t="str">
        <f aca="false">IF($B57="","",IFERROR(IF(INDEX(Students!$C$2:$C$301,MATCH($B57,Students!$A$2:$A$301,0))="","",INDEX(Students!$C$2:$C$301,MATCH($B57,Students!$A$2:$A$301,0))),""))</f>
        <v/>
      </c>
      <c r="J57" s="24" t="str">
        <f aca="false">IF($B57="","",IFERROR(IF(INDEX(Students!$B$2:$B$301,MATCH($B57,Students!$A$2:$A$301,0))="","",INDEX(Students!$B$2:$B$301,MATCH($B57,Students!$A$2:$A$301,0))),""))</f>
        <v/>
      </c>
      <c r="K57" s="25" t="str">
        <f aca="false">IF($A57="","",IF(D57="Withdrawn",0,IF(E57&lt;&gt;"",N(E57),IFERROR(N(INDEX(Activities!$I$2:$I$201,MATCH($A57,Activities!$A$2:$A$201,0))),0))))</f>
        <v/>
      </c>
      <c r="L57" s="24" t="str">
        <f aca="false">IF(AND($A57="",$B57=""),"",IF(ISNA(MATCH($A57,Activities!$A$2:$A$201,0)),"Unknown activity",IF(ISNA(MATCH($B57,Students!$A$2:$A$301,0)),"Unknown student",IF(D57="","No status",IF(COUNTIFS($A$2:$A$1001,$A57,$B$2:$B$1001,$B57)&gt;1,"Duplicate",IF(AND(D57&lt;&gt;"Withdrawn",G57&lt;&gt;"",COUNTIFS($B$2:$B$1001,$B57,$G$2:$G$1001,G57,$D$2:$D$1001,"&lt;&gt;Withdrawn")&gt;1),"Same-day clash","OK"))))))</f>
        <v/>
      </c>
    </row>
    <row r="58" customFormat="false" ht="15" hidden="false" customHeight="false" outlineLevel="0" collapsed="false">
      <c r="E58" s="26"/>
      <c r="G58" s="23" t="str">
        <f aca="false">IF($A58="","",IFERROR(IF(INDEX(Activities!$C$2:$C$201,MATCH($A58,Activities!$A$2:$A$201,0))="","",INDEX(Activities!$C$2:$C$201,MATCH($A58,Activities!$A$2:$A$201,0))),""))</f>
        <v/>
      </c>
      <c r="H58" s="24" t="str">
        <f aca="false">IF($A58="","",IFERROR(IF(INDEX(Activities!$B$2:$B$201,MATCH($A58,Activities!$A$2:$A$201,0))="","",INDEX(Activities!$B$2:$B$201,MATCH($A58,Activities!$A$2:$A$201,0))),""))</f>
        <v/>
      </c>
      <c r="I58" s="24" t="str">
        <f aca="false">IF($B58="","",IFERROR(IF(INDEX(Students!$C$2:$C$301,MATCH($B58,Students!$A$2:$A$301,0))="","",INDEX(Students!$C$2:$C$301,MATCH($B58,Students!$A$2:$A$301,0))),""))</f>
        <v/>
      </c>
      <c r="J58" s="24" t="str">
        <f aca="false">IF($B58="","",IFERROR(IF(INDEX(Students!$B$2:$B$301,MATCH($B58,Students!$A$2:$A$301,0))="","",INDEX(Students!$B$2:$B$301,MATCH($B58,Students!$A$2:$A$301,0))),""))</f>
        <v/>
      </c>
      <c r="K58" s="25" t="str">
        <f aca="false">IF($A58="","",IF(D58="Withdrawn",0,IF(E58&lt;&gt;"",N(E58),IFERROR(N(INDEX(Activities!$I$2:$I$201,MATCH($A58,Activities!$A$2:$A$201,0))),0))))</f>
        <v/>
      </c>
      <c r="L58" s="24" t="str">
        <f aca="false">IF(AND($A58="",$B58=""),"",IF(ISNA(MATCH($A58,Activities!$A$2:$A$201,0)),"Unknown activity",IF(ISNA(MATCH($B58,Students!$A$2:$A$301,0)),"Unknown student",IF(D58="","No status",IF(COUNTIFS($A$2:$A$1001,$A58,$B$2:$B$1001,$B58)&gt;1,"Duplicate",IF(AND(D58&lt;&gt;"Withdrawn",G58&lt;&gt;"",COUNTIFS($B$2:$B$1001,$B58,$G$2:$G$1001,G58,$D$2:$D$1001,"&lt;&gt;Withdrawn")&gt;1),"Same-day clash","OK"))))))</f>
        <v/>
      </c>
    </row>
    <row r="59" customFormat="false" ht="15" hidden="false" customHeight="false" outlineLevel="0" collapsed="false">
      <c r="E59" s="26"/>
      <c r="G59" s="23" t="str">
        <f aca="false">IF($A59="","",IFERROR(IF(INDEX(Activities!$C$2:$C$201,MATCH($A59,Activities!$A$2:$A$201,0))="","",INDEX(Activities!$C$2:$C$201,MATCH($A59,Activities!$A$2:$A$201,0))),""))</f>
        <v/>
      </c>
      <c r="H59" s="24" t="str">
        <f aca="false">IF($A59="","",IFERROR(IF(INDEX(Activities!$B$2:$B$201,MATCH($A59,Activities!$A$2:$A$201,0))="","",INDEX(Activities!$B$2:$B$201,MATCH($A59,Activities!$A$2:$A$201,0))),""))</f>
        <v/>
      </c>
      <c r="I59" s="24" t="str">
        <f aca="false">IF($B59="","",IFERROR(IF(INDEX(Students!$C$2:$C$301,MATCH($B59,Students!$A$2:$A$301,0))="","",INDEX(Students!$C$2:$C$301,MATCH($B59,Students!$A$2:$A$301,0))),""))</f>
        <v/>
      </c>
      <c r="J59" s="24" t="str">
        <f aca="false">IF($B59="","",IFERROR(IF(INDEX(Students!$B$2:$B$301,MATCH($B59,Students!$A$2:$A$301,0))="","",INDEX(Students!$B$2:$B$301,MATCH($B59,Students!$A$2:$A$301,0))),""))</f>
        <v/>
      </c>
      <c r="K59" s="25" t="str">
        <f aca="false">IF($A59="","",IF(D59="Withdrawn",0,IF(E59&lt;&gt;"",N(E59),IFERROR(N(INDEX(Activities!$I$2:$I$201,MATCH($A59,Activities!$A$2:$A$201,0))),0))))</f>
        <v/>
      </c>
      <c r="L59" s="24" t="str">
        <f aca="false">IF(AND($A59="",$B59=""),"",IF(ISNA(MATCH($A59,Activities!$A$2:$A$201,0)),"Unknown activity",IF(ISNA(MATCH($B59,Students!$A$2:$A$301,0)),"Unknown student",IF(D59="","No status",IF(COUNTIFS($A$2:$A$1001,$A59,$B$2:$B$1001,$B59)&gt;1,"Duplicate",IF(AND(D59&lt;&gt;"Withdrawn",G59&lt;&gt;"",COUNTIFS($B$2:$B$1001,$B59,$G$2:$G$1001,G59,$D$2:$D$1001,"&lt;&gt;Withdrawn")&gt;1),"Same-day clash","OK"))))))</f>
        <v/>
      </c>
    </row>
    <row r="60" customFormat="false" ht="15" hidden="false" customHeight="false" outlineLevel="0" collapsed="false">
      <c r="E60" s="26"/>
      <c r="G60" s="23" t="str">
        <f aca="false">IF($A60="","",IFERROR(IF(INDEX(Activities!$C$2:$C$201,MATCH($A60,Activities!$A$2:$A$201,0))="","",INDEX(Activities!$C$2:$C$201,MATCH($A60,Activities!$A$2:$A$201,0))),""))</f>
        <v/>
      </c>
      <c r="H60" s="24" t="str">
        <f aca="false">IF($A60="","",IFERROR(IF(INDEX(Activities!$B$2:$B$201,MATCH($A60,Activities!$A$2:$A$201,0))="","",INDEX(Activities!$B$2:$B$201,MATCH($A60,Activities!$A$2:$A$201,0))),""))</f>
        <v/>
      </c>
      <c r="I60" s="24" t="str">
        <f aca="false">IF($B60="","",IFERROR(IF(INDEX(Students!$C$2:$C$301,MATCH($B60,Students!$A$2:$A$301,0))="","",INDEX(Students!$C$2:$C$301,MATCH($B60,Students!$A$2:$A$301,0))),""))</f>
        <v/>
      </c>
      <c r="J60" s="24" t="str">
        <f aca="false">IF($B60="","",IFERROR(IF(INDEX(Students!$B$2:$B$301,MATCH($B60,Students!$A$2:$A$301,0))="","",INDEX(Students!$B$2:$B$301,MATCH($B60,Students!$A$2:$A$301,0))),""))</f>
        <v/>
      </c>
      <c r="K60" s="25" t="str">
        <f aca="false">IF($A60="","",IF(D60="Withdrawn",0,IF(E60&lt;&gt;"",N(E60),IFERROR(N(INDEX(Activities!$I$2:$I$201,MATCH($A60,Activities!$A$2:$A$201,0))),0))))</f>
        <v/>
      </c>
      <c r="L60" s="24" t="str">
        <f aca="false">IF(AND($A60="",$B60=""),"",IF(ISNA(MATCH($A60,Activities!$A$2:$A$201,0)),"Unknown activity",IF(ISNA(MATCH($B60,Students!$A$2:$A$301,0)),"Unknown student",IF(D60="","No status",IF(COUNTIFS($A$2:$A$1001,$A60,$B$2:$B$1001,$B60)&gt;1,"Duplicate",IF(AND(D60&lt;&gt;"Withdrawn",G60&lt;&gt;"",COUNTIFS($B$2:$B$1001,$B60,$G$2:$G$1001,G60,$D$2:$D$1001,"&lt;&gt;Withdrawn")&gt;1),"Same-day clash","OK"))))))</f>
        <v/>
      </c>
    </row>
    <row r="61" customFormat="false" ht="15" hidden="false" customHeight="false" outlineLevel="0" collapsed="false">
      <c r="E61" s="26"/>
      <c r="G61" s="23" t="str">
        <f aca="false">IF($A61="","",IFERROR(IF(INDEX(Activities!$C$2:$C$201,MATCH($A61,Activities!$A$2:$A$201,0))="","",INDEX(Activities!$C$2:$C$201,MATCH($A61,Activities!$A$2:$A$201,0))),""))</f>
        <v/>
      </c>
      <c r="H61" s="24" t="str">
        <f aca="false">IF($A61="","",IFERROR(IF(INDEX(Activities!$B$2:$B$201,MATCH($A61,Activities!$A$2:$A$201,0))="","",INDEX(Activities!$B$2:$B$201,MATCH($A61,Activities!$A$2:$A$201,0))),""))</f>
        <v/>
      </c>
      <c r="I61" s="24" t="str">
        <f aca="false">IF($B61="","",IFERROR(IF(INDEX(Students!$C$2:$C$301,MATCH($B61,Students!$A$2:$A$301,0))="","",INDEX(Students!$C$2:$C$301,MATCH($B61,Students!$A$2:$A$301,0))),""))</f>
        <v/>
      </c>
      <c r="J61" s="24" t="str">
        <f aca="false">IF($B61="","",IFERROR(IF(INDEX(Students!$B$2:$B$301,MATCH($B61,Students!$A$2:$A$301,0))="","",INDEX(Students!$B$2:$B$301,MATCH($B61,Students!$A$2:$A$301,0))),""))</f>
        <v/>
      </c>
      <c r="K61" s="25" t="str">
        <f aca="false">IF($A61="","",IF(D61="Withdrawn",0,IF(E61&lt;&gt;"",N(E61),IFERROR(N(INDEX(Activities!$I$2:$I$201,MATCH($A61,Activities!$A$2:$A$201,0))),0))))</f>
        <v/>
      </c>
      <c r="L61" s="24" t="str">
        <f aca="false">IF(AND($A61="",$B61=""),"",IF(ISNA(MATCH($A61,Activities!$A$2:$A$201,0)),"Unknown activity",IF(ISNA(MATCH($B61,Students!$A$2:$A$301,0)),"Unknown student",IF(D61="","No status",IF(COUNTIFS($A$2:$A$1001,$A61,$B$2:$B$1001,$B61)&gt;1,"Duplicate",IF(AND(D61&lt;&gt;"Withdrawn",G61&lt;&gt;"",COUNTIFS($B$2:$B$1001,$B61,$G$2:$G$1001,G61,$D$2:$D$1001,"&lt;&gt;Withdrawn")&gt;1),"Same-day clash","OK"))))))</f>
        <v/>
      </c>
    </row>
    <row r="62" customFormat="false" ht="15" hidden="false" customHeight="false" outlineLevel="0" collapsed="false">
      <c r="E62" s="26"/>
      <c r="G62" s="23" t="str">
        <f aca="false">IF($A62="","",IFERROR(IF(INDEX(Activities!$C$2:$C$201,MATCH($A62,Activities!$A$2:$A$201,0))="","",INDEX(Activities!$C$2:$C$201,MATCH($A62,Activities!$A$2:$A$201,0))),""))</f>
        <v/>
      </c>
      <c r="H62" s="24" t="str">
        <f aca="false">IF($A62="","",IFERROR(IF(INDEX(Activities!$B$2:$B$201,MATCH($A62,Activities!$A$2:$A$201,0))="","",INDEX(Activities!$B$2:$B$201,MATCH($A62,Activities!$A$2:$A$201,0))),""))</f>
        <v/>
      </c>
      <c r="I62" s="24" t="str">
        <f aca="false">IF($B62="","",IFERROR(IF(INDEX(Students!$C$2:$C$301,MATCH($B62,Students!$A$2:$A$301,0))="","",INDEX(Students!$C$2:$C$301,MATCH($B62,Students!$A$2:$A$301,0))),""))</f>
        <v/>
      </c>
      <c r="J62" s="24" t="str">
        <f aca="false">IF($B62="","",IFERROR(IF(INDEX(Students!$B$2:$B$301,MATCH($B62,Students!$A$2:$A$301,0))="","",INDEX(Students!$B$2:$B$301,MATCH($B62,Students!$A$2:$A$301,0))),""))</f>
        <v/>
      </c>
      <c r="K62" s="25" t="str">
        <f aca="false">IF($A62="","",IF(D62="Withdrawn",0,IF(E62&lt;&gt;"",N(E62),IFERROR(N(INDEX(Activities!$I$2:$I$201,MATCH($A62,Activities!$A$2:$A$201,0))),0))))</f>
        <v/>
      </c>
      <c r="L62" s="24" t="str">
        <f aca="false">IF(AND($A62="",$B62=""),"",IF(ISNA(MATCH($A62,Activities!$A$2:$A$201,0)),"Unknown activity",IF(ISNA(MATCH($B62,Students!$A$2:$A$301,0)),"Unknown student",IF(D62="","No status",IF(COUNTIFS($A$2:$A$1001,$A62,$B$2:$B$1001,$B62)&gt;1,"Duplicate",IF(AND(D62&lt;&gt;"Withdrawn",G62&lt;&gt;"",COUNTIFS($B$2:$B$1001,$B62,$G$2:$G$1001,G62,$D$2:$D$1001,"&lt;&gt;Withdrawn")&gt;1),"Same-day clash","OK"))))))</f>
        <v/>
      </c>
    </row>
    <row r="63" customFormat="false" ht="15" hidden="false" customHeight="false" outlineLevel="0" collapsed="false">
      <c r="E63" s="26"/>
      <c r="G63" s="23" t="str">
        <f aca="false">IF($A63="","",IFERROR(IF(INDEX(Activities!$C$2:$C$201,MATCH($A63,Activities!$A$2:$A$201,0))="","",INDEX(Activities!$C$2:$C$201,MATCH($A63,Activities!$A$2:$A$201,0))),""))</f>
        <v/>
      </c>
      <c r="H63" s="24" t="str">
        <f aca="false">IF($A63="","",IFERROR(IF(INDEX(Activities!$B$2:$B$201,MATCH($A63,Activities!$A$2:$A$201,0))="","",INDEX(Activities!$B$2:$B$201,MATCH($A63,Activities!$A$2:$A$201,0))),""))</f>
        <v/>
      </c>
      <c r="I63" s="24" t="str">
        <f aca="false">IF($B63="","",IFERROR(IF(INDEX(Students!$C$2:$C$301,MATCH($B63,Students!$A$2:$A$301,0))="","",INDEX(Students!$C$2:$C$301,MATCH($B63,Students!$A$2:$A$301,0))),""))</f>
        <v/>
      </c>
      <c r="J63" s="24" t="str">
        <f aca="false">IF($B63="","",IFERROR(IF(INDEX(Students!$B$2:$B$301,MATCH($B63,Students!$A$2:$A$301,0))="","",INDEX(Students!$B$2:$B$301,MATCH($B63,Students!$A$2:$A$301,0))),""))</f>
        <v/>
      </c>
      <c r="K63" s="25" t="str">
        <f aca="false">IF($A63="","",IF(D63="Withdrawn",0,IF(E63&lt;&gt;"",N(E63),IFERROR(N(INDEX(Activities!$I$2:$I$201,MATCH($A63,Activities!$A$2:$A$201,0))),0))))</f>
        <v/>
      </c>
      <c r="L63" s="24" t="str">
        <f aca="false">IF(AND($A63="",$B63=""),"",IF(ISNA(MATCH($A63,Activities!$A$2:$A$201,0)),"Unknown activity",IF(ISNA(MATCH($B63,Students!$A$2:$A$301,0)),"Unknown student",IF(D63="","No status",IF(COUNTIFS($A$2:$A$1001,$A63,$B$2:$B$1001,$B63)&gt;1,"Duplicate",IF(AND(D63&lt;&gt;"Withdrawn",G63&lt;&gt;"",COUNTIFS($B$2:$B$1001,$B63,$G$2:$G$1001,G63,$D$2:$D$1001,"&lt;&gt;Withdrawn")&gt;1),"Same-day clash","OK"))))))</f>
        <v/>
      </c>
    </row>
    <row r="64" customFormat="false" ht="15" hidden="false" customHeight="false" outlineLevel="0" collapsed="false">
      <c r="E64" s="26"/>
      <c r="G64" s="23" t="str">
        <f aca="false">IF($A64="","",IFERROR(IF(INDEX(Activities!$C$2:$C$201,MATCH($A64,Activities!$A$2:$A$201,0))="","",INDEX(Activities!$C$2:$C$201,MATCH($A64,Activities!$A$2:$A$201,0))),""))</f>
        <v/>
      </c>
      <c r="H64" s="24" t="str">
        <f aca="false">IF($A64="","",IFERROR(IF(INDEX(Activities!$B$2:$B$201,MATCH($A64,Activities!$A$2:$A$201,0))="","",INDEX(Activities!$B$2:$B$201,MATCH($A64,Activities!$A$2:$A$201,0))),""))</f>
        <v/>
      </c>
      <c r="I64" s="24" t="str">
        <f aca="false">IF($B64="","",IFERROR(IF(INDEX(Students!$C$2:$C$301,MATCH($B64,Students!$A$2:$A$301,0))="","",INDEX(Students!$C$2:$C$301,MATCH($B64,Students!$A$2:$A$301,0))),""))</f>
        <v/>
      </c>
      <c r="J64" s="24" t="str">
        <f aca="false">IF($B64="","",IFERROR(IF(INDEX(Students!$B$2:$B$301,MATCH($B64,Students!$A$2:$A$301,0))="","",INDEX(Students!$B$2:$B$301,MATCH($B64,Students!$A$2:$A$301,0))),""))</f>
        <v/>
      </c>
      <c r="K64" s="25" t="str">
        <f aca="false">IF($A64="","",IF(D64="Withdrawn",0,IF(E64&lt;&gt;"",N(E64),IFERROR(N(INDEX(Activities!$I$2:$I$201,MATCH($A64,Activities!$A$2:$A$201,0))),0))))</f>
        <v/>
      </c>
      <c r="L64" s="24" t="str">
        <f aca="false">IF(AND($A64="",$B64=""),"",IF(ISNA(MATCH($A64,Activities!$A$2:$A$201,0)),"Unknown activity",IF(ISNA(MATCH($B64,Students!$A$2:$A$301,0)),"Unknown student",IF(D64="","No status",IF(COUNTIFS($A$2:$A$1001,$A64,$B$2:$B$1001,$B64)&gt;1,"Duplicate",IF(AND(D64&lt;&gt;"Withdrawn",G64&lt;&gt;"",COUNTIFS($B$2:$B$1001,$B64,$G$2:$G$1001,G64,$D$2:$D$1001,"&lt;&gt;Withdrawn")&gt;1),"Same-day clash","OK"))))))</f>
        <v/>
      </c>
    </row>
    <row r="65" customFormat="false" ht="15" hidden="false" customHeight="false" outlineLevel="0" collapsed="false">
      <c r="E65" s="26"/>
      <c r="G65" s="23" t="str">
        <f aca="false">IF($A65="","",IFERROR(IF(INDEX(Activities!$C$2:$C$201,MATCH($A65,Activities!$A$2:$A$201,0))="","",INDEX(Activities!$C$2:$C$201,MATCH($A65,Activities!$A$2:$A$201,0))),""))</f>
        <v/>
      </c>
      <c r="H65" s="24" t="str">
        <f aca="false">IF($A65="","",IFERROR(IF(INDEX(Activities!$B$2:$B$201,MATCH($A65,Activities!$A$2:$A$201,0))="","",INDEX(Activities!$B$2:$B$201,MATCH($A65,Activities!$A$2:$A$201,0))),""))</f>
        <v/>
      </c>
      <c r="I65" s="24" t="str">
        <f aca="false">IF($B65="","",IFERROR(IF(INDEX(Students!$C$2:$C$301,MATCH($B65,Students!$A$2:$A$301,0))="","",INDEX(Students!$C$2:$C$301,MATCH($B65,Students!$A$2:$A$301,0))),""))</f>
        <v/>
      </c>
      <c r="J65" s="24" t="str">
        <f aca="false">IF($B65="","",IFERROR(IF(INDEX(Students!$B$2:$B$301,MATCH($B65,Students!$A$2:$A$301,0))="","",INDEX(Students!$B$2:$B$301,MATCH($B65,Students!$A$2:$A$301,0))),""))</f>
        <v/>
      </c>
      <c r="K65" s="25" t="str">
        <f aca="false">IF($A65="","",IF(D65="Withdrawn",0,IF(E65&lt;&gt;"",N(E65),IFERROR(N(INDEX(Activities!$I$2:$I$201,MATCH($A65,Activities!$A$2:$A$201,0))),0))))</f>
        <v/>
      </c>
      <c r="L65" s="24" t="str">
        <f aca="false">IF(AND($A65="",$B65=""),"",IF(ISNA(MATCH($A65,Activities!$A$2:$A$201,0)),"Unknown activity",IF(ISNA(MATCH($B65,Students!$A$2:$A$301,0)),"Unknown student",IF(D65="","No status",IF(COUNTIFS($A$2:$A$1001,$A65,$B$2:$B$1001,$B65)&gt;1,"Duplicate",IF(AND(D65&lt;&gt;"Withdrawn",G65&lt;&gt;"",COUNTIFS($B$2:$B$1001,$B65,$G$2:$G$1001,G65,$D$2:$D$1001,"&lt;&gt;Withdrawn")&gt;1),"Same-day clash","OK"))))))</f>
        <v/>
      </c>
    </row>
    <row r="66" customFormat="false" ht="15" hidden="false" customHeight="false" outlineLevel="0" collapsed="false">
      <c r="E66" s="26"/>
      <c r="G66" s="23" t="str">
        <f aca="false">IF($A66="","",IFERROR(IF(INDEX(Activities!$C$2:$C$201,MATCH($A66,Activities!$A$2:$A$201,0))="","",INDEX(Activities!$C$2:$C$201,MATCH($A66,Activities!$A$2:$A$201,0))),""))</f>
        <v/>
      </c>
      <c r="H66" s="24" t="str">
        <f aca="false">IF($A66="","",IFERROR(IF(INDEX(Activities!$B$2:$B$201,MATCH($A66,Activities!$A$2:$A$201,0))="","",INDEX(Activities!$B$2:$B$201,MATCH($A66,Activities!$A$2:$A$201,0))),""))</f>
        <v/>
      </c>
      <c r="I66" s="24" t="str">
        <f aca="false">IF($B66="","",IFERROR(IF(INDEX(Students!$C$2:$C$301,MATCH($B66,Students!$A$2:$A$301,0))="","",INDEX(Students!$C$2:$C$301,MATCH($B66,Students!$A$2:$A$301,0))),""))</f>
        <v/>
      </c>
      <c r="J66" s="24" t="str">
        <f aca="false">IF($B66="","",IFERROR(IF(INDEX(Students!$B$2:$B$301,MATCH($B66,Students!$A$2:$A$301,0))="","",INDEX(Students!$B$2:$B$301,MATCH($B66,Students!$A$2:$A$301,0))),""))</f>
        <v/>
      </c>
      <c r="K66" s="25" t="str">
        <f aca="false">IF($A66="","",IF(D66="Withdrawn",0,IF(E66&lt;&gt;"",N(E66),IFERROR(N(INDEX(Activities!$I$2:$I$201,MATCH($A66,Activities!$A$2:$A$201,0))),0))))</f>
        <v/>
      </c>
      <c r="L66" s="24" t="str">
        <f aca="false">IF(AND($A66="",$B66=""),"",IF(ISNA(MATCH($A66,Activities!$A$2:$A$201,0)),"Unknown activity",IF(ISNA(MATCH($B66,Students!$A$2:$A$301,0)),"Unknown student",IF(D66="","No status",IF(COUNTIFS($A$2:$A$1001,$A66,$B$2:$B$1001,$B66)&gt;1,"Duplicate",IF(AND(D66&lt;&gt;"Withdrawn",G66&lt;&gt;"",COUNTIFS($B$2:$B$1001,$B66,$G$2:$G$1001,G66,$D$2:$D$1001,"&lt;&gt;Withdrawn")&gt;1),"Same-day clash","OK"))))))</f>
        <v/>
      </c>
    </row>
    <row r="67" customFormat="false" ht="15" hidden="false" customHeight="false" outlineLevel="0" collapsed="false">
      <c r="E67" s="26"/>
      <c r="G67" s="23" t="str">
        <f aca="false">IF($A67="","",IFERROR(IF(INDEX(Activities!$C$2:$C$201,MATCH($A67,Activities!$A$2:$A$201,0))="","",INDEX(Activities!$C$2:$C$201,MATCH($A67,Activities!$A$2:$A$201,0))),""))</f>
        <v/>
      </c>
      <c r="H67" s="24" t="str">
        <f aca="false">IF($A67="","",IFERROR(IF(INDEX(Activities!$B$2:$B$201,MATCH($A67,Activities!$A$2:$A$201,0))="","",INDEX(Activities!$B$2:$B$201,MATCH($A67,Activities!$A$2:$A$201,0))),""))</f>
        <v/>
      </c>
      <c r="I67" s="24" t="str">
        <f aca="false">IF($B67="","",IFERROR(IF(INDEX(Students!$C$2:$C$301,MATCH($B67,Students!$A$2:$A$301,0))="","",INDEX(Students!$C$2:$C$301,MATCH($B67,Students!$A$2:$A$301,0))),""))</f>
        <v/>
      </c>
      <c r="J67" s="24" t="str">
        <f aca="false">IF($B67="","",IFERROR(IF(INDEX(Students!$B$2:$B$301,MATCH($B67,Students!$A$2:$A$301,0))="","",INDEX(Students!$B$2:$B$301,MATCH($B67,Students!$A$2:$A$301,0))),""))</f>
        <v/>
      </c>
      <c r="K67" s="25" t="str">
        <f aca="false">IF($A67="","",IF(D67="Withdrawn",0,IF(E67&lt;&gt;"",N(E67),IFERROR(N(INDEX(Activities!$I$2:$I$201,MATCH($A67,Activities!$A$2:$A$201,0))),0))))</f>
        <v/>
      </c>
      <c r="L67" s="24" t="str">
        <f aca="false">IF(AND($A67="",$B67=""),"",IF(ISNA(MATCH($A67,Activities!$A$2:$A$201,0)),"Unknown activity",IF(ISNA(MATCH($B67,Students!$A$2:$A$301,0)),"Unknown student",IF(D67="","No status",IF(COUNTIFS($A$2:$A$1001,$A67,$B$2:$B$1001,$B67)&gt;1,"Duplicate",IF(AND(D67&lt;&gt;"Withdrawn",G67&lt;&gt;"",COUNTIFS($B$2:$B$1001,$B67,$G$2:$G$1001,G67,$D$2:$D$1001,"&lt;&gt;Withdrawn")&gt;1),"Same-day clash","OK"))))))</f>
        <v/>
      </c>
    </row>
    <row r="68" customFormat="false" ht="15" hidden="false" customHeight="false" outlineLevel="0" collapsed="false">
      <c r="E68" s="26"/>
      <c r="G68" s="23" t="str">
        <f aca="false">IF($A68="","",IFERROR(IF(INDEX(Activities!$C$2:$C$201,MATCH($A68,Activities!$A$2:$A$201,0))="","",INDEX(Activities!$C$2:$C$201,MATCH($A68,Activities!$A$2:$A$201,0))),""))</f>
        <v/>
      </c>
      <c r="H68" s="24" t="str">
        <f aca="false">IF($A68="","",IFERROR(IF(INDEX(Activities!$B$2:$B$201,MATCH($A68,Activities!$A$2:$A$201,0))="","",INDEX(Activities!$B$2:$B$201,MATCH($A68,Activities!$A$2:$A$201,0))),""))</f>
        <v/>
      </c>
      <c r="I68" s="24" t="str">
        <f aca="false">IF($B68="","",IFERROR(IF(INDEX(Students!$C$2:$C$301,MATCH($B68,Students!$A$2:$A$301,0))="","",INDEX(Students!$C$2:$C$301,MATCH($B68,Students!$A$2:$A$301,0))),""))</f>
        <v/>
      </c>
      <c r="J68" s="24" t="str">
        <f aca="false">IF($B68="","",IFERROR(IF(INDEX(Students!$B$2:$B$301,MATCH($B68,Students!$A$2:$A$301,0))="","",INDEX(Students!$B$2:$B$301,MATCH($B68,Students!$A$2:$A$301,0))),""))</f>
        <v/>
      </c>
      <c r="K68" s="25" t="str">
        <f aca="false">IF($A68="","",IF(D68="Withdrawn",0,IF(E68&lt;&gt;"",N(E68),IFERROR(N(INDEX(Activities!$I$2:$I$201,MATCH($A68,Activities!$A$2:$A$201,0))),0))))</f>
        <v/>
      </c>
      <c r="L68" s="24" t="str">
        <f aca="false">IF(AND($A68="",$B68=""),"",IF(ISNA(MATCH($A68,Activities!$A$2:$A$201,0)),"Unknown activity",IF(ISNA(MATCH($B68,Students!$A$2:$A$301,0)),"Unknown student",IF(D68="","No status",IF(COUNTIFS($A$2:$A$1001,$A68,$B$2:$B$1001,$B68)&gt;1,"Duplicate",IF(AND(D68&lt;&gt;"Withdrawn",G68&lt;&gt;"",COUNTIFS($B$2:$B$1001,$B68,$G$2:$G$1001,G68,$D$2:$D$1001,"&lt;&gt;Withdrawn")&gt;1),"Same-day clash","OK"))))))</f>
        <v/>
      </c>
    </row>
    <row r="69" customFormat="false" ht="15" hidden="false" customHeight="false" outlineLevel="0" collapsed="false">
      <c r="E69" s="26"/>
      <c r="G69" s="23" t="str">
        <f aca="false">IF($A69="","",IFERROR(IF(INDEX(Activities!$C$2:$C$201,MATCH($A69,Activities!$A$2:$A$201,0))="","",INDEX(Activities!$C$2:$C$201,MATCH($A69,Activities!$A$2:$A$201,0))),""))</f>
        <v/>
      </c>
      <c r="H69" s="24" t="str">
        <f aca="false">IF($A69="","",IFERROR(IF(INDEX(Activities!$B$2:$B$201,MATCH($A69,Activities!$A$2:$A$201,0))="","",INDEX(Activities!$B$2:$B$201,MATCH($A69,Activities!$A$2:$A$201,0))),""))</f>
        <v/>
      </c>
      <c r="I69" s="24" t="str">
        <f aca="false">IF($B69="","",IFERROR(IF(INDEX(Students!$C$2:$C$301,MATCH($B69,Students!$A$2:$A$301,0))="","",INDEX(Students!$C$2:$C$301,MATCH($B69,Students!$A$2:$A$301,0))),""))</f>
        <v/>
      </c>
      <c r="J69" s="24" t="str">
        <f aca="false">IF($B69="","",IFERROR(IF(INDEX(Students!$B$2:$B$301,MATCH($B69,Students!$A$2:$A$301,0))="","",INDEX(Students!$B$2:$B$301,MATCH($B69,Students!$A$2:$A$301,0))),""))</f>
        <v/>
      </c>
      <c r="K69" s="25" t="str">
        <f aca="false">IF($A69="","",IF(D69="Withdrawn",0,IF(E69&lt;&gt;"",N(E69),IFERROR(N(INDEX(Activities!$I$2:$I$201,MATCH($A69,Activities!$A$2:$A$201,0))),0))))</f>
        <v/>
      </c>
      <c r="L69" s="24" t="str">
        <f aca="false">IF(AND($A69="",$B69=""),"",IF(ISNA(MATCH($A69,Activities!$A$2:$A$201,0)),"Unknown activity",IF(ISNA(MATCH($B69,Students!$A$2:$A$301,0)),"Unknown student",IF(D69="","No status",IF(COUNTIFS($A$2:$A$1001,$A69,$B$2:$B$1001,$B69)&gt;1,"Duplicate",IF(AND(D69&lt;&gt;"Withdrawn",G69&lt;&gt;"",COUNTIFS($B$2:$B$1001,$B69,$G$2:$G$1001,G69,$D$2:$D$1001,"&lt;&gt;Withdrawn")&gt;1),"Same-day clash","OK"))))))</f>
        <v/>
      </c>
    </row>
    <row r="70" customFormat="false" ht="15" hidden="false" customHeight="false" outlineLevel="0" collapsed="false">
      <c r="E70" s="26"/>
      <c r="G70" s="23" t="str">
        <f aca="false">IF($A70="","",IFERROR(IF(INDEX(Activities!$C$2:$C$201,MATCH($A70,Activities!$A$2:$A$201,0))="","",INDEX(Activities!$C$2:$C$201,MATCH($A70,Activities!$A$2:$A$201,0))),""))</f>
        <v/>
      </c>
      <c r="H70" s="24" t="str">
        <f aca="false">IF($A70="","",IFERROR(IF(INDEX(Activities!$B$2:$B$201,MATCH($A70,Activities!$A$2:$A$201,0))="","",INDEX(Activities!$B$2:$B$201,MATCH($A70,Activities!$A$2:$A$201,0))),""))</f>
        <v/>
      </c>
      <c r="I70" s="24" t="str">
        <f aca="false">IF($B70="","",IFERROR(IF(INDEX(Students!$C$2:$C$301,MATCH($B70,Students!$A$2:$A$301,0))="","",INDEX(Students!$C$2:$C$301,MATCH($B70,Students!$A$2:$A$301,0))),""))</f>
        <v/>
      </c>
      <c r="J70" s="24" t="str">
        <f aca="false">IF($B70="","",IFERROR(IF(INDEX(Students!$B$2:$B$301,MATCH($B70,Students!$A$2:$A$301,0))="","",INDEX(Students!$B$2:$B$301,MATCH($B70,Students!$A$2:$A$301,0))),""))</f>
        <v/>
      </c>
      <c r="K70" s="25" t="str">
        <f aca="false">IF($A70="","",IF(D70="Withdrawn",0,IF(E70&lt;&gt;"",N(E70),IFERROR(N(INDEX(Activities!$I$2:$I$201,MATCH($A70,Activities!$A$2:$A$201,0))),0))))</f>
        <v/>
      </c>
      <c r="L70" s="24" t="str">
        <f aca="false">IF(AND($A70="",$B70=""),"",IF(ISNA(MATCH($A70,Activities!$A$2:$A$201,0)),"Unknown activity",IF(ISNA(MATCH($B70,Students!$A$2:$A$301,0)),"Unknown student",IF(D70="","No status",IF(COUNTIFS($A$2:$A$1001,$A70,$B$2:$B$1001,$B70)&gt;1,"Duplicate",IF(AND(D70&lt;&gt;"Withdrawn",G70&lt;&gt;"",COUNTIFS($B$2:$B$1001,$B70,$G$2:$G$1001,G70,$D$2:$D$1001,"&lt;&gt;Withdrawn")&gt;1),"Same-day clash","OK"))))))</f>
        <v/>
      </c>
    </row>
    <row r="71" customFormat="false" ht="15" hidden="false" customHeight="false" outlineLevel="0" collapsed="false">
      <c r="E71" s="26"/>
      <c r="G71" s="23" t="str">
        <f aca="false">IF($A71="","",IFERROR(IF(INDEX(Activities!$C$2:$C$201,MATCH($A71,Activities!$A$2:$A$201,0))="","",INDEX(Activities!$C$2:$C$201,MATCH($A71,Activities!$A$2:$A$201,0))),""))</f>
        <v/>
      </c>
      <c r="H71" s="24" t="str">
        <f aca="false">IF($A71="","",IFERROR(IF(INDEX(Activities!$B$2:$B$201,MATCH($A71,Activities!$A$2:$A$201,0))="","",INDEX(Activities!$B$2:$B$201,MATCH($A71,Activities!$A$2:$A$201,0))),""))</f>
        <v/>
      </c>
      <c r="I71" s="24" t="str">
        <f aca="false">IF($B71="","",IFERROR(IF(INDEX(Students!$C$2:$C$301,MATCH($B71,Students!$A$2:$A$301,0))="","",INDEX(Students!$C$2:$C$301,MATCH($B71,Students!$A$2:$A$301,0))),""))</f>
        <v/>
      </c>
      <c r="J71" s="24" t="str">
        <f aca="false">IF($B71="","",IFERROR(IF(INDEX(Students!$B$2:$B$301,MATCH($B71,Students!$A$2:$A$301,0))="","",INDEX(Students!$B$2:$B$301,MATCH($B71,Students!$A$2:$A$301,0))),""))</f>
        <v/>
      </c>
      <c r="K71" s="25" t="str">
        <f aca="false">IF($A71="","",IF(D71="Withdrawn",0,IF(E71&lt;&gt;"",N(E71),IFERROR(N(INDEX(Activities!$I$2:$I$201,MATCH($A71,Activities!$A$2:$A$201,0))),0))))</f>
        <v/>
      </c>
      <c r="L71" s="24" t="str">
        <f aca="false">IF(AND($A71="",$B71=""),"",IF(ISNA(MATCH($A71,Activities!$A$2:$A$201,0)),"Unknown activity",IF(ISNA(MATCH($B71,Students!$A$2:$A$301,0)),"Unknown student",IF(D71="","No status",IF(COUNTIFS($A$2:$A$1001,$A71,$B$2:$B$1001,$B71)&gt;1,"Duplicate",IF(AND(D71&lt;&gt;"Withdrawn",G71&lt;&gt;"",COUNTIFS($B$2:$B$1001,$B71,$G$2:$G$1001,G71,$D$2:$D$1001,"&lt;&gt;Withdrawn")&gt;1),"Same-day clash","OK"))))))</f>
        <v/>
      </c>
    </row>
    <row r="72" customFormat="false" ht="15" hidden="false" customHeight="false" outlineLevel="0" collapsed="false">
      <c r="E72" s="26"/>
      <c r="G72" s="23" t="str">
        <f aca="false">IF($A72="","",IFERROR(IF(INDEX(Activities!$C$2:$C$201,MATCH($A72,Activities!$A$2:$A$201,0))="","",INDEX(Activities!$C$2:$C$201,MATCH($A72,Activities!$A$2:$A$201,0))),""))</f>
        <v/>
      </c>
      <c r="H72" s="24" t="str">
        <f aca="false">IF($A72="","",IFERROR(IF(INDEX(Activities!$B$2:$B$201,MATCH($A72,Activities!$A$2:$A$201,0))="","",INDEX(Activities!$B$2:$B$201,MATCH($A72,Activities!$A$2:$A$201,0))),""))</f>
        <v/>
      </c>
      <c r="I72" s="24" t="str">
        <f aca="false">IF($B72="","",IFERROR(IF(INDEX(Students!$C$2:$C$301,MATCH($B72,Students!$A$2:$A$301,0))="","",INDEX(Students!$C$2:$C$301,MATCH($B72,Students!$A$2:$A$301,0))),""))</f>
        <v/>
      </c>
      <c r="J72" s="24" t="str">
        <f aca="false">IF($B72="","",IFERROR(IF(INDEX(Students!$B$2:$B$301,MATCH($B72,Students!$A$2:$A$301,0))="","",INDEX(Students!$B$2:$B$301,MATCH($B72,Students!$A$2:$A$301,0))),""))</f>
        <v/>
      </c>
      <c r="K72" s="25" t="str">
        <f aca="false">IF($A72="","",IF(D72="Withdrawn",0,IF(E72&lt;&gt;"",N(E72),IFERROR(N(INDEX(Activities!$I$2:$I$201,MATCH($A72,Activities!$A$2:$A$201,0))),0))))</f>
        <v/>
      </c>
      <c r="L72" s="24" t="str">
        <f aca="false">IF(AND($A72="",$B72=""),"",IF(ISNA(MATCH($A72,Activities!$A$2:$A$201,0)),"Unknown activity",IF(ISNA(MATCH($B72,Students!$A$2:$A$301,0)),"Unknown student",IF(D72="","No status",IF(COUNTIFS($A$2:$A$1001,$A72,$B$2:$B$1001,$B72)&gt;1,"Duplicate",IF(AND(D72&lt;&gt;"Withdrawn",G72&lt;&gt;"",COUNTIFS($B$2:$B$1001,$B72,$G$2:$G$1001,G72,$D$2:$D$1001,"&lt;&gt;Withdrawn")&gt;1),"Same-day clash","OK"))))))</f>
        <v/>
      </c>
    </row>
    <row r="73" customFormat="false" ht="15" hidden="false" customHeight="false" outlineLevel="0" collapsed="false">
      <c r="E73" s="26"/>
      <c r="G73" s="23" t="str">
        <f aca="false">IF($A73="","",IFERROR(IF(INDEX(Activities!$C$2:$C$201,MATCH($A73,Activities!$A$2:$A$201,0))="","",INDEX(Activities!$C$2:$C$201,MATCH($A73,Activities!$A$2:$A$201,0))),""))</f>
        <v/>
      </c>
      <c r="H73" s="24" t="str">
        <f aca="false">IF($A73="","",IFERROR(IF(INDEX(Activities!$B$2:$B$201,MATCH($A73,Activities!$A$2:$A$201,0))="","",INDEX(Activities!$B$2:$B$201,MATCH($A73,Activities!$A$2:$A$201,0))),""))</f>
        <v/>
      </c>
      <c r="I73" s="24" t="str">
        <f aca="false">IF($B73="","",IFERROR(IF(INDEX(Students!$C$2:$C$301,MATCH($B73,Students!$A$2:$A$301,0))="","",INDEX(Students!$C$2:$C$301,MATCH($B73,Students!$A$2:$A$301,0))),""))</f>
        <v/>
      </c>
      <c r="J73" s="24" t="str">
        <f aca="false">IF($B73="","",IFERROR(IF(INDEX(Students!$B$2:$B$301,MATCH($B73,Students!$A$2:$A$301,0))="","",INDEX(Students!$B$2:$B$301,MATCH($B73,Students!$A$2:$A$301,0))),""))</f>
        <v/>
      </c>
      <c r="K73" s="25" t="str">
        <f aca="false">IF($A73="","",IF(D73="Withdrawn",0,IF(E73&lt;&gt;"",N(E73),IFERROR(N(INDEX(Activities!$I$2:$I$201,MATCH($A73,Activities!$A$2:$A$201,0))),0))))</f>
        <v/>
      </c>
      <c r="L73" s="24" t="str">
        <f aca="false">IF(AND($A73="",$B73=""),"",IF(ISNA(MATCH($A73,Activities!$A$2:$A$201,0)),"Unknown activity",IF(ISNA(MATCH($B73,Students!$A$2:$A$301,0)),"Unknown student",IF(D73="","No status",IF(COUNTIFS($A$2:$A$1001,$A73,$B$2:$B$1001,$B73)&gt;1,"Duplicate",IF(AND(D73&lt;&gt;"Withdrawn",G73&lt;&gt;"",COUNTIFS($B$2:$B$1001,$B73,$G$2:$G$1001,G73,$D$2:$D$1001,"&lt;&gt;Withdrawn")&gt;1),"Same-day clash","OK"))))))</f>
        <v/>
      </c>
    </row>
    <row r="74" customFormat="false" ht="15" hidden="false" customHeight="false" outlineLevel="0" collapsed="false">
      <c r="E74" s="26"/>
      <c r="G74" s="23" t="str">
        <f aca="false">IF($A74="","",IFERROR(IF(INDEX(Activities!$C$2:$C$201,MATCH($A74,Activities!$A$2:$A$201,0))="","",INDEX(Activities!$C$2:$C$201,MATCH($A74,Activities!$A$2:$A$201,0))),""))</f>
        <v/>
      </c>
      <c r="H74" s="24" t="str">
        <f aca="false">IF($A74="","",IFERROR(IF(INDEX(Activities!$B$2:$B$201,MATCH($A74,Activities!$A$2:$A$201,0))="","",INDEX(Activities!$B$2:$B$201,MATCH($A74,Activities!$A$2:$A$201,0))),""))</f>
        <v/>
      </c>
      <c r="I74" s="24" t="str">
        <f aca="false">IF($B74="","",IFERROR(IF(INDEX(Students!$C$2:$C$301,MATCH($B74,Students!$A$2:$A$301,0))="","",INDEX(Students!$C$2:$C$301,MATCH($B74,Students!$A$2:$A$301,0))),""))</f>
        <v/>
      </c>
      <c r="J74" s="24" t="str">
        <f aca="false">IF($B74="","",IFERROR(IF(INDEX(Students!$B$2:$B$301,MATCH($B74,Students!$A$2:$A$301,0))="","",INDEX(Students!$B$2:$B$301,MATCH($B74,Students!$A$2:$A$301,0))),""))</f>
        <v/>
      </c>
      <c r="K74" s="25" t="str">
        <f aca="false">IF($A74="","",IF(D74="Withdrawn",0,IF(E74&lt;&gt;"",N(E74),IFERROR(N(INDEX(Activities!$I$2:$I$201,MATCH($A74,Activities!$A$2:$A$201,0))),0))))</f>
        <v/>
      </c>
      <c r="L74" s="24" t="str">
        <f aca="false">IF(AND($A74="",$B74=""),"",IF(ISNA(MATCH($A74,Activities!$A$2:$A$201,0)),"Unknown activity",IF(ISNA(MATCH($B74,Students!$A$2:$A$301,0)),"Unknown student",IF(D74="","No status",IF(COUNTIFS($A$2:$A$1001,$A74,$B$2:$B$1001,$B74)&gt;1,"Duplicate",IF(AND(D74&lt;&gt;"Withdrawn",G74&lt;&gt;"",COUNTIFS($B$2:$B$1001,$B74,$G$2:$G$1001,G74,$D$2:$D$1001,"&lt;&gt;Withdrawn")&gt;1),"Same-day clash","OK"))))))</f>
        <v/>
      </c>
    </row>
    <row r="75" customFormat="false" ht="15" hidden="false" customHeight="false" outlineLevel="0" collapsed="false">
      <c r="E75" s="26"/>
      <c r="G75" s="23" t="str">
        <f aca="false">IF($A75="","",IFERROR(IF(INDEX(Activities!$C$2:$C$201,MATCH($A75,Activities!$A$2:$A$201,0))="","",INDEX(Activities!$C$2:$C$201,MATCH($A75,Activities!$A$2:$A$201,0))),""))</f>
        <v/>
      </c>
      <c r="H75" s="24" t="str">
        <f aca="false">IF($A75="","",IFERROR(IF(INDEX(Activities!$B$2:$B$201,MATCH($A75,Activities!$A$2:$A$201,0))="","",INDEX(Activities!$B$2:$B$201,MATCH($A75,Activities!$A$2:$A$201,0))),""))</f>
        <v/>
      </c>
      <c r="I75" s="24" t="str">
        <f aca="false">IF($B75="","",IFERROR(IF(INDEX(Students!$C$2:$C$301,MATCH($B75,Students!$A$2:$A$301,0))="","",INDEX(Students!$C$2:$C$301,MATCH($B75,Students!$A$2:$A$301,0))),""))</f>
        <v/>
      </c>
      <c r="J75" s="24" t="str">
        <f aca="false">IF($B75="","",IFERROR(IF(INDEX(Students!$B$2:$B$301,MATCH($B75,Students!$A$2:$A$301,0))="","",INDEX(Students!$B$2:$B$301,MATCH($B75,Students!$A$2:$A$301,0))),""))</f>
        <v/>
      </c>
      <c r="K75" s="25" t="str">
        <f aca="false">IF($A75="","",IF(D75="Withdrawn",0,IF(E75&lt;&gt;"",N(E75),IFERROR(N(INDEX(Activities!$I$2:$I$201,MATCH($A75,Activities!$A$2:$A$201,0))),0))))</f>
        <v/>
      </c>
      <c r="L75" s="24" t="str">
        <f aca="false">IF(AND($A75="",$B75=""),"",IF(ISNA(MATCH($A75,Activities!$A$2:$A$201,0)),"Unknown activity",IF(ISNA(MATCH($B75,Students!$A$2:$A$301,0)),"Unknown student",IF(D75="","No status",IF(COUNTIFS($A$2:$A$1001,$A75,$B$2:$B$1001,$B75)&gt;1,"Duplicate",IF(AND(D75&lt;&gt;"Withdrawn",G75&lt;&gt;"",COUNTIFS($B$2:$B$1001,$B75,$G$2:$G$1001,G75,$D$2:$D$1001,"&lt;&gt;Withdrawn")&gt;1),"Same-day clash","OK"))))))</f>
        <v/>
      </c>
    </row>
    <row r="76" customFormat="false" ht="15" hidden="false" customHeight="false" outlineLevel="0" collapsed="false">
      <c r="E76" s="26"/>
      <c r="G76" s="23" t="str">
        <f aca="false">IF($A76="","",IFERROR(IF(INDEX(Activities!$C$2:$C$201,MATCH($A76,Activities!$A$2:$A$201,0))="","",INDEX(Activities!$C$2:$C$201,MATCH($A76,Activities!$A$2:$A$201,0))),""))</f>
        <v/>
      </c>
      <c r="H76" s="24" t="str">
        <f aca="false">IF($A76="","",IFERROR(IF(INDEX(Activities!$B$2:$B$201,MATCH($A76,Activities!$A$2:$A$201,0))="","",INDEX(Activities!$B$2:$B$201,MATCH($A76,Activities!$A$2:$A$201,0))),""))</f>
        <v/>
      </c>
      <c r="I76" s="24" t="str">
        <f aca="false">IF($B76="","",IFERROR(IF(INDEX(Students!$C$2:$C$301,MATCH($B76,Students!$A$2:$A$301,0))="","",INDEX(Students!$C$2:$C$301,MATCH($B76,Students!$A$2:$A$301,0))),""))</f>
        <v/>
      </c>
      <c r="J76" s="24" t="str">
        <f aca="false">IF($B76="","",IFERROR(IF(INDEX(Students!$B$2:$B$301,MATCH($B76,Students!$A$2:$A$301,0))="","",INDEX(Students!$B$2:$B$301,MATCH($B76,Students!$A$2:$A$301,0))),""))</f>
        <v/>
      </c>
      <c r="K76" s="25" t="str">
        <f aca="false">IF($A76="","",IF(D76="Withdrawn",0,IF(E76&lt;&gt;"",N(E76),IFERROR(N(INDEX(Activities!$I$2:$I$201,MATCH($A76,Activities!$A$2:$A$201,0))),0))))</f>
        <v/>
      </c>
      <c r="L76" s="24" t="str">
        <f aca="false">IF(AND($A76="",$B76=""),"",IF(ISNA(MATCH($A76,Activities!$A$2:$A$201,0)),"Unknown activity",IF(ISNA(MATCH($B76,Students!$A$2:$A$301,0)),"Unknown student",IF(D76="","No status",IF(COUNTIFS($A$2:$A$1001,$A76,$B$2:$B$1001,$B76)&gt;1,"Duplicate",IF(AND(D76&lt;&gt;"Withdrawn",G76&lt;&gt;"",COUNTIFS($B$2:$B$1001,$B76,$G$2:$G$1001,G76,$D$2:$D$1001,"&lt;&gt;Withdrawn")&gt;1),"Same-day clash","OK"))))))</f>
        <v/>
      </c>
    </row>
    <row r="77" customFormat="false" ht="15" hidden="false" customHeight="false" outlineLevel="0" collapsed="false">
      <c r="E77" s="26"/>
      <c r="G77" s="23" t="str">
        <f aca="false">IF($A77="","",IFERROR(IF(INDEX(Activities!$C$2:$C$201,MATCH($A77,Activities!$A$2:$A$201,0))="","",INDEX(Activities!$C$2:$C$201,MATCH($A77,Activities!$A$2:$A$201,0))),""))</f>
        <v/>
      </c>
      <c r="H77" s="24" t="str">
        <f aca="false">IF($A77="","",IFERROR(IF(INDEX(Activities!$B$2:$B$201,MATCH($A77,Activities!$A$2:$A$201,0))="","",INDEX(Activities!$B$2:$B$201,MATCH($A77,Activities!$A$2:$A$201,0))),""))</f>
        <v/>
      </c>
      <c r="I77" s="24" t="str">
        <f aca="false">IF($B77="","",IFERROR(IF(INDEX(Students!$C$2:$C$301,MATCH($B77,Students!$A$2:$A$301,0))="","",INDEX(Students!$C$2:$C$301,MATCH($B77,Students!$A$2:$A$301,0))),""))</f>
        <v/>
      </c>
      <c r="J77" s="24" t="str">
        <f aca="false">IF($B77="","",IFERROR(IF(INDEX(Students!$B$2:$B$301,MATCH($B77,Students!$A$2:$A$301,0))="","",INDEX(Students!$B$2:$B$301,MATCH($B77,Students!$A$2:$A$301,0))),""))</f>
        <v/>
      </c>
      <c r="K77" s="25" t="str">
        <f aca="false">IF($A77="","",IF(D77="Withdrawn",0,IF(E77&lt;&gt;"",N(E77),IFERROR(N(INDEX(Activities!$I$2:$I$201,MATCH($A77,Activities!$A$2:$A$201,0))),0))))</f>
        <v/>
      </c>
      <c r="L77" s="24" t="str">
        <f aca="false">IF(AND($A77="",$B77=""),"",IF(ISNA(MATCH($A77,Activities!$A$2:$A$201,0)),"Unknown activity",IF(ISNA(MATCH($B77,Students!$A$2:$A$301,0)),"Unknown student",IF(D77="","No status",IF(COUNTIFS($A$2:$A$1001,$A77,$B$2:$B$1001,$B77)&gt;1,"Duplicate",IF(AND(D77&lt;&gt;"Withdrawn",G77&lt;&gt;"",COUNTIFS($B$2:$B$1001,$B77,$G$2:$G$1001,G77,$D$2:$D$1001,"&lt;&gt;Withdrawn")&gt;1),"Same-day clash","OK"))))))</f>
        <v/>
      </c>
    </row>
    <row r="78" customFormat="false" ht="15" hidden="false" customHeight="false" outlineLevel="0" collapsed="false">
      <c r="E78" s="26"/>
      <c r="G78" s="23" t="str">
        <f aca="false">IF($A78="","",IFERROR(IF(INDEX(Activities!$C$2:$C$201,MATCH($A78,Activities!$A$2:$A$201,0))="","",INDEX(Activities!$C$2:$C$201,MATCH($A78,Activities!$A$2:$A$201,0))),""))</f>
        <v/>
      </c>
      <c r="H78" s="24" t="str">
        <f aca="false">IF($A78="","",IFERROR(IF(INDEX(Activities!$B$2:$B$201,MATCH($A78,Activities!$A$2:$A$201,0))="","",INDEX(Activities!$B$2:$B$201,MATCH($A78,Activities!$A$2:$A$201,0))),""))</f>
        <v/>
      </c>
      <c r="I78" s="24" t="str">
        <f aca="false">IF($B78="","",IFERROR(IF(INDEX(Students!$C$2:$C$301,MATCH($B78,Students!$A$2:$A$301,0))="","",INDEX(Students!$C$2:$C$301,MATCH($B78,Students!$A$2:$A$301,0))),""))</f>
        <v/>
      </c>
      <c r="J78" s="24" t="str">
        <f aca="false">IF($B78="","",IFERROR(IF(INDEX(Students!$B$2:$B$301,MATCH($B78,Students!$A$2:$A$301,0))="","",INDEX(Students!$B$2:$B$301,MATCH($B78,Students!$A$2:$A$301,0))),""))</f>
        <v/>
      </c>
      <c r="K78" s="25" t="str">
        <f aca="false">IF($A78="","",IF(D78="Withdrawn",0,IF(E78&lt;&gt;"",N(E78),IFERROR(N(INDEX(Activities!$I$2:$I$201,MATCH($A78,Activities!$A$2:$A$201,0))),0))))</f>
        <v/>
      </c>
      <c r="L78" s="24" t="str">
        <f aca="false">IF(AND($A78="",$B78=""),"",IF(ISNA(MATCH($A78,Activities!$A$2:$A$201,0)),"Unknown activity",IF(ISNA(MATCH($B78,Students!$A$2:$A$301,0)),"Unknown student",IF(D78="","No status",IF(COUNTIFS($A$2:$A$1001,$A78,$B$2:$B$1001,$B78)&gt;1,"Duplicate",IF(AND(D78&lt;&gt;"Withdrawn",G78&lt;&gt;"",COUNTIFS($B$2:$B$1001,$B78,$G$2:$G$1001,G78,$D$2:$D$1001,"&lt;&gt;Withdrawn")&gt;1),"Same-day clash","OK"))))))</f>
        <v/>
      </c>
    </row>
    <row r="79" customFormat="false" ht="15" hidden="false" customHeight="false" outlineLevel="0" collapsed="false">
      <c r="E79" s="26"/>
      <c r="G79" s="23" t="str">
        <f aca="false">IF($A79="","",IFERROR(IF(INDEX(Activities!$C$2:$C$201,MATCH($A79,Activities!$A$2:$A$201,0))="","",INDEX(Activities!$C$2:$C$201,MATCH($A79,Activities!$A$2:$A$201,0))),""))</f>
        <v/>
      </c>
      <c r="H79" s="24" t="str">
        <f aca="false">IF($A79="","",IFERROR(IF(INDEX(Activities!$B$2:$B$201,MATCH($A79,Activities!$A$2:$A$201,0))="","",INDEX(Activities!$B$2:$B$201,MATCH($A79,Activities!$A$2:$A$201,0))),""))</f>
        <v/>
      </c>
      <c r="I79" s="24" t="str">
        <f aca="false">IF($B79="","",IFERROR(IF(INDEX(Students!$C$2:$C$301,MATCH($B79,Students!$A$2:$A$301,0))="","",INDEX(Students!$C$2:$C$301,MATCH($B79,Students!$A$2:$A$301,0))),""))</f>
        <v/>
      </c>
      <c r="J79" s="24" t="str">
        <f aca="false">IF($B79="","",IFERROR(IF(INDEX(Students!$B$2:$B$301,MATCH($B79,Students!$A$2:$A$301,0))="","",INDEX(Students!$B$2:$B$301,MATCH($B79,Students!$A$2:$A$301,0))),""))</f>
        <v/>
      </c>
      <c r="K79" s="25" t="str">
        <f aca="false">IF($A79="","",IF(D79="Withdrawn",0,IF(E79&lt;&gt;"",N(E79),IFERROR(N(INDEX(Activities!$I$2:$I$201,MATCH($A79,Activities!$A$2:$A$201,0))),0))))</f>
        <v/>
      </c>
      <c r="L79" s="24" t="str">
        <f aca="false">IF(AND($A79="",$B79=""),"",IF(ISNA(MATCH($A79,Activities!$A$2:$A$201,0)),"Unknown activity",IF(ISNA(MATCH($B79,Students!$A$2:$A$301,0)),"Unknown student",IF(D79="","No status",IF(COUNTIFS($A$2:$A$1001,$A79,$B$2:$B$1001,$B79)&gt;1,"Duplicate",IF(AND(D79&lt;&gt;"Withdrawn",G79&lt;&gt;"",COUNTIFS($B$2:$B$1001,$B79,$G$2:$G$1001,G79,$D$2:$D$1001,"&lt;&gt;Withdrawn")&gt;1),"Same-day clash","OK"))))))</f>
        <v/>
      </c>
    </row>
    <row r="80" customFormat="false" ht="15" hidden="false" customHeight="false" outlineLevel="0" collapsed="false">
      <c r="E80" s="26"/>
      <c r="G80" s="23" t="str">
        <f aca="false">IF($A80="","",IFERROR(IF(INDEX(Activities!$C$2:$C$201,MATCH($A80,Activities!$A$2:$A$201,0))="","",INDEX(Activities!$C$2:$C$201,MATCH($A80,Activities!$A$2:$A$201,0))),""))</f>
        <v/>
      </c>
      <c r="H80" s="24" t="str">
        <f aca="false">IF($A80="","",IFERROR(IF(INDEX(Activities!$B$2:$B$201,MATCH($A80,Activities!$A$2:$A$201,0))="","",INDEX(Activities!$B$2:$B$201,MATCH($A80,Activities!$A$2:$A$201,0))),""))</f>
        <v/>
      </c>
      <c r="I80" s="24" t="str">
        <f aca="false">IF($B80="","",IFERROR(IF(INDEX(Students!$C$2:$C$301,MATCH($B80,Students!$A$2:$A$301,0))="","",INDEX(Students!$C$2:$C$301,MATCH($B80,Students!$A$2:$A$301,0))),""))</f>
        <v/>
      </c>
      <c r="J80" s="24" t="str">
        <f aca="false">IF($B80="","",IFERROR(IF(INDEX(Students!$B$2:$B$301,MATCH($B80,Students!$A$2:$A$301,0))="","",INDEX(Students!$B$2:$B$301,MATCH($B80,Students!$A$2:$A$301,0))),""))</f>
        <v/>
      </c>
      <c r="K80" s="25" t="str">
        <f aca="false">IF($A80="","",IF(D80="Withdrawn",0,IF(E80&lt;&gt;"",N(E80),IFERROR(N(INDEX(Activities!$I$2:$I$201,MATCH($A80,Activities!$A$2:$A$201,0))),0))))</f>
        <v/>
      </c>
      <c r="L80" s="24" t="str">
        <f aca="false">IF(AND($A80="",$B80=""),"",IF(ISNA(MATCH($A80,Activities!$A$2:$A$201,0)),"Unknown activity",IF(ISNA(MATCH($B80,Students!$A$2:$A$301,0)),"Unknown student",IF(D80="","No status",IF(COUNTIFS($A$2:$A$1001,$A80,$B$2:$B$1001,$B80)&gt;1,"Duplicate",IF(AND(D80&lt;&gt;"Withdrawn",G80&lt;&gt;"",COUNTIFS($B$2:$B$1001,$B80,$G$2:$G$1001,G80,$D$2:$D$1001,"&lt;&gt;Withdrawn")&gt;1),"Same-day clash","OK"))))))</f>
        <v/>
      </c>
    </row>
    <row r="81" customFormat="false" ht="15" hidden="false" customHeight="false" outlineLevel="0" collapsed="false">
      <c r="E81" s="26"/>
      <c r="G81" s="23" t="str">
        <f aca="false">IF($A81="","",IFERROR(IF(INDEX(Activities!$C$2:$C$201,MATCH($A81,Activities!$A$2:$A$201,0))="","",INDEX(Activities!$C$2:$C$201,MATCH($A81,Activities!$A$2:$A$201,0))),""))</f>
        <v/>
      </c>
      <c r="H81" s="24" t="str">
        <f aca="false">IF($A81="","",IFERROR(IF(INDEX(Activities!$B$2:$B$201,MATCH($A81,Activities!$A$2:$A$201,0))="","",INDEX(Activities!$B$2:$B$201,MATCH($A81,Activities!$A$2:$A$201,0))),""))</f>
        <v/>
      </c>
      <c r="I81" s="24" t="str">
        <f aca="false">IF($B81="","",IFERROR(IF(INDEX(Students!$C$2:$C$301,MATCH($B81,Students!$A$2:$A$301,0))="","",INDEX(Students!$C$2:$C$301,MATCH($B81,Students!$A$2:$A$301,0))),""))</f>
        <v/>
      </c>
      <c r="J81" s="24" t="str">
        <f aca="false">IF($B81="","",IFERROR(IF(INDEX(Students!$B$2:$B$301,MATCH($B81,Students!$A$2:$A$301,0))="","",INDEX(Students!$B$2:$B$301,MATCH($B81,Students!$A$2:$A$301,0))),""))</f>
        <v/>
      </c>
      <c r="K81" s="25" t="str">
        <f aca="false">IF($A81="","",IF(D81="Withdrawn",0,IF(E81&lt;&gt;"",N(E81),IFERROR(N(INDEX(Activities!$I$2:$I$201,MATCH($A81,Activities!$A$2:$A$201,0))),0))))</f>
        <v/>
      </c>
      <c r="L81" s="24" t="str">
        <f aca="false">IF(AND($A81="",$B81=""),"",IF(ISNA(MATCH($A81,Activities!$A$2:$A$201,0)),"Unknown activity",IF(ISNA(MATCH($B81,Students!$A$2:$A$301,0)),"Unknown student",IF(D81="","No status",IF(COUNTIFS($A$2:$A$1001,$A81,$B$2:$B$1001,$B81)&gt;1,"Duplicate",IF(AND(D81&lt;&gt;"Withdrawn",G81&lt;&gt;"",COUNTIFS($B$2:$B$1001,$B81,$G$2:$G$1001,G81,$D$2:$D$1001,"&lt;&gt;Withdrawn")&gt;1),"Same-day clash","OK"))))))</f>
        <v/>
      </c>
    </row>
    <row r="82" customFormat="false" ht="15" hidden="false" customHeight="false" outlineLevel="0" collapsed="false">
      <c r="E82" s="26"/>
      <c r="G82" s="23" t="str">
        <f aca="false">IF($A82="","",IFERROR(IF(INDEX(Activities!$C$2:$C$201,MATCH($A82,Activities!$A$2:$A$201,0))="","",INDEX(Activities!$C$2:$C$201,MATCH($A82,Activities!$A$2:$A$201,0))),""))</f>
        <v/>
      </c>
      <c r="H82" s="24" t="str">
        <f aca="false">IF($A82="","",IFERROR(IF(INDEX(Activities!$B$2:$B$201,MATCH($A82,Activities!$A$2:$A$201,0))="","",INDEX(Activities!$B$2:$B$201,MATCH($A82,Activities!$A$2:$A$201,0))),""))</f>
        <v/>
      </c>
      <c r="I82" s="24" t="str">
        <f aca="false">IF($B82="","",IFERROR(IF(INDEX(Students!$C$2:$C$301,MATCH($B82,Students!$A$2:$A$301,0))="","",INDEX(Students!$C$2:$C$301,MATCH($B82,Students!$A$2:$A$301,0))),""))</f>
        <v/>
      </c>
      <c r="J82" s="24" t="str">
        <f aca="false">IF($B82="","",IFERROR(IF(INDEX(Students!$B$2:$B$301,MATCH($B82,Students!$A$2:$A$301,0))="","",INDEX(Students!$B$2:$B$301,MATCH($B82,Students!$A$2:$A$301,0))),""))</f>
        <v/>
      </c>
      <c r="K82" s="25" t="str">
        <f aca="false">IF($A82="","",IF(D82="Withdrawn",0,IF(E82&lt;&gt;"",N(E82),IFERROR(N(INDEX(Activities!$I$2:$I$201,MATCH($A82,Activities!$A$2:$A$201,0))),0))))</f>
        <v/>
      </c>
      <c r="L82" s="24" t="str">
        <f aca="false">IF(AND($A82="",$B82=""),"",IF(ISNA(MATCH($A82,Activities!$A$2:$A$201,0)),"Unknown activity",IF(ISNA(MATCH($B82,Students!$A$2:$A$301,0)),"Unknown student",IF(D82="","No status",IF(COUNTIFS($A$2:$A$1001,$A82,$B$2:$B$1001,$B82)&gt;1,"Duplicate",IF(AND(D82&lt;&gt;"Withdrawn",G82&lt;&gt;"",COUNTIFS($B$2:$B$1001,$B82,$G$2:$G$1001,G82,$D$2:$D$1001,"&lt;&gt;Withdrawn")&gt;1),"Same-day clash","OK"))))))</f>
        <v/>
      </c>
    </row>
    <row r="83" customFormat="false" ht="15" hidden="false" customHeight="false" outlineLevel="0" collapsed="false">
      <c r="E83" s="26"/>
      <c r="G83" s="23" t="str">
        <f aca="false">IF($A83="","",IFERROR(IF(INDEX(Activities!$C$2:$C$201,MATCH($A83,Activities!$A$2:$A$201,0))="","",INDEX(Activities!$C$2:$C$201,MATCH($A83,Activities!$A$2:$A$201,0))),""))</f>
        <v/>
      </c>
      <c r="H83" s="24" t="str">
        <f aca="false">IF($A83="","",IFERROR(IF(INDEX(Activities!$B$2:$B$201,MATCH($A83,Activities!$A$2:$A$201,0))="","",INDEX(Activities!$B$2:$B$201,MATCH($A83,Activities!$A$2:$A$201,0))),""))</f>
        <v/>
      </c>
      <c r="I83" s="24" t="str">
        <f aca="false">IF($B83="","",IFERROR(IF(INDEX(Students!$C$2:$C$301,MATCH($B83,Students!$A$2:$A$301,0))="","",INDEX(Students!$C$2:$C$301,MATCH($B83,Students!$A$2:$A$301,0))),""))</f>
        <v/>
      </c>
      <c r="J83" s="24" t="str">
        <f aca="false">IF($B83="","",IFERROR(IF(INDEX(Students!$B$2:$B$301,MATCH($B83,Students!$A$2:$A$301,0))="","",INDEX(Students!$B$2:$B$301,MATCH($B83,Students!$A$2:$A$301,0))),""))</f>
        <v/>
      </c>
      <c r="K83" s="25" t="str">
        <f aca="false">IF($A83="","",IF(D83="Withdrawn",0,IF(E83&lt;&gt;"",N(E83),IFERROR(N(INDEX(Activities!$I$2:$I$201,MATCH($A83,Activities!$A$2:$A$201,0))),0))))</f>
        <v/>
      </c>
      <c r="L83" s="24" t="str">
        <f aca="false">IF(AND($A83="",$B83=""),"",IF(ISNA(MATCH($A83,Activities!$A$2:$A$201,0)),"Unknown activity",IF(ISNA(MATCH($B83,Students!$A$2:$A$301,0)),"Unknown student",IF(D83="","No status",IF(COUNTIFS($A$2:$A$1001,$A83,$B$2:$B$1001,$B83)&gt;1,"Duplicate",IF(AND(D83&lt;&gt;"Withdrawn",G83&lt;&gt;"",COUNTIFS($B$2:$B$1001,$B83,$G$2:$G$1001,G83,$D$2:$D$1001,"&lt;&gt;Withdrawn")&gt;1),"Same-day clash","OK"))))))</f>
        <v/>
      </c>
    </row>
    <row r="84" customFormat="false" ht="15" hidden="false" customHeight="false" outlineLevel="0" collapsed="false">
      <c r="E84" s="26"/>
      <c r="G84" s="23" t="str">
        <f aca="false">IF($A84="","",IFERROR(IF(INDEX(Activities!$C$2:$C$201,MATCH($A84,Activities!$A$2:$A$201,0))="","",INDEX(Activities!$C$2:$C$201,MATCH($A84,Activities!$A$2:$A$201,0))),""))</f>
        <v/>
      </c>
      <c r="H84" s="24" t="str">
        <f aca="false">IF($A84="","",IFERROR(IF(INDEX(Activities!$B$2:$B$201,MATCH($A84,Activities!$A$2:$A$201,0))="","",INDEX(Activities!$B$2:$B$201,MATCH($A84,Activities!$A$2:$A$201,0))),""))</f>
        <v/>
      </c>
      <c r="I84" s="24" t="str">
        <f aca="false">IF($B84="","",IFERROR(IF(INDEX(Students!$C$2:$C$301,MATCH($B84,Students!$A$2:$A$301,0))="","",INDEX(Students!$C$2:$C$301,MATCH($B84,Students!$A$2:$A$301,0))),""))</f>
        <v/>
      </c>
      <c r="J84" s="24" t="str">
        <f aca="false">IF($B84="","",IFERROR(IF(INDEX(Students!$B$2:$B$301,MATCH($B84,Students!$A$2:$A$301,0))="","",INDEX(Students!$B$2:$B$301,MATCH($B84,Students!$A$2:$A$301,0))),""))</f>
        <v/>
      </c>
      <c r="K84" s="25" t="str">
        <f aca="false">IF($A84="","",IF(D84="Withdrawn",0,IF(E84&lt;&gt;"",N(E84),IFERROR(N(INDEX(Activities!$I$2:$I$201,MATCH($A84,Activities!$A$2:$A$201,0))),0))))</f>
        <v/>
      </c>
      <c r="L84" s="24" t="str">
        <f aca="false">IF(AND($A84="",$B84=""),"",IF(ISNA(MATCH($A84,Activities!$A$2:$A$201,0)),"Unknown activity",IF(ISNA(MATCH($B84,Students!$A$2:$A$301,0)),"Unknown student",IF(D84="","No status",IF(COUNTIFS($A$2:$A$1001,$A84,$B$2:$B$1001,$B84)&gt;1,"Duplicate",IF(AND(D84&lt;&gt;"Withdrawn",G84&lt;&gt;"",COUNTIFS($B$2:$B$1001,$B84,$G$2:$G$1001,G84,$D$2:$D$1001,"&lt;&gt;Withdrawn")&gt;1),"Same-day clash","OK"))))))</f>
        <v/>
      </c>
    </row>
    <row r="85" customFormat="false" ht="15" hidden="false" customHeight="false" outlineLevel="0" collapsed="false">
      <c r="E85" s="26"/>
      <c r="G85" s="23" t="str">
        <f aca="false">IF($A85="","",IFERROR(IF(INDEX(Activities!$C$2:$C$201,MATCH($A85,Activities!$A$2:$A$201,0))="","",INDEX(Activities!$C$2:$C$201,MATCH($A85,Activities!$A$2:$A$201,0))),""))</f>
        <v/>
      </c>
      <c r="H85" s="24" t="str">
        <f aca="false">IF($A85="","",IFERROR(IF(INDEX(Activities!$B$2:$B$201,MATCH($A85,Activities!$A$2:$A$201,0))="","",INDEX(Activities!$B$2:$B$201,MATCH($A85,Activities!$A$2:$A$201,0))),""))</f>
        <v/>
      </c>
      <c r="I85" s="24" t="str">
        <f aca="false">IF($B85="","",IFERROR(IF(INDEX(Students!$C$2:$C$301,MATCH($B85,Students!$A$2:$A$301,0))="","",INDEX(Students!$C$2:$C$301,MATCH($B85,Students!$A$2:$A$301,0))),""))</f>
        <v/>
      </c>
      <c r="J85" s="24" t="str">
        <f aca="false">IF($B85="","",IFERROR(IF(INDEX(Students!$B$2:$B$301,MATCH($B85,Students!$A$2:$A$301,0))="","",INDEX(Students!$B$2:$B$301,MATCH($B85,Students!$A$2:$A$301,0))),""))</f>
        <v/>
      </c>
      <c r="K85" s="25" t="str">
        <f aca="false">IF($A85="","",IF(D85="Withdrawn",0,IF(E85&lt;&gt;"",N(E85),IFERROR(N(INDEX(Activities!$I$2:$I$201,MATCH($A85,Activities!$A$2:$A$201,0))),0))))</f>
        <v/>
      </c>
      <c r="L85" s="24" t="str">
        <f aca="false">IF(AND($A85="",$B85=""),"",IF(ISNA(MATCH($A85,Activities!$A$2:$A$201,0)),"Unknown activity",IF(ISNA(MATCH($B85,Students!$A$2:$A$301,0)),"Unknown student",IF(D85="","No status",IF(COUNTIFS($A$2:$A$1001,$A85,$B$2:$B$1001,$B85)&gt;1,"Duplicate",IF(AND(D85&lt;&gt;"Withdrawn",G85&lt;&gt;"",COUNTIFS($B$2:$B$1001,$B85,$G$2:$G$1001,G85,$D$2:$D$1001,"&lt;&gt;Withdrawn")&gt;1),"Same-day clash","OK"))))))</f>
        <v/>
      </c>
    </row>
    <row r="86" customFormat="false" ht="15" hidden="false" customHeight="false" outlineLevel="0" collapsed="false">
      <c r="E86" s="26"/>
      <c r="G86" s="23" t="str">
        <f aca="false">IF($A86="","",IFERROR(IF(INDEX(Activities!$C$2:$C$201,MATCH($A86,Activities!$A$2:$A$201,0))="","",INDEX(Activities!$C$2:$C$201,MATCH($A86,Activities!$A$2:$A$201,0))),""))</f>
        <v/>
      </c>
      <c r="H86" s="24" t="str">
        <f aca="false">IF($A86="","",IFERROR(IF(INDEX(Activities!$B$2:$B$201,MATCH($A86,Activities!$A$2:$A$201,0))="","",INDEX(Activities!$B$2:$B$201,MATCH($A86,Activities!$A$2:$A$201,0))),""))</f>
        <v/>
      </c>
      <c r="I86" s="24" t="str">
        <f aca="false">IF($B86="","",IFERROR(IF(INDEX(Students!$C$2:$C$301,MATCH($B86,Students!$A$2:$A$301,0))="","",INDEX(Students!$C$2:$C$301,MATCH($B86,Students!$A$2:$A$301,0))),""))</f>
        <v/>
      </c>
      <c r="J86" s="24" t="str">
        <f aca="false">IF($B86="","",IFERROR(IF(INDEX(Students!$B$2:$B$301,MATCH($B86,Students!$A$2:$A$301,0))="","",INDEX(Students!$B$2:$B$301,MATCH($B86,Students!$A$2:$A$301,0))),""))</f>
        <v/>
      </c>
      <c r="K86" s="25" t="str">
        <f aca="false">IF($A86="","",IF(D86="Withdrawn",0,IF(E86&lt;&gt;"",N(E86),IFERROR(N(INDEX(Activities!$I$2:$I$201,MATCH($A86,Activities!$A$2:$A$201,0))),0))))</f>
        <v/>
      </c>
      <c r="L86" s="24" t="str">
        <f aca="false">IF(AND($A86="",$B86=""),"",IF(ISNA(MATCH($A86,Activities!$A$2:$A$201,0)),"Unknown activity",IF(ISNA(MATCH($B86,Students!$A$2:$A$301,0)),"Unknown student",IF(D86="","No status",IF(COUNTIFS($A$2:$A$1001,$A86,$B$2:$B$1001,$B86)&gt;1,"Duplicate",IF(AND(D86&lt;&gt;"Withdrawn",G86&lt;&gt;"",COUNTIFS($B$2:$B$1001,$B86,$G$2:$G$1001,G86,$D$2:$D$1001,"&lt;&gt;Withdrawn")&gt;1),"Same-day clash","OK"))))))</f>
        <v/>
      </c>
    </row>
    <row r="87" customFormat="false" ht="15" hidden="false" customHeight="false" outlineLevel="0" collapsed="false">
      <c r="E87" s="26"/>
      <c r="G87" s="23" t="str">
        <f aca="false">IF($A87="","",IFERROR(IF(INDEX(Activities!$C$2:$C$201,MATCH($A87,Activities!$A$2:$A$201,0))="","",INDEX(Activities!$C$2:$C$201,MATCH($A87,Activities!$A$2:$A$201,0))),""))</f>
        <v/>
      </c>
      <c r="H87" s="24" t="str">
        <f aca="false">IF($A87="","",IFERROR(IF(INDEX(Activities!$B$2:$B$201,MATCH($A87,Activities!$A$2:$A$201,0))="","",INDEX(Activities!$B$2:$B$201,MATCH($A87,Activities!$A$2:$A$201,0))),""))</f>
        <v/>
      </c>
      <c r="I87" s="24" t="str">
        <f aca="false">IF($B87="","",IFERROR(IF(INDEX(Students!$C$2:$C$301,MATCH($B87,Students!$A$2:$A$301,0))="","",INDEX(Students!$C$2:$C$301,MATCH($B87,Students!$A$2:$A$301,0))),""))</f>
        <v/>
      </c>
      <c r="J87" s="24" t="str">
        <f aca="false">IF($B87="","",IFERROR(IF(INDEX(Students!$B$2:$B$301,MATCH($B87,Students!$A$2:$A$301,0))="","",INDEX(Students!$B$2:$B$301,MATCH($B87,Students!$A$2:$A$301,0))),""))</f>
        <v/>
      </c>
      <c r="K87" s="25" t="str">
        <f aca="false">IF($A87="","",IF(D87="Withdrawn",0,IF(E87&lt;&gt;"",N(E87),IFERROR(N(INDEX(Activities!$I$2:$I$201,MATCH($A87,Activities!$A$2:$A$201,0))),0))))</f>
        <v/>
      </c>
      <c r="L87" s="24" t="str">
        <f aca="false">IF(AND($A87="",$B87=""),"",IF(ISNA(MATCH($A87,Activities!$A$2:$A$201,0)),"Unknown activity",IF(ISNA(MATCH($B87,Students!$A$2:$A$301,0)),"Unknown student",IF(D87="","No status",IF(COUNTIFS($A$2:$A$1001,$A87,$B$2:$B$1001,$B87)&gt;1,"Duplicate",IF(AND(D87&lt;&gt;"Withdrawn",G87&lt;&gt;"",COUNTIFS($B$2:$B$1001,$B87,$G$2:$G$1001,G87,$D$2:$D$1001,"&lt;&gt;Withdrawn")&gt;1),"Same-day clash","OK"))))))</f>
        <v/>
      </c>
    </row>
    <row r="88" customFormat="false" ht="15" hidden="false" customHeight="false" outlineLevel="0" collapsed="false">
      <c r="E88" s="26"/>
      <c r="G88" s="23" t="str">
        <f aca="false">IF($A88="","",IFERROR(IF(INDEX(Activities!$C$2:$C$201,MATCH($A88,Activities!$A$2:$A$201,0))="","",INDEX(Activities!$C$2:$C$201,MATCH($A88,Activities!$A$2:$A$201,0))),""))</f>
        <v/>
      </c>
      <c r="H88" s="24" t="str">
        <f aca="false">IF($A88="","",IFERROR(IF(INDEX(Activities!$B$2:$B$201,MATCH($A88,Activities!$A$2:$A$201,0))="","",INDEX(Activities!$B$2:$B$201,MATCH($A88,Activities!$A$2:$A$201,0))),""))</f>
        <v/>
      </c>
      <c r="I88" s="24" t="str">
        <f aca="false">IF($B88="","",IFERROR(IF(INDEX(Students!$C$2:$C$301,MATCH($B88,Students!$A$2:$A$301,0))="","",INDEX(Students!$C$2:$C$301,MATCH($B88,Students!$A$2:$A$301,0))),""))</f>
        <v/>
      </c>
      <c r="J88" s="24" t="str">
        <f aca="false">IF($B88="","",IFERROR(IF(INDEX(Students!$B$2:$B$301,MATCH($B88,Students!$A$2:$A$301,0))="","",INDEX(Students!$B$2:$B$301,MATCH($B88,Students!$A$2:$A$301,0))),""))</f>
        <v/>
      </c>
      <c r="K88" s="25" t="str">
        <f aca="false">IF($A88="","",IF(D88="Withdrawn",0,IF(E88&lt;&gt;"",N(E88),IFERROR(N(INDEX(Activities!$I$2:$I$201,MATCH($A88,Activities!$A$2:$A$201,0))),0))))</f>
        <v/>
      </c>
      <c r="L88" s="24" t="str">
        <f aca="false">IF(AND($A88="",$B88=""),"",IF(ISNA(MATCH($A88,Activities!$A$2:$A$201,0)),"Unknown activity",IF(ISNA(MATCH($B88,Students!$A$2:$A$301,0)),"Unknown student",IF(D88="","No status",IF(COUNTIFS($A$2:$A$1001,$A88,$B$2:$B$1001,$B88)&gt;1,"Duplicate",IF(AND(D88&lt;&gt;"Withdrawn",G88&lt;&gt;"",COUNTIFS($B$2:$B$1001,$B88,$G$2:$G$1001,G88,$D$2:$D$1001,"&lt;&gt;Withdrawn")&gt;1),"Same-day clash","OK"))))))</f>
        <v/>
      </c>
    </row>
    <row r="89" customFormat="false" ht="15" hidden="false" customHeight="false" outlineLevel="0" collapsed="false">
      <c r="E89" s="26"/>
      <c r="G89" s="23" t="str">
        <f aca="false">IF($A89="","",IFERROR(IF(INDEX(Activities!$C$2:$C$201,MATCH($A89,Activities!$A$2:$A$201,0))="","",INDEX(Activities!$C$2:$C$201,MATCH($A89,Activities!$A$2:$A$201,0))),""))</f>
        <v/>
      </c>
      <c r="H89" s="24" t="str">
        <f aca="false">IF($A89="","",IFERROR(IF(INDEX(Activities!$B$2:$B$201,MATCH($A89,Activities!$A$2:$A$201,0))="","",INDEX(Activities!$B$2:$B$201,MATCH($A89,Activities!$A$2:$A$201,0))),""))</f>
        <v/>
      </c>
      <c r="I89" s="24" t="str">
        <f aca="false">IF($B89="","",IFERROR(IF(INDEX(Students!$C$2:$C$301,MATCH($B89,Students!$A$2:$A$301,0))="","",INDEX(Students!$C$2:$C$301,MATCH($B89,Students!$A$2:$A$301,0))),""))</f>
        <v/>
      </c>
      <c r="J89" s="24" t="str">
        <f aca="false">IF($B89="","",IFERROR(IF(INDEX(Students!$B$2:$B$301,MATCH($B89,Students!$A$2:$A$301,0))="","",INDEX(Students!$B$2:$B$301,MATCH($B89,Students!$A$2:$A$301,0))),""))</f>
        <v/>
      </c>
      <c r="K89" s="25" t="str">
        <f aca="false">IF($A89="","",IF(D89="Withdrawn",0,IF(E89&lt;&gt;"",N(E89),IFERROR(N(INDEX(Activities!$I$2:$I$201,MATCH($A89,Activities!$A$2:$A$201,0))),0))))</f>
        <v/>
      </c>
      <c r="L89" s="24" t="str">
        <f aca="false">IF(AND($A89="",$B89=""),"",IF(ISNA(MATCH($A89,Activities!$A$2:$A$201,0)),"Unknown activity",IF(ISNA(MATCH($B89,Students!$A$2:$A$301,0)),"Unknown student",IF(D89="","No status",IF(COUNTIFS($A$2:$A$1001,$A89,$B$2:$B$1001,$B89)&gt;1,"Duplicate",IF(AND(D89&lt;&gt;"Withdrawn",G89&lt;&gt;"",COUNTIFS($B$2:$B$1001,$B89,$G$2:$G$1001,G89,$D$2:$D$1001,"&lt;&gt;Withdrawn")&gt;1),"Same-day clash","OK"))))))</f>
        <v/>
      </c>
    </row>
    <row r="90" customFormat="false" ht="15" hidden="false" customHeight="false" outlineLevel="0" collapsed="false">
      <c r="E90" s="26"/>
      <c r="G90" s="23" t="str">
        <f aca="false">IF($A90="","",IFERROR(IF(INDEX(Activities!$C$2:$C$201,MATCH($A90,Activities!$A$2:$A$201,0))="","",INDEX(Activities!$C$2:$C$201,MATCH($A90,Activities!$A$2:$A$201,0))),""))</f>
        <v/>
      </c>
      <c r="H90" s="24" t="str">
        <f aca="false">IF($A90="","",IFERROR(IF(INDEX(Activities!$B$2:$B$201,MATCH($A90,Activities!$A$2:$A$201,0))="","",INDEX(Activities!$B$2:$B$201,MATCH($A90,Activities!$A$2:$A$201,0))),""))</f>
        <v/>
      </c>
      <c r="I90" s="24" t="str">
        <f aca="false">IF($B90="","",IFERROR(IF(INDEX(Students!$C$2:$C$301,MATCH($B90,Students!$A$2:$A$301,0))="","",INDEX(Students!$C$2:$C$301,MATCH($B90,Students!$A$2:$A$301,0))),""))</f>
        <v/>
      </c>
      <c r="J90" s="24" t="str">
        <f aca="false">IF($B90="","",IFERROR(IF(INDEX(Students!$B$2:$B$301,MATCH($B90,Students!$A$2:$A$301,0))="","",INDEX(Students!$B$2:$B$301,MATCH($B90,Students!$A$2:$A$301,0))),""))</f>
        <v/>
      </c>
      <c r="K90" s="25" t="str">
        <f aca="false">IF($A90="","",IF(D90="Withdrawn",0,IF(E90&lt;&gt;"",N(E90),IFERROR(N(INDEX(Activities!$I$2:$I$201,MATCH($A90,Activities!$A$2:$A$201,0))),0))))</f>
        <v/>
      </c>
      <c r="L90" s="24" t="str">
        <f aca="false">IF(AND($A90="",$B90=""),"",IF(ISNA(MATCH($A90,Activities!$A$2:$A$201,0)),"Unknown activity",IF(ISNA(MATCH($B90,Students!$A$2:$A$301,0)),"Unknown student",IF(D90="","No status",IF(COUNTIFS($A$2:$A$1001,$A90,$B$2:$B$1001,$B90)&gt;1,"Duplicate",IF(AND(D90&lt;&gt;"Withdrawn",G90&lt;&gt;"",COUNTIFS($B$2:$B$1001,$B90,$G$2:$G$1001,G90,$D$2:$D$1001,"&lt;&gt;Withdrawn")&gt;1),"Same-day clash","OK"))))))</f>
        <v/>
      </c>
    </row>
    <row r="91" customFormat="false" ht="15" hidden="false" customHeight="false" outlineLevel="0" collapsed="false">
      <c r="E91" s="26"/>
      <c r="G91" s="23" t="str">
        <f aca="false">IF($A91="","",IFERROR(IF(INDEX(Activities!$C$2:$C$201,MATCH($A91,Activities!$A$2:$A$201,0))="","",INDEX(Activities!$C$2:$C$201,MATCH($A91,Activities!$A$2:$A$201,0))),""))</f>
        <v/>
      </c>
      <c r="H91" s="24" t="str">
        <f aca="false">IF($A91="","",IFERROR(IF(INDEX(Activities!$B$2:$B$201,MATCH($A91,Activities!$A$2:$A$201,0))="","",INDEX(Activities!$B$2:$B$201,MATCH($A91,Activities!$A$2:$A$201,0))),""))</f>
        <v/>
      </c>
      <c r="I91" s="24" t="str">
        <f aca="false">IF($B91="","",IFERROR(IF(INDEX(Students!$C$2:$C$301,MATCH($B91,Students!$A$2:$A$301,0))="","",INDEX(Students!$C$2:$C$301,MATCH($B91,Students!$A$2:$A$301,0))),""))</f>
        <v/>
      </c>
      <c r="J91" s="24" t="str">
        <f aca="false">IF($B91="","",IFERROR(IF(INDEX(Students!$B$2:$B$301,MATCH($B91,Students!$A$2:$A$301,0))="","",INDEX(Students!$B$2:$B$301,MATCH($B91,Students!$A$2:$A$301,0))),""))</f>
        <v/>
      </c>
      <c r="K91" s="25" t="str">
        <f aca="false">IF($A91="","",IF(D91="Withdrawn",0,IF(E91&lt;&gt;"",N(E91),IFERROR(N(INDEX(Activities!$I$2:$I$201,MATCH($A91,Activities!$A$2:$A$201,0))),0))))</f>
        <v/>
      </c>
      <c r="L91" s="24" t="str">
        <f aca="false">IF(AND($A91="",$B91=""),"",IF(ISNA(MATCH($A91,Activities!$A$2:$A$201,0)),"Unknown activity",IF(ISNA(MATCH($B91,Students!$A$2:$A$301,0)),"Unknown student",IF(D91="","No status",IF(COUNTIFS($A$2:$A$1001,$A91,$B$2:$B$1001,$B91)&gt;1,"Duplicate",IF(AND(D91&lt;&gt;"Withdrawn",G91&lt;&gt;"",COUNTIFS($B$2:$B$1001,$B91,$G$2:$G$1001,G91,$D$2:$D$1001,"&lt;&gt;Withdrawn")&gt;1),"Same-day clash","OK"))))))</f>
        <v/>
      </c>
    </row>
    <row r="92" customFormat="false" ht="15" hidden="false" customHeight="false" outlineLevel="0" collapsed="false">
      <c r="E92" s="26"/>
      <c r="G92" s="23" t="str">
        <f aca="false">IF($A92="","",IFERROR(IF(INDEX(Activities!$C$2:$C$201,MATCH($A92,Activities!$A$2:$A$201,0))="","",INDEX(Activities!$C$2:$C$201,MATCH($A92,Activities!$A$2:$A$201,0))),""))</f>
        <v/>
      </c>
      <c r="H92" s="24" t="str">
        <f aca="false">IF($A92="","",IFERROR(IF(INDEX(Activities!$B$2:$B$201,MATCH($A92,Activities!$A$2:$A$201,0))="","",INDEX(Activities!$B$2:$B$201,MATCH($A92,Activities!$A$2:$A$201,0))),""))</f>
        <v/>
      </c>
      <c r="I92" s="24" t="str">
        <f aca="false">IF($B92="","",IFERROR(IF(INDEX(Students!$C$2:$C$301,MATCH($B92,Students!$A$2:$A$301,0))="","",INDEX(Students!$C$2:$C$301,MATCH($B92,Students!$A$2:$A$301,0))),""))</f>
        <v/>
      </c>
      <c r="J92" s="24" t="str">
        <f aca="false">IF($B92="","",IFERROR(IF(INDEX(Students!$B$2:$B$301,MATCH($B92,Students!$A$2:$A$301,0))="","",INDEX(Students!$B$2:$B$301,MATCH($B92,Students!$A$2:$A$301,0))),""))</f>
        <v/>
      </c>
      <c r="K92" s="25" t="str">
        <f aca="false">IF($A92="","",IF(D92="Withdrawn",0,IF(E92&lt;&gt;"",N(E92),IFERROR(N(INDEX(Activities!$I$2:$I$201,MATCH($A92,Activities!$A$2:$A$201,0))),0))))</f>
        <v/>
      </c>
      <c r="L92" s="24" t="str">
        <f aca="false">IF(AND($A92="",$B92=""),"",IF(ISNA(MATCH($A92,Activities!$A$2:$A$201,0)),"Unknown activity",IF(ISNA(MATCH($B92,Students!$A$2:$A$301,0)),"Unknown student",IF(D92="","No status",IF(COUNTIFS($A$2:$A$1001,$A92,$B$2:$B$1001,$B92)&gt;1,"Duplicate",IF(AND(D92&lt;&gt;"Withdrawn",G92&lt;&gt;"",COUNTIFS($B$2:$B$1001,$B92,$G$2:$G$1001,G92,$D$2:$D$1001,"&lt;&gt;Withdrawn")&gt;1),"Same-day clash","OK"))))))</f>
        <v/>
      </c>
    </row>
    <row r="93" customFormat="false" ht="15" hidden="false" customHeight="false" outlineLevel="0" collapsed="false">
      <c r="E93" s="26"/>
      <c r="G93" s="23" t="str">
        <f aca="false">IF($A93="","",IFERROR(IF(INDEX(Activities!$C$2:$C$201,MATCH($A93,Activities!$A$2:$A$201,0))="","",INDEX(Activities!$C$2:$C$201,MATCH($A93,Activities!$A$2:$A$201,0))),""))</f>
        <v/>
      </c>
      <c r="H93" s="24" t="str">
        <f aca="false">IF($A93="","",IFERROR(IF(INDEX(Activities!$B$2:$B$201,MATCH($A93,Activities!$A$2:$A$201,0))="","",INDEX(Activities!$B$2:$B$201,MATCH($A93,Activities!$A$2:$A$201,0))),""))</f>
        <v/>
      </c>
      <c r="I93" s="24" t="str">
        <f aca="false">IF($B93="","",IFERROR(IF(INDEX(Students!$C$2:$C$301,MATCH($B93,Students!$A$2:$A$301,0))="","",INDEX(Students!$C$2:$C$301,MATCH($B93,Students!$A$2:$A$301,0))),""))</f>
        <v/>
      </c>
      <c r="J93" s="24" t="str">
        <f aca="false">IF($B93="","",IFERROR(IF(INDEX(Students!$B$2:$B$301,MATCH($B93,Students!$A$2:$A$301,0))="","",INDEX(Students!$B$2:$B$301,MATCH($B93,Students!$A$2:$A$301,0))),""))</f>
        <v/>
      </c>
      <c r="K93" s="25" t="str">
        <f aca="false">IF($A93="","",IF(D93="Withdrawn",0,IF(E93&lt;&gt;"",N(E93),IFERROR(N(INDEX(Activities!$I$2:$I$201,MATCH($A93,Activities!$A$2:$A$201,0))),0))))</f>
        <v/>
      </c>
      <c r="L93" s="24" t="str">
        <f aca="false">IF(AND($A93="",$B93=""),"",IF(ISNA(MATCH($A93,Activities!$A$2:$A$201,0)),"Unknown activity",IF(ISNA(MATCH($B93,Students!$A$2:$A$301,0)),"Unknown student",IF(D93="","No status",IF(COUNTIFS($A$2:$A$1001,$A93,$B$2:$B$1001,$B93)&gt;1,"Duplicate",IF(AND(D93&lt;&gt;"Withdrawn",G93&lt;&gt;"",COUNTIFS($B$2:$B$1001,$B93,$G$2:$G$1001,G93,$D$2:$D$1001,"&lt;&gt;Withdrawn")&gt;1),"Same-day clash","OK"))))))</f>
        <v/>
      </c>
    </row>
    <row r="94" customFormat="false" ht="15" hidden="false" customHeight="false" outlineLevel="0" collapsed="false">
      <c r="E94" s="26"/>
      <c r="G94" s="23" t="str">
        <f aca="false">IF($A94="","",IFERROR(IF(INDEX(Activities!$C$2:$C$201,MATCH($A94,Activities!$A$2:$A$201,0))="","",INDEX(Activities!$C$2:$C$201,MATCH($A94,Activities!$A$2:$A$201,0))),""))</f>
        <v/>
      </c>
      <c r="H94" s="24" t="str">
        <f aca="false">IF($A94="","",IFERROR(IF(INDEX(Activities!$B$2:$B$201,MATCH($A94,Activities!$A$2:$A$201,0))="","",INDEX(Activities!$B$2:$B$201,MATCH($A94,Activities!$A$2:$A$201,0))),""))</f>
        <v/>
      </c>
      <c r="I94" s="24" t="str">
        <f aca="false">IF($B94="","",IFERROR(IF(INDEX(Students!$C$2:$C$301,MATCH($B94,Students!$A$2:$A$301,0))="","",INDEX(Students!$C$2:$C$301,MATCH($B94,Students!$A$2:$A$301,0))),""))</f>
        <v/>
      </c>
      <c r="J94" s="24" t="str">
        <f aca="false">IF($B94="","",IFERROR(IF(INDEX(Students!$B$2:$B$301,MATCH($B94,Students!$A$2:$A$301,0))="","",INDEX(Students!$B$2:$B$301,MATCH($B94,Students!$A$2:$A$301,0))),""))</f>
        <v/>
      </c>
      <c r="K94" s="25" t="str">
        <f aca="false">IF($A94="","",IF(D94="Withdrawn",0,IF(E94&lt;&gt;"",N(E94),IFERROR(N(INDEX(Activities!$I$2:$I$201,MATCH($A94,Activities!$A$2:$A$201,0))),0))))</f>
        <v/>
      </c>
      <c r="L94" s="24" t="str">
        <f aca="false">IF(AND($A94="",$B94=""),"",IF(ISNA(MATCH($A94,Activities!$A$2:$A$201,0)),"Unknown activity",IF(ISNA(MATCH($B94,Students!$A$2:$A$301,0)),"Unknown student",IF(D94="","No status",IF(COUNTIFS($A$2:$A$1001,$A94,$B$2:$B$1001,$B94)&gt;1,"Duplicate",IF(AND(D94&lt;&gt;"Withdrawn",G94&lt;&gt;"",COUNTIFS($B$2:$B$1001,$B94,$G$2:$G$1001,G94,$D$2:$D$1001,"&lt;&gt;Withdrawn")&gt;1),"Same-day clash","OK"))))))</f>
        <v/>
      </c>
    </row>
    <row r="95" customFormat="false" ht="15" hidden="false" customHeight="false" outlineLevel="0" collapsed="false">
      <c r="E95" s="26"/>
      <c r="G95" s="23" t="str">
        <f aca="false">IF($A95="","",IFERROR(IF(INDEX(Activities!$C$2:$C$201,MATCH($A95,Activities!$A$2:$A$201,0))="","",INDEX(Activities!$C$2:$C$201,MATCH($A95,Activities!$A$2:$A$201,0))),""))</f>
        <v/>
      </c>
      <c r="H95" s="24" t="str">
        <f aca="false">IF($A95="","",IFERROR(IF(INDEX(Activities!$B$2:$B$201,MATCH($A95,Activities!$A$2:$A$201,0))="","",INDEX(Activities!$B$2:$B$201,MATCH($A95,Activities!$A$2:$A$201,0))),""))</f>
        <v/>
      </c>
      <c r="I95" s="24" t="str">
        <f aca="false">IF($B95="","",IFERROR(IF(INDEX(Students!$C$2:$C$301,MATCH($B95,Students!$A$2:$A$301,0))="","",INDEX(Students!$C$2:$C$301,MATCH($B95,Students!$A$2:$A$301,0))),""))</f>
        <v/>
      </c>
      <c r="J95" s="24" t="str">
        <f aca="false">IF($B95="","",IFERROR(IF(INDEX(Students!$B$2:$B$301,MATCH($B95,Students!$A$2:$A$301,0))="","",INDEX(Students!$B$2:$B$301,MATCH($B95,Students!$A$2:$A$301,0))),""))</f>
        <v/>
      </c>
      <c r="K95" s="25" t="str">
        <f aca="false">IF($A95="","",IF(D95="Withdrawn",0,IF(E95&lt;&gt;"",N(E95),IFERROR(N(INDEX(Activities!$I$2:$I$201,MATCH($A95,Activities!$A$2:$A$201,0))),0))))</f>
        <v/>
      </c>
      <c r="L95" s="24" t="str">
        <f aca="false">IF(AND($A95="",$B95=""),"",IF(ISNA(MATCH($A95,Activities!$A$2:$A$201,0)),"Unknown activity",IF(ISNA(MATCH($B95,Students!$A$2:$A$301,0)),"Unknown student",IF(D95="","No status",IF(COUNTIFS($A$2:$A$1001,$A95,$B$2:$B$1001,$B95)&gt;1,"Duplicate",IF(AND(D95&lt;&gt;"Withdrawn",G95&lt;&gt;"",COUNTIFS($B$2:$B$1001,$B95,$G$2:$G$1001,G95,$D$2:$D$1001,"&lt;&gt;Withdrawn")&gt;1),"Same-day clash","OK"))))))</f>
        <v/>
      </c>
    </row>
    <row r="96" customFormat="false" ht="15" hidden="false" customHeight="false" outlineLevel="0" collapsed="false">
      <c r="E96" s="26"/>
      <c r="G96" s="23" t="str">
        <f aca="false">IF($A96="","",IFERROR(IF(INDEX(Activities!$C$2:$C$201,MATCH($A96,Activities!$A$2:$A$201,0))="","",INDEX(Activities!$C$2:$C$201,MATCH($A96,Activities!$A$2:$A$201,0))),""))</f>
        <v/>
      </c>
      <c r="H96" s="24" t="str">
        <f aca="false">IF($A96="","",IFERROR(IF(INDEX(Activities!$B$2:$B$201,MATCH($A96,Activities!$A$2:$A$201,0))="","",INDEX(Activities!$B$2:$B$201,MATCH($A96,Activities!$A$2:$A$201,0))),""))</f>
        <v/>
      </c>
      <c r="I96" s="24" t="str">
        <f aca="false">IF($B96="","",IFERROR(IF(INDEX(Students!$C$2:$C$301,MATCH($B96,Students!$A$2:$A$301,0))="","",INDEX(Students!$C$2:$C$301,MATCH($B96,Students!$A$2:$A$301,0))),""))</f>
        <v/>
      </c>
      <c r="J96" s="24" t="str">
        <f aca="false">IF($B96="","",IFERROR(IF(INDEX(Students!$B$2:$B$301,MATCH($B96,Students!$A$2:$A$301,0))="","",INDEX(Students!$B$2:$B$301,MATCH($B96,Students!$A$2:$A$301,0))),""))</f>
        <v/>
      </c>
      <c r="K96" s="25" t="str">
        <f aca="false">IF($A96="","",IF(D96="Withdrawn",0,IF(E96&lt;&gt;"",N(E96),IFERROR(N(INDEX(Activities!$I$2:$I$201,MATCH($A96,Activities!$A$2:$A$201,0))),0))))</f>
        <v/>
      </c>
      <c r="L96" s="24" t="str">
        <f aca="false">IF(AND($A96="",$B96=""),"",IF(ISNA(MATCH($A96,Activities!$A$2:$A$201,0)),"Unknown activity",IF(ISNA(MATCH($B96,Students!$A$2:$A$301,0)),"Unknown student",IF(D96="","No status",IF(COUNTIFS($A$2:$A$1001,$A96,$B$2:$B$1001,$B96)&gt;1,"Duplicate",IF(AND(D96&lt;&gt;"Withdrawn",G96&lt;&gt;"",COUNTIFS($B$2:$B$1001,$B96,$G$2:$G$1001,G96,$D$2:$D$1001,"&lt;&gt;Withdrawn")&gt;1),"Same-day clash","OK"))))))</f>
        <v/>
      </c>
    </row>
    <row r="97" customFormat="false" ht="15" hidden="false" customHeight="false" outlineLevel="0" collapsed="false">
      <c r="E97" s="26"/>
      <c r="G97" s="23" t="str">
        <f aca="false">IF($A97="","",IFERROR(IF(INDEX(Activities!$C$2:$C$201,MATCH($A97,Activities!$A$2:$A$201,0))="","",INDEX(Activities!$C$2:$C$201,MATCH($A97,Activities!$A$2:$A$201,0))),""))</f>
        <v/>
      </c>
      <c r="H97" s="24" t="str">
        <f aca="false">IF($A97="","",IFERROR(IF(INDEX(Activities!$B$2:$B$201,MATCH($A97,Activities!$A$2:$A$201,0))="","",INDEX(Activities!$B$2:$B$201,MATCH($A97,Activities!$A$2:$A$201,0))),""))</f>
        <v/>
      </c>
      <c r="I97" s="24" t="str">
        <f aca="false">IF($B97="","",IFERROR(IF(INDEX(Students!$C$2:$C$301,MATCH($B97,Students!$A$2:$A$301,0))="","",INDEX(Students!$C$2:$C$301,MATCH($B97,Students!$A$2:$A$301,0))),""))</f>
        <v/>
      </c>
      <c r="J97" s="24" t="str">
        <f aca="false">IF($B97="","",IFERROR(IF(INDEX(Students!$B$2:$B$301,MATCH($B97,Students!$A$2:$A$301,0))="","",INDEX(Students!$B$2:$B$301,MATCH($B97,Students!$A$2:$A$301,0))),""))</f>
        <v/>
      </c>
      <c r="K97" s="25" t="str">
        <f aca="false">IF($A97="","",IF(D97="Withdrawn",0,IF(E97&lt;&gt;"",N(E97),IFERROR(N(INDEX(Activities!$I$2:$I$201,MATCH($A97,Activities!$A$2:$A$201,0))),0))))</f>
        <v/>
      </c>
      <c r="L97" s="24" t="str">
        <f aca="false">IF(AND($A97="",$B97=""),"",IF(ISNA(MATCH($A97,Activities!$A$2:$A$201,0)),"Unknown activity",IF(ISNA(MATCH($B97,Students!$A$2:$A$301,0)),"Unknown student",IF(D97="","No status",IF(COUNTIFS($A$2:$A$1001,$A97,$B$2:$B$1001,$B97)&gt;1,"Duplicate",IF(AND(D97&lt;&gt;"Withdrawn",G97&lt;&gt;"",COUNTIFS($B$2:$B$1001,$B97,$G$2:$G$1001,G97,$D$2:$D$1001,"&lt;&gt;Withdrawn")&gt;1),"Same-day clash","OK"))))))</f>
        <v/>
      </c>
    </row>
    <row r="98" customFormat="false" ht="15" hidden="false" customHeight="false" outlineLevel="0" collapsed="false">
      <c r="E98" s="26"/>
      <c r="G98" s="23" t="str">
        <f aca="false">IF($A98="","",IFERROR(IF(INDEX(Activities!$C$2:$C$201,MATCH($A98,Activities!$A$2:$A$201,0))="","",INDEX(Activities!$C$2:$C$201,MATCH($A98,Activities!$A$2:$A$201,0))),""))</f>
        <v/>
      </c>
      <c r="H98" s="24" t="str">
        <f aca="false">IF($A98="","",IFERROR(IF(INDEX(Activities!$B$2:$B$201,MATCH($A98,Activities!$A$2:$A$201,0))="","",INDEX(Activities!$B$2:$B$201,MATCH($A98,Activities!$A$2:$A$201,0))),""))</f>
        <v/>
      </c>
      <c r="I98" s="24" t="str">
        <f aca="false">IF($B98="","",IFERROR(IF(INDEX(Students!$C$2:$C$301,MATCH($B98,Students!$A$2:$A$301,0))="","",INDEX(Students!$C$2:$C$301,MATCH($B98,Students!$A$2:$A$301,0))),""))</f>
        <v/>
      </c>
      <c r="J98" s="24" t="str">
        <f aca="false">IF($B98="","",IFERROR(IF(INDEX(Students!$B$2:$B$301,MATCH($B98,Students!$A$2:$A$301,0))="","",INDEX(Students!$B$2:$B$301,MATCH($B98,Students!$A$2:$A$301,0))),""))</f>
        <v/>
      </c>
      <c r="K98" s="25" t="str">
        <f aca="false">IF($A98="","",IF(D98="Withdrawn",0,IF(E98&lt;&gt;"",N(E98),IFERROR(N(INDEX(Activities!$I$2:$I$201,MATCH($A98,Activities!$A$2:$A$201,0))),0))))</f>
        <v/>
      </c>
      <c r="L98" s="24" t="str">
        <f aca="false">IF(AND($A98="",$B98=""),"",IF(ISNA(MATCH($A98,Activities!$A$2:$A$201,0)),"Unknown activity",IF(ISNA(MATCH($B98,Students!$A$2:$A$301,0)),"Unknown student",IF(D98="","No status",IF(COUNTIFS($A$2:$A$1001,$A98,$B$2:$B$1001,$B98)&gt;1,"Duplicate",IF(AND(D98&lt;&gt;"Withdrawn",G98&lt;&gt;"",COUNTIFS($B$2:$B$1001,$B98,$G$2:$G$1001,G98,$D$2:$D$1001,"&lt;&gt;Withdrawn")&gt;1),"Same-day clash","OK"))))))</f>
        <v/>
      </c>
    </row>
    <row r="99" customFormat="false" ht="15" hidden="false" customHeight="false" outlineLevel="0" collapsed="false">
      <c r="E99" s="26"/>
      <c r="G99" s="23" t="str">
        <f aca="false">IF($A99="","",IFERROR(IF(INDEX(Activities!$C$2:$C$201,MATCH($A99,Activities!$A$2:$A$201,0))="","",INDEX(Activities!$C$2:$C$201,MATCH($A99,Activities!$A$2:$A$201,0))),""))</f>
        <v/>
      </c>
      <c r="H99" s="24" t="str">
        <f aca="false">IF($A99="","",IFERROR(IF(INDEX(Activities!$B$2:$B$201,MATCH($A99,Activities!$A$2:$A$201,0))="","",INDEX(Activities!$B$2:$B$201,MATCH($A99,Activities!$A$2:$A$201,0))),""))</f>
        <v/>
      </c>
      <c r="I99" s="24" t="str">
        <f aca="false">IF($B99="","",IFERROR(IF(INDEX(Students!$C$2:$C$301,MATCH($B99,Students!$A$2:$A$301,0))="","",INDEX(Students!$C$2:$C$301,MATCH($B99,Students!$A$2:$A$301,0))),""))</f>
        <v/>
      </c>
      <c r="J99" s="24" t="str">
        <f aca="false">IF($B99="","",IFERROR(IF(INDEX(Students!$B$2:$B$301,MATCH($B99,Students!$A$2:$A$301,0))="","",INDEX(Students!$B$2:$B$301,MATCH($B99,Students!$A$2:$A$301,0))),""))</f>
        <v/>
      </c>
      <c r="K99" s="25" t="str">
        <f aca="false">IF($A99="","",IF(D99="Withdrawn",0,IF(E99&lt;&gt;"",N(E99),IFERROR(N(INDEX(Activities!$I$2:$I$201,MATCH($A99,Activities!$A$2:$A$201,0))),0))))</f>
        <v/>
      </c>
      <c r="L99" s="24" t="str">
        <f aca="false">IF(AND($A99="",$B99=""),"",IF(ISNA(MATCH($A99,Activities!$A$2:$A$201,0)),"Unknown activity",IF(ISNA(MATCH($B99,Students!$A$2:$A$301,0)),"Unknown student",IF(D99="","No status",IF(COUNTIFS($A$2:$A$1001,$A99,$B$2:$B$1001,$B99)&gt;1,"Duplicate",IF(AND(D99&lt;&gt;"Withdrawn",G99&lt;&gt;"",COUNTIFS($B$2:$B$1001,$B99,$G$2:$G$1001,G99,$D$2:$D$1001,"&lt;&gt;Withdrawn")&gt;1),"Same-day clash","OK"))))))</f>
        <v/>
      </c>
    </row>
    <row r="100" customFormat="false" ht="15" hidden="false" customHeight="false" outlineLevel="0" collapsed="false">
      <c r="E100" s="26"/>
      <c r="G100" s="23" t="str">
        <f aca="false">IF($A100="","",IFERROR(IF(INDEX(Activities!$C$2:$C$201,MATCH($A100,Activities!$A$2:$A$201,0))="","",INDEX(Activities!$C$2:$C$201,MATCH($A100,Activities!$A$2:$A$201,0))),""))</f>
        <v/>
      </c>
      <c r="H100" s="24" t="str">
        <f aca="false">IF($A100="","",IFERROR(IF(INDEX(Activities!$B$2:$B$201,MATCH($A100,Activities!$A$2:$A$201,0))="","",INDEX(Activities!$B$2:$B$201,MATCH($A100,Activities!$A$2:$A$201,0))),""))</f>
        <v/>
      </c>
      <c r="I100" s="24" t="str">
        <f aca="false">IF($B100="","",IFERROR(IF(INDEX(Students!$C$2:$C$301,MATCH($B100,Students!$A$2:$A$301,0))="","",INDEX(Students!$C$2:$C$301,MATCH($B100,Students!$A$2:$A$301,0))),""))</f>
        <v/>
      </c>
      <c r="J100" s="24" t="str">
        <f aca="false">IF($B100="","",IFERROR(IF(INDEX(Students!$B$2:$B$301,MATCH($B100,Students!$A$2:$A$301,0))="","",INDEX(Students!$B$2:$B$301,MATCH($B100,Students!$A$2:$A$301,0))),""))</f>
        <v/>
      </c>
      <c r="K100" s="25" t="str">
        <f aca="false">IF($A100="","",IF(D100="Withdrawn",0,IF(E100&lt;&gt;"",N(E100),IFERROR(N(INDEX(Activities!$I$2:$I$201,MATCH($A100,Activities!$A$2:$A$201,0))),0))))</f>
        <v/>
      </c>
      <c r="L100" s="24" t="str">
        <f aca="false">IF(AND($A100="",$B100=""),"",IF(ISNA(MATCH($A100,Activities!$A$2:$A$201,0)),"Unknown activity",IF(ISNA(MATCH($B100,Students!$A$2:$A$301,0)),"Unknown student",IF(D100="","No status",IF(COUNTIFS($A$2:$A$1001,$A100,$B$2:$B$1001,$B100)&gt;1,"Duplicate",IF(AND(D100&lt;&gt;"Withdrawn",G100&lt;&gt;"",COUNTIFS($B$2:$B$1001,$B100,$G$2:$G$1001,G100,$D$2:$D$1001,"&lt;&gt;Withdrawn")&gt;1),"Same-day clash","OK"))))))</f>
        <v/>
      </c>
    </row>
    <row r="101" customFormat="false" ht="15" hidden="false" customHeight="false" outlineLevel="0" collapsed="false">
      <c r="E101" s="26"/>
      <c r="G101" s="23" t="str">
        <f aca="false">IF($A101="","",IFERROR(IF(INDEX(Activities!$C$2:$C$201,MATCH($A101,Activities!$A$2:$A$201,0))="","",INDEX(Activities!$C$2:$C$201,MATCH($A101,Activities!$A$2:$A$201,0))),""))</f>
        <v/>
      </c>
      <c r="H101" s="24" t="str">
        <f aca="false">IF($A101="","",IFERROR(IF(INDEX(Activities!$B$2:$B$201,MATCH($A101,Activities!$A$2:$A$201,0))="","",INDEX(Activities!$B$2:$B$201,MATCH($A101,Activities!$A$2:$A$201,0))),""))</f>
        <v/>
      </c>
      <c r="I101" s="24" t="str">
        <f aca="false">IF($B101="","",IFERROR(IF(INDEX(Students!$C$2:$C$301,MATCH($B101,Students!$A$2:$A$301,0))="","",INDEX(Students!$C$2:$C$301,MATCH($B101,Students!$A$2:$A$301,0))),""))</f>
        <v/>
      </c>
      <c r="J101" s="24" t="str">
        <f aca="false">IF($B101="","",IFERROR(IF(INDEX(Students!$B$2:$B$301,MATCH($B101,Students!$A$2:$A$301,0))="","",INDEX(Students!$B$2:$B$301,MATCH($B101,Students!$A$2:$A$301,0))),""))</f>
        <v/>
      </c>
      <c r="K101" s="25" t="str">
        <f aca="false">IF($A101="","",IF(D101="Withdrawn",0,IF(E101&lt;&gt;"",N(E101),IFERROR(N(INDEX(Activities!$I$2:$I$201,MATCH($A101,Activities!$A$2:$A$201,0))),0))))</f>
        <v/>
      </c>
      <c r="L101" s="24" t="str">
        <f aca="false">IF(AND($A101="",$B101=""),"",IF(ISNA(MATCH($A101,Activities!$A$2:$A$201,0)),"Unknown activity",IF(ISNA(MATCH($B101,Students!$A$2:$A$301,0)),"Unknown student",IF(D101="","No status",IF(COUNTIFS($A$2:$A$1001,$A101,$B$2:$B$1001,$B101)&gt;1,"Duplicate",IF(AND(D101&lt;&gt;"Withdrawn",G101&lt;&gt;"",COUNTIFS($B$2:$B$1001,$B101,$G$2:$G$1001,G101,$D$2:$D$1001,"&lt;&gt;Withdrawn")&gt;1),"Same-day clash","OK"))))))</f>
        <v/>
      </c>
    </row>
    <row r="102" customFormat="false" ht="15" hidden="false" customHeight="false" outlineLevel="0" collapsed="false">
      <c r="E102" s="26"/>
      <c r="G102" s="23" t="str">
        <f aca="false">IF($A102="","",IFERROR(IF(INDEX(Activities!$C$2:$C$201,MATCH($A102,Activities!$A$2:$A$201,0))="","",INDEX(Activities!$C$2:$C$201,MATCH($A102,Activities!$A$2:$A$201,0))),""))</f>
        <v/>
      </c>
      <c r="H102" s="24" t="str">
        <f aca="false">IF($A102="","",IFERROR(IF(INDEX(Activities!$B$2:$B$201,MATCH($A102,Activities!$A$2:$A$201,0))="","",INDEX(Activities!$B$2:$B$201,MATCH($A102,Activities!$A$2:$A$201,0))),""))</f>
        <v/>
      </c>
      <c r="I102" s="24" t="str">
        <f aca="false">IF($B102="","",IFERROR(IF(INDEX(Students!$C$2:$C$301,MATCH($B102,Students!$A$2:$A$301,0))="","",INDEX(Students!$C$2:$C$301,MATCH($B102,Students!$A$2:$A$301,0))),""))</f>
        <v/>
      </c>
      <c r="J102" s="24" t="str">
        <f aca="false">IF($B102="","",IFERROR(IF(INDEX(Students!$B$2:$B$301,MATCH($B102,Students!$A$2:$A$301,0))="","",INDEX(Students!$B$2:$B$301,MATCH($B102,Students!$A$2:$A$301,0))),""))</f>
        <v/>
      </c>
      <c r="K102" s="25" t="str">
        <f aca="false">IF($A102="","",IF(D102="Withdrawn",0,IF(E102&lt;&gt;"",N(E102),IFERROR(N(INDEX(Activities!$I$2:$I$201,MATCH($A102,Activities!$A$2:$A$201,0))),0))))</f>
        <v/>
      </c>
      <c r="L102" s="24" t="str">
        <f aca="false">IF(AND($A102="",$B102=""),"",IF(ISNA(MATCH($A102,Activities!$A$2:$A$201,0)),"Unknown activity",IF(ISNA(MATCH($B102,Students!$A$2:$A$301,0)),"Unknown student",IF(D102="","No status",IF(COUNTIFS($A$2:$A$1001,$A102,$B$2:$B$1001,$B102)&gt;1,"Duplicate",IF(AND(D102&lt;&gt;"Withdrawn",G102&lt;&gt;"",COUNTIFS($B$2:$B$1001,$B102,$G$2:$G$1001,G102,$D$2:$D$1001,"&lt;&gt;Withdrawn")&gt;1),"Same-day clash","OK"))))))</f>
        <v/>
      </c>
    </row>
    <row r="103" customFormat="false" ht="15" hidden="false" customHeight="false" outlineLevel="0" collapsed="false">
      <c r="E103" s="26"/>
      <c r="G103" s="23" t="str">
        <f aca="false">IF($A103="","",IFERROR(IF(INDEX(Activities!$C$2:$C$201,MATCH($A103,Activities!$A$2:$A$201,0))="","",INDEX(Activities!$C$2:$C$201,MATCH($A103,Activities!$A$2:$A$201,0))),""))</f>
        <v/>
      </c>
      <c r="H103" s="24" t="str">
        <f aca="false">IF($A103="","",IFERROR(IF(INDEX(Activities!$B$2:$B$201,MATCH($A103,Activities!$A$2:$A$201,0))="","",INDEX(Activities!$B$2:$B$201,MATCH($A103,Activities!$A$2:$A$201,0))),""))</f>
        <v/>
      </c>
      <c r="I103" s="24" t="str">
        <f aca="false">IF($B103="","",IFERROR(IF(INDEX(Students!$C$2:$C$301,MATCH($B103,Students!$A$2:$A$301,0))="","",INDEX(Students!$C$2:$C$301,MATCH($B103,Students!$A$2:$A$301,0))),""))</f>
        <v/>
      </c>
      <c r="J103" s="24" t="str">
        <f aca="false">IF($B103="","",IFERROR(IF(INDEX(Students!$B$2:$B$301,MATCH($B103,Students!$A$2:$A$301,0))="","",INDEX(Students!$B$2:$B$301,MATCH($B103,Students!$A$2:$A$301,0))),""))</f>
        <v/>
      </c>
      <c r="K103" s="25" t="str">
        <f aca="false">IF($A103="","",IF(D103="Withdrawn",0,IF(E103&lt;&gt;"",N(E103),IFERROR(N(INDEX(Activities!$I$2:$I$201,MATCH($A103,Activities!$A$2:$A$201,0))),0))))</f>
        <v/>
      </c>
      <c r="L103" s="24" t="str">
        <f aca="false">IF(AND($A103="",$B103=""),"",IF(ISNA(MATCH($A103,Activities!$A$2:$A$201,0)),"Unknown activity",IF(ISNA(MATCH($B103,Students!$A$2:$A$301,0)),"Unknown student",IF(D103="","No status",IF(COUNTIFS($A$2:$A$1001,$A103,$B$2:$B$1001,$B103)&gt;1,"Duplicate",IF(AND(D103&lt;&gt;"Withdrawn",G103&lt;&gt;"",COUNTIFS($B$2:$B$1001,$B103,$G$2:$G$1001,G103,$D$2:$D$1001,"&lt;&gt;Withdrawn")&gt;1),"Same-day clash","OK"))))))</f>
        <v/>
      </c>
    </row>
    <row r="104" customFormat="false" ht="15" hidden="false" customHeight="false" outlineLevel="0" collapsed="false">
      <c r="E104" s="26"/>
      <c r="G104" s="23" t="str">
        <f aca="false">IF($A104="","",IFERROR(IF(INDEX(Activities!$C$2:$C$201,MATCH($A104,Activities!$A$2:$A$201,0))="","",INDEX(Activities!$C$2:$C$201,MATCH($A104,Activities!$A$2:$A$201,0))),""))</f>
        <v/>
      </c>
      <c r="H104" s="24" t="str">
        <f aca="false">IF($A104="","",IFERROR(IF(INDEX(Activities!$B$2:$B$201,MATCH($A104,Activities!$A$2:$A$201,0))="","",INDEX(Activities!$B$2:$B$201,MATCH($A104,Activities!$A$2:$A$201,0))),""))</f>
        <v/>
      </c>
      <c r="I104" s="24" t="str">
        <f aca="false">IF($B104="","",IFERROR(IF(INDEX(Students!$C$2:$C$301,MATCH($B104,Students!$A$2:$A$301,0))="","",INDEX(Students!$C$2:$C$301,MATCH($B104,Students!$A$2:$A$301,0))),""))</f>
        <v/>
      </c>
      <c r="J104" s="24" t="str">
        <f aca="false">IF($B104="","",IFERROR(IF(INDEX(Students!$B$2:$B$301,MATCH($B104,Students!$A$2:$A$301,0))="","",INDEX(Students!$B$2:$B$301,MATCH($B104,Students!$A$2:$A$301,0))),""))</f>
        <v/>
      </c>
      <c r="K104" s="25" t="str">
        <f aca="false">IF($A104="","",IF(D104="Withdrawn",0,IF(E104&lt;&gt;"",N(E104),IFERROR(N(INDEX(Activities!$I$2:$I$201,MATCH($A104,Activities!$A$2:$A$201,0))),0))))</f>
        <v/>
      </c>
      <c r="L104" s="24" t="str">
        <f aca="false">IF(AND($A104="",$B104=""),"",IF(ISNA(MATCH($A104,Activities!$A$2:$A$201,0)),"Unknown activity",IF(ISNA(MATCH($B104,Students!$A$2:$A$301,0)),"Unknown student",IF(D104="","No status",IF(COUNTIFS($A$2:$A$1001,$A104,$B$2:$B$1001,$B104)&gt;1,"Duplicate",IF(AND(D104&lt;&gt;"Withdrawn",G104&lt;&gt;"",COUNTIFS($B$2:$B$1001,$B104,$G$2:$G$1001,G104,$D$2:$D$1001,"&lt;&gt;Withdrawn")&gt;1),"Same-day clash","OK"))))))</f>
        <v/>
      </c>
    </row>
    <row r="105" customFormat="false" ht="15" hidden="false" customHeight="false" outlineLevel="0" collapsed="false">
      <c r="E105" s="26"/>
      <c r="G105" s="23" t="str">
        <f aca="false">IF($A105="","",IFERROR(IF(INDEX(Activities!$C$2:$C$201,MATCH($A105,Activities!$A$2:$A$201,0))="","",INDEX(Activities!$C$2:$C$201,MATCH($A105,Activities!$A$2:$A$201,0))),""))</f>
        <v/>
      </c>
      <c r="H105" s="24" t="str">
        <f aca="false">IF($A105="","",IFERROR(IF(INDEX(Activities!$B$2:$B$201,MATCH($A105,Activities!$A$2:$A$201,0))="","",INDEX(Activities!$B$2:$B$201,MATCH($A105,Activities!$A$2:$A$201,0))),""))</f>
        <v/>
      </c>
      <c r="I105" s="24" t="str">
        <f aca="false">IF($B105="","",IFERROR(IF(INDEX(Students!$C$2:$C$301,MATCH($B105,Students!$A$2:$A$301,0))="","",INDEX(Students!$C$2:$C$301,MATCH($B105,Students!$A$2:$A$301,0))),""))</f>
        <v/>
      </c>
      <c r="J105" s="24" t="str">
        <f aca="false">IF($B105="","",IFERROR(IF(INDEX(Students!$B$2:$B$301,MATCH($B105,Students!$A$2:$A$301,0))="","",INDEX(Students!$B$2:$B$301,MATCH($B105,Students!$A$2:$A$301,0))),""))</f>
        <v/>
      </c>
      <c r="K105" s="25" t="str">
        <f aca="false">IF($A105="","",IF(D105="Withdrawn",0,IF(E105&lt;&gt;"",N(E105),IFERROR(N(INDEX(Activities!$I$2:$I$201,MATCH($A105,Activities!$A$2:$A$201,0))),0))))</f>
        <v/>
      </c>
      <c r="L105" s="24" t="str">
        <f aca="false">IF(AND($A105="",$B105=""),"",IF(ISNA(MATCH($A105,Activities!$A$2:$A$201,0)),"Unknown activity",IF(ISNA(MATCH($B105,Students!$A$2:$A$301,0)),"Unknown student",IF(D105="","No status",IF(COUNTIFS($A$2:$A$1001,$A105,$B$2:$B$1001,$B105)&gt;1,"Duplicate",IF(AND(D105&lt;&gt;"Withdrawn",G105&lt;&gt;"",COUNTIFS($B$2:$B$1001,$B105,$G$2:$G$1001,G105,$D$2:$D$1001,"&lt;&gt;Withdrawn")&gt;1),"Same-day clash","OK"))))))</f>
        <v/>
      </c>
    </row>
    <row r="106" customFormat="false" ht="15" hidden="false" customHeight="false" outlineLevel="0" collapsed="false">
      <c r="E106" s="26"/>
      <c r="G106" s="23" t="str">
        <f aca="false">IF($A106="","",IFERROR(IF(INDEX(Activities!$C$2:$C$201,MATCH($A106,Activities!$A$2:$A$201,0))="","",INDEX(Activities!$C$2:$C$201,MATCH($A106,Activities!$A$2:$A$201,0))),""))</f>
        <v/>
      </c>
      <c r="H106" s="24" t="str">
        <f aca="false">IF($A106="","",IFERROR(IF(INDEX(Activities!$B$2:$B$201,MATCH($A106,Activities!$A$2:$A$201,0))="","",INDEX(Activities!$B$2:$B$201,MATCH($A106,Activities!$A$2:$A$201,0))),""))</f>
        <v/>
      </c>
      <c r="I106" s="24" t="str">
        <f aca="false">IF($B106="","",IFERROR(IF(INDEX(Students!$C$2:$C$301,MATCH($B106,Students!$A$2:$A$301,0))="","",INDEX(Students!$C$2:$C$301,MATCH($B106,Students!$A$2:$A$301,0))),""))</f>
        <v/>
      </c>
      <c r="J106" s="24" t="str">
        <f aca="false">IF($B106="","",IFERROR(IF(INDEX(Students!$B$2:$B$301,MATCH($B106,Students!$A$2:$A$301,0))="","",INDEX(Students!$B$2:$B$301,MATCH($B106,Students!$A$2:$A$301,0))),""))</f>
        <v/>
      </c>
      <c r="K106" s="25" t="str">
        <f aca="false">IF($A106="","",IF(D106="Withdrawn",0,IF(E106&lt;&gt;"",N(E106),IFERROR(N(INDEX(Activities!$I$2:$I$201,MATCH($A106,Activities!$A$2:$A$201,0))),0))))</f>
        <v/>
      </c>
      <c r="L106" s="24" t="str">
        <f aca="false">IF(AND($A106="",$B106=""),"",IF(ISNA(MATCH($A106,Activities!$A$2:$A$201,0)),"Unknown activity",IF(ISNA(MATCH($B106,Students!$A$2:$A$301,0)),"Unknown student",IF(D106="","No status",IF(COUNTIFS($A$2:$A$1001,$A106,$B$2:$B$1001,$B106)&gt;1,"Duplicate",IF(AND(D106&lt;&gt;"Withdrawn",G106&lt;&gt;"",COUNTIFS($B$2:$B$1001,$B106,$G$2:$G$1001,G106,$D$2:$D$1001,"&lt;&gt;Withdrawn")&gt;1),"Same-day clash","OK"))))))</f>
        <v/>
      </c>
    </row>
    <row r="107" customFormat="false" ht="15" hidden="false" customHeight="false" outlineLevel="0" collapsed="false">
      <c r="E107" s="26"/>
      <c r="G107" s="23" t="str">
        <f aca="false">IF($A107="","",IFERROR(IF(INDEX(Activities!$C$2:$C$201,MATCH($A107,Activities!$A$2:$A$201,0))="","",INDEX(Activities!$C$2:$C$201,MATCH($A107,Activities!$A$2:$A$201,0))),""))</f>
        <v/>
      </c>
      <c r="H107" s="24" t="str">
        <f aca="false">IF($A107="","",IFERROR(IF(INDEX(Activities!$B$2:$B$201,MATCH($A107,Activities!$A$2:$A$201,0))="","",INDEX(Activities!$B$2:$B$201,MATCH($A107,Activities!$A$2:$A$201,0))),""))</f>
        <v/>
      </c>
      <c r="I107" s="24" t="str">
        <f aca="false">IF($B107="","",IFERROR(IF(INDEX(Students!$C$2:$C$301,MATCH($B107,Students!$A$2:$A$301,0))="","",INDEX(Students!$C$2:$C$301,MATCH($B107,Students!$A$2:$A$301,0))),""))</f>
        <v/>
      </c>
      <c r="J107" s="24" t="str">
        <f aca="false">IF($B107="","",IFERROR(IF(INDEX(Students!$B$2:$B$301,MATCH($B107,Students!$A$2:$A$301,0))="","",INDEX(Students!$B$2:$B$301,MATCH($B107,Students!$A$2:$A$301,0))),""))</f>
        <v/>
      </c>
      <c r="K107" s="25" t="str">
        <f aca="false">IF($A107="","",IF(D107="Withdrawn",0,IF(E107&lt;&gt;"",N(E107),IFERROR(N(INDEX(Activities!$I$2:$I$201,MATCH($A107,Activities!$A$2:$A$201,0))),0))))</f>
        <v/>
      </c>
      <c r="L107" s="24" t="str">
        <f aca="false">IF(AND($A107="",$B107=""),"",IF(ISNA(MATCH($A107,Activities!$A$2:$A$201,0)),"Unknown activity",IF(ISNA(MATCH($B107,Students!$A$2:$A$301,0)),"Unknown student",IF(D107="","No status",IF(COUNTIFS($A$2:$A$1001,$A107,$B$2:$B$1001,$B107)&gt;1,"Duplicate",IF(AND(D107&lt;&gt;"Withdrawn",G107&lt;&gt;"",COUNTIFS($B$2:$B$1001,$B107,$G$2:$G$1001,G107,$D$2:$D$1001,"&lt;&gt;Withdrawn")&gt;1),"Same-day clash","OK"))))))</f>
        <v/>
      </c>
    </row>
    <row r="108" customFormat="false" ht="15" hidden="false" customHeight="false" outlineLevel="0" collapsed="false">
      <c r="E108" s="26"/>
      <c r="G108" s="23" t="str">
        <f aca="false">IF($A108="","",IFERROR(IF(INDEX(Activities!$C$2:$C$201,MATCH($A108,Activities!$A$2:$A$201,0))="","",INDEX(Activities!$C$2:$C$201,MATCH($A108,Activities!$A$2:$A$201,0))),""))</f>
        <v/>
      </c>
      <c r="H108" s="24" t="str">
        <f aca="false">IF($A108="","",IFERROR(IF(INDEX(Activities!$B$2:$B$201,MATCH($A108,Activities!$A$2:$A$201,0))="","",INDEX(Activities!$B$2:$B$201,MATCH($A108,Activities!$A$2:$A$201,0))),""))</f>
        <v/>
      </c>
      <c r="I108" s="24" t="str">
        <f aca="false">IF($B108="","",IFERROR(IF(INDEX(Students!$C$2:$C$301,MATCH($B108,Students!$A$2:$A$301,0))="","",INDEX(Students!$C$2:$C$301,MATCH($B108,Students!$A$2:$A$301,0))),""))</f>
        <v/>
      </c>
      <c r="J108" s="24" t="str">
        <f aca="false">IF($B108="","",IFERROR(IF(INDEX(Students!$B$2:$B$301,MATCH($B108,Students!$A$2:$A$301,0))="","",INDEX(Students!$B$2:$B$301,MATCH($B108,Students!$A$2:$A$301,0))),""))</f>
        <v/>
      </c>
      <c r="K108" s="25" t="str">
        <f aca="false">IF($A108="","",IF(D108="Withdrawn",0,IF(E108&lt;&gt;"",N(E108),IFERROR(N(INDEX(Activities!$I$2:$I$201,MATCH($A108,Activities!$A$2:$A$201,0))),0))))</f>
        <v/>
      </c>
      <c r="L108" s="24" t="str">
        <f aca="false">IF(AND($A108="",$B108=""),"",IF(ISNA(MATCH($A108,Activities!$A$2:$A$201,0)),"Unknown activity",IF(ISNA(MATCH($B108,Students!$A$2:$A$301,0)),"Unknown student",IF(D108="","No status",IF(COUNTIFS($A$2:$A$1001,$A108,$B$2:$B$1001,$B108)&gt;1,"Duplicate",IF(AND(D108&lt;&gt;"Withdrawn",G108&lt;&gt;"",COUNTIFS($B$2:$B$1001,$B108,$G$2:$G$1001,G108,$D$2:$D$1001,"&lt;&gt;Withdrawn")&gt;1),"Same-day clash","OK"))))))</f>
        <v/>
      </c>
    </row>
    <row r="109" customFormat="false" ht="15" hidden="false" customHeight="false" outlineLevel="0" collapsed="false">
      <c r="E109" s="26"/>
      <c r="G109" s="23" t="str">
        <f aca="false">IF($A109="","",IFERROR(IF(INDEX(Activities!$C$2:$C$201,MATCH($A109,Activities!$A$2:$A$201,0))="","",INDEX(Activities!$C$2:$C$201,MATCH($A109,Activities!$A$2:$A$201,0))),""))</f>
        <v/>
      </c>
      <c r="H109" s="24" t="str">
        <f aca="false">IF($A109="","",IFERROR(IF(INDEX(Activities!$B$2:$B$201,MATCH($A109,Activities!$A$2:$A$201,0))="","",INDEX(Activities!$B$2:$B$201,MATCH($A109,Activities!$A$2:$A$201,0))),""))</f>
        <v/>
      </c>
      <c r="I109" s="24" t="str">
        <f aca="false">IF($B109="","",IFERROR(IF(INDEX(Students!$C$2:$C$301,MATCH($B109,Students!$A$2:$A$301,0))="","",INDEX(Students!$C$2:$C$301,MATCH($B109,Students!$A$2:$A$301,0))),""))</f>
        <v/>
      </c>
      <c r="J109" s="24" t="str">
        <f aca="false">IF($B109="","",IFERROR(IF(INDEX(Students!$B$2:$B$301,MATCH($B109,Students!$A$2:$A$301,0))="","",INDEX(Students!$B$2:$B$301,MATCH($B109,Students!$A$2:$A$301,0))),""))</f>
        <v/>
      </c>
      <c r="K109" s="25" t="str">
        <f aca="false">IF($A109="","",IF(D109="Withdrawn",0,IF(E109&lt;&gt;"",N(E109),IFERROR(N(INDEX(Activities!$I$2:$I$201,MATCH($A109,Activities!$A$2:$A$201,0))),0))))</f>
        <v/>
      </c>
      <c r="L109" s="24" t="str">
        <f aca="false">IF(AND($A109="",$B109=""),"",IF(ISNA(MATCH($A109,Activities!$A$2:$A$201,0)),"Unknown activity",IF(ISNA(MATCH($B109,Students!$A$2:$A$301,0)),"Unknown student",IF(D109="","No status",IF(COUNTIFS($A$2:$A$1001,$A109,$B$2:$B$1001,$B109)&gt;1,"Duplicate",IF(AND(D109&lt;&gt;"Withdrawn",G109&lt;&gt;"",COUNTIFS($B$2:$B$1001,$B109,$G$2:$G$1001,G109,$D$2:$D$1001,"&lt;&gt;Withdrawn")&gt;1),"Same-day clash","OK"))))))</f>
        <v/>
      </c>
    </row>
    <row r="110" customFormat="false" ht="15" hidden="false" customHeight="false" outlineLevel="0" collapsed="false">
      <c r="E110" s="26"/>
      <c r="G110" s="23" t="str">
        <f aca="false">IF($A110="","",IFERROR(IF(INDEX(Activities!$C$2:$C$201,MATCH($A110,Activities!$A$2:$A$201,0))="","",INDEX(Activities!$C$2:$C$201,MATCH($A110,Activities!$A$2:$A$201,0))),""))</f>
        <v/>
      </c>
      <c r="H110" s="24" t="str">
        <f aca="false">IF($A110="","",IFERROR(IF(INDEX(Activities!$B$2:$B$201,MATCH($A110,Activities!$A$2:$A$201,0))="","",INDEX(Activities!$B$2:$B$201,MATCH($A110,Activities!$A$2:$A$201,0))),""))</f>
        <v/>
      </c>
      <c r="I110" s="24" t="str">
        <f aca="false">IF($B110="","",IFERROR(IF(INDEX(Students!$C$2:$C$301,MATCH($B110,Students!$A$2:$A$301,0))="","",INDEX(Students!$C$2:$C$301,MATCH($B110,Students!$A$2:$A$301,0))),""))</f>
        <v/>
      </c>
      <c r="J110" s="24" t="str">
        <f aca="false">IF($B110="","",IFERROR(IF(INDEX(Students!$B$2:$B$301,MATCH($B110,Students!$A$2:$A$301,0))="","",INDEX(Students!$B$2:$B$301,MATCH($B110,Students!$A$2:$A$301,0))),""))</f>
        <v/>
      </c>
      <c r="K110" s="25" t="str">
        <f aca="false">IF($A110="","",IF(D110="Withdrawn",0,IF(E110&lt;&gt;"",N(E110),IFERROR(N(INDEX(Activities!$I$2:$I$201,MATCH($A110,Activities!$A$2:$A$201,0))),0))))</f>
        <v/>
      </c>
      <c r="L110" s="24" t="str">
        <f aca="false">IF(AND($A110="",$B110=""),"",IF(ISNA(MATCH($A110,Activities!$A$2:$A$201,0)),"Unknown activity",IF(ISNA(MATCH($B110,Students!$A$2:$A$301,0)),"Unknown student",IF(D110="","No status",IF(COUNTIFS($A$2:$A$1001,$A110,$B$2:$B$1001,$B110)&gt;1,"Duplicate",IF(AND(D110&lt;&gt;"Withdrawn",G110&lt;&gt;"",COUNTIFS($B$2:$B$1001,$B110,$G$2:$G$1001,G110,$D$2:$D$1001,"&lt;&gt;Withdrawn")&gt;1),"Same-day clash","OK"))))))</f>
        <v/>
      </c>
    </row>
    <row r="111" customFormat="false" ht="15" hidden="false" customHeight="false" outlineLevel="0" collapsed="false">
      <c r="E111" s="26"/>
      <c r="G111" s="23" t="str">
        <f aca="false">IF($A111="","",IFERROR(IF(INDEX(Activities!$C$2:$C$201,MATCH($A111,Activities!$A$2:$A$201,0))="","",INDEX(Activities!$C$2:$C$201,MATCH($A111,Activities!$A$2:$A$201,0))),""))</f>
        <v/>
      </c>
      <c r="H111" s="24" t="str">
        <f aca="false">IF($A111="","",IFERROR(IF(INDEX(Activities!$B$2:$B$201,MATCH($A111,Activities!$A$2:$A$201,0))="","",INDEX(Activities!$B$2:$B$201,MATCH($A111,Activities!$A$2:$A$201,0))),""))</f>
        <v/>
      </c>
      <c r="I111" s="24" t="str">
        <f aca="false">IF($B111="","",IFERROR(IF(INDEX(Students!$C$2:$C$301,MATCH($B111,Students!$A$2:$A$301,0))="","",INDEX(Students!$C$2:$C$301,MATCH($B111,Students!$A$2:$A$301,0))),""))</f>
        <v/>
      </c>
      <c r="J111" s="24" t="str">
        <f aca="false">IF($B111="","",IFERROR(IF(INDEX(Students!$B$2:$B$301,MATCH($B111,Students!$A$2:$A$301,0))="","",INDEX(Students!$B$2:$B$301,MATCH($B111,Students!$A$2:$A$301,0))),""))</f>
        <v/>
      </c>
      <c r="K111" s="25" t="str">
        <f aca="false">IF($A111="","",IF(D111="Withdrawn",0,IF(E111&lt;&gt;"",N(E111),IFERROR(N(INDEX(Activities!$I$2:$I$201,MATCH($A111,Activities!$A$2:$A$201,0))),0))))</f>
        <v/>
      </c>
      <c r="L111" s="24" t="str">
        <f aca="false">IF(AND($A111="",$B111=""),"",IF(ISNA(MATCH($A111,Activities!$A$2:$A$201,0)),"Unknown activity",IF(ISNA(MATCH($B111,Students!$A$2:$A$301,0)),"Unknown student",IF(D111="","No status",IF(COUNTIFS($A$2:$A$1001,$A111,$B$2:$B$1001,$B111)&gt;1,"Duplicate",IF(AND(D111&lt;&gt;"Withdrawn",G111&lt;&gt;"",COUNTIFS($B$2:$B$1001,$B111,$G$2:$G$1001,G111,$D$2:$D$1001,"&lt;&gt;Withdrawn")&gt;1),"Same-day clash","OK"))))))</f>
        <v/>
      </c>
    </row>
    <row r="112" customFormat="false" ht="15" hidden="false" customHeight="false" outlineLevel="0" collapsed="false">
      <c r="E112" s="26"/>
      <c r="G112" s="23" t="str">
        <f aca="false">IF($A112="","",IFERROR(IF(INDEX(Activities!$C$2:$C$201,MATCH($A112,Activities!$A$2:$A$201,0))="","",INDEX(Activities!$C$2:$C$201,MATCH($A112,Activities!$A$2:$A$201,0))),""))</f>
        <v/>
      </c>
      <c r="H112" s="24" t="str">
        <f aca="false">IF($A112="","",IFERROR(IF(INDEX(Activities!$B$2:$B$201,MATCH($A112,Activities!$A$2:$A$201,0))="","",INDEX(Activities!$B$2:$B$201,MATCH($A112,Activities!$A$2:$A$201,0))),""))</f>
        <v/>
      </c>
      <c r="I112" s="24" t="str">
        <f aca="false">IF($B112="","",IFERROR(IF(INDEX(Students!$C$2:$C$301,MATCH($B112,Students!$A$2:$A$301,0))="","",INDEX(Students!$C$2:$C$301,MATCH($B112,Students!$A$2:$A$301,0))),""))</f>
        <v/>
      </c>
      <c r="J112" s="24" t="str">
        <f aca="false">IF($B112="","",IFERROR(IF(INDEX(Students!$B$2:$B$301,MATCH($B112,Students!$A$2:$A$301,0))="","",INDEX(Students!$B$2:$B$301,MATCH($B112,Students!$A$2:$A$301,0))),""))</f>
        <v/>
      </c>
      <c r="K112" s="25" t="str">
        <f aca="false">IF($A112="","",IF(D112="Withdrawn",0,IF(E112&lt;&gt;"",N(E112),IFERROR(N(INDEX(Activities!$I$2:$I$201,MATCH($A112,Activities!$A$2:$A$201,0))),0))))</f>
        <v/>
      </c>
      <c r="L112" s="24" t="str">
        <f aca="false">IF(AND($A112="",$B112=""),"",IF(ISNA(MATCH($A112,Activities!$A$2:$A$201,0)),"Unknown activity",IF(ISNA(MATCH($B112,Students!$A$2:$A$301,0)),"Unknown student",IF(D112="","No status",IF(COUNTIFS($A$2:$A$1001,$A112,$B$2:$B$1001,$B112)&gt;1,"Duplicate",IF(AND(D112&lt;&gt;"Withdrawn",G112&lt;&gt;"",COUNTIFS($B$2:$B$1001,$B112,$G$2:$G$1001,G112,$D$2:$D$1001,"&lt;&gt;Withdrawn")&gt;1),"Same-day clash","OK"))))))</f>
        <v/>
      </c>
    </row>
    <row r="113" customFormat="false" ht="15" hidden="false" customHeight="false" outlineLevel="0" collapsed="false">
      <c r="E113" s="26"/>
      <c r="G113" s="23" t="str">
        <f aca="false">IF($A113="","",IFERROR(IF(INDEX(Activities!$C$2:$C$201,MATCH($A113,Activities!$A$2:$A$201,0))="","",INDEX(Activities!$C$2:$C$201,MATCH($A113,Activities!$A$2:$A$201,0))),""))</f>
        <v/>
      </c>
      <c r="H113" s="24" t="str">
        <f aca="false">IF($A113="","",IFERROR(IF(INDEX(Activities!$B$2:$B$201,MATCH($A113,Activities!$A$2:$A$201,0))="","",INDEX(Activities!$B$2:$B$201,MATCH($A113,Activities!$A$2:$A$201,0))),""))</f>
        <v/>
      </c>
      <c r="I113" s="24" t="str">
        <f aca="false">IF($B113="","",IFERROR(IF(INDEX(Students!$C$2:$C$301,MATCH($B113,Students!$A$2:$A$301,0))="","",INDEX(Students!$C$2:$C$301,MATCH($B113,Students!$A$2:$A$301,0))),""))</f>
        <v/>
      </c>
      <c r="J113" s="24" t="str">
        <f aca="false">IF($B113="","",IFERROR(IF(INDEX(Students!$B$2:$B$301,MATCH($B113,Students!$A$2:$A$301,0))="","",INDEX(Students!$B$2:$B$301,MATCH($B113,Students!$A$2:$A$301,0))),""))</f>
        <v/>
      </c>
      <c r="K113" s="25" t="str">
        <f aca="false">IF($A113="","",IF(D113="Withdrawn",0,IF(E113&lt;&gt;"",N(E113),IFERROR(N(INDEX(Activities!$I$2:$I$201,MATCH($A113,Activities!$A$2:$A$201,0))),0))))</f>
        <v/>
      </c>
      <c r="L113" s="24" t="str">
        <f aca="false">IF(AND($A113="",$B113=""),"",IF(ISNA(MATCH($A113,Activities!$A$2:$A$201,0)),"Unknown activity",IF(ISNA(MATCH($B113,Students!$A$2:$A$301,0)),"Unknown student",IF(D113="","No status",IF(COUNTIFS($A$2:$A$1001,$A113,$B$2:$B$1001,$B113)&gt;1,"Duplicate",IF(AND(D113&lt;&gt;"Withdrawn",G113&lt;&gt;"",COUNTIFS($B$2:$B$1001,$B113,$G$2:$G$1001,G113,$D$2:$D$1001,"&lt;&gt;Withdrawn")&gt;1),"Same-day clash","OK"))))))</f>
        <v/>
      </c>
    </row>
    <row r="114" customFormat="false" ht="15" hidden="false" customHeight="false" outlineLevel="0" collapsed="false">
      <c r="E114" s="26"/>
      <c r="G114" s="23" t="str">
        <f aca="false">IF($A114="","",IFERROR(IF(INDEX(Activities!$C$2:$C$201,MATCH($A114,Activities!$A$2:$A$201,0))="","",INDEX(Activities!$C$2:$C$201,MATCH($A114,Activities!$A$2:$A$201,0))),""))</f>
        <v/>
      </c>
      <c r="H114" s="24" t="str">
        <f aca="false">IF($A114="","",IFERROR(IF(INDEX(Activities!$B$2:$B$201,MATCH($A114,Activities!$A$2:$A$201,0))="","",INDEX(Activities!$B$2:$B$201,MATCH($A114,Activities!$A$2:$A$201,0))),""))</f>
        <v/>
      </c>
      <c r="I114" s="24" t="str">
        <f aca="false">IF($B114="","",IFERROR(IF(INDEX(Students!$C$2:$C$301,MATCH($B114,Students!$A$2:$A$301,0))="","",INDEX(Students!$C$2:$C$301,MATCH($B114,Students!$A$2:$A$301,0))),""))</f>
        <v/>
      </c>
      <c r="J114" s="24" t="str">
        <f aca="false">IF($B114="","",IFERROR(IF(INDEX(Students!$B$2:$B$301,MATCH($B114,Students!$A$2:$A$301,0))="","",INDEX(Students!$B$2:$B$301,MATCH($B114,Students!$A$2:$A$301,0))),""))</f>
        <v/>
      </c>
      <c r="K114" s="25" t="str">
        <f aca="false">IF($A114="","",IF(D114="Withdrawn",0,IF(E114&lt;&gt;"",N(E114),IFERROR(N(INDEX(Activities!$I$2:$I$201,MATCH($A114,Activities!$A$2:$A$201,0))),0))))</f>
        <v/>
      </c>
      <c r="L114" s="24" t="str">
        <f aca="false">IF(AND($A114="",$B114=""),"",IF(ISNA(MATCH($A114,Activities!$A$2:$A$201,0)),"Unknown activity",IF(ISNA(MATCH($B114,Students!$A$2:$A$301,0)),"Unknown student",IF(D114="","No status",IF(COUNTIFS($A$2:$A$1001,$A114,$B$2:$B$1001,$B114)&gt;1,"Duplicate",IF(AND(D114&lt;&gt;"Withdrawn",G114&lt;&gt;"",COUNTIFS($B$2:$B$1001,$B114,$G$2:$G$1001,G114,$D$2:$D$1001,"&lt;&gt;Withdrawn")&gt;1),"Same-day clash","OK"))))))</f>
        <v/>
      </c>
    </row>
    <row r="115" customFormat="false" ht="15" hidden="false" customHeight="false" outlineLevel="0" collapsed="false">
      <c r="E115" s="26"/>
      <c r="G115" s="23" t="str">
        <f aca="false">IF($A115="","",IFERROR(IF(INDEX(Activities!$C$2:$C$201,MATCH($A115,Activities!$A$2:$A$201,0))="","",INDEX(Activities!$C$2:$C$201,MATCH($A115,Activities!$A$2:$A$201,0))),""))</f>
        <v/>
      </c>
      <c r="H115" s="24" t="str">
        <f aca="false">IF($A115="","",IFERROR(IF(INDEX(Activities!$B$2:$B$201,MATCH($A115,Activities!$A$2:$A$201,0))="","",INDEX(Activities!$B$2:$B$201,MATCH($A115,Activities!$A$2:$A$201,0))),""))</f>
        <v/>
      </c>
      <c r="I115" s="24" t="str">
        <f aca="false">IF($B115="","",IFERROR(IF(INDEX(Students!$C$2:$C$301,MATCH($B115,Students!$A$2:$A$301,0))="","",INDEX(Students!$C$2:$C$301,MATCH($B115,Students!$A$2:$A$301,0))),""))</f>
        <v/>
      </c>
      <c r="J115" s="24" t="str">
        <f aca="false">IF($B115="","",IFERROR(IF(INDEX(Students!$B$2:$B$301,MATCH($B115,Students!$A$2:$A$301,0))="","",INDEX(Students!$B$2:$B$301,MATCH($B115,Students!$A$2:$A$301,0))),""))</f>
        <v/>
      </c>
      <c r="K115" s="25" t="str">
        <f aca="false">IF($A115="","",IF(D115="Withdrawn",0,IF(E115&lt;&gt;"",N(E115),IFERROR(N(INDEX(Activities!$I$2:$I$201,MATCH($A115,Activities!$A$2:$A$201,0))),0))))</f>
        <v/>
      </c>
      <c r="L115" s="24" t="str">
        <f aca="false">IF(AND($A115="",$B115=""),"",IF(ISNA(MATCH($A115,Activities!$A$2:$A$201,0)),"Unknown activity",IF(ISNA(MATCH($B115,Students!$A$2:$A$301,0)),"Unknown student",IF(D115="","No status",IF(COUNTIFS($A$2:$A$1001,$A115,$B$2:$B$1001,$B115)&gt;1,"Duplicate",IF(AND(D115&lt;&gt;"Withdrawn",G115&lt;&gt;"",COUNTIFS($B$2:$B$1001,$B115,$G$2:$G$1001,G115,$D$2:$D$1001,"&lt;&gt;Withdrawn")&gt;1),"Same-day clash","OK"))))))</f>
        <v/>
      </c>
    </row>
    <row r="116" customFormat="false" ht="15" hidden="false" customHeight="false" outlineLevel="0" collapsed="false">
      <c r="E116" s="26"/>
      <c r="G116" s="23" t="str">
        <f aca="false">IF($A116="","",IFERROR(IF(INDEX(Activities!$C$2:$C$201,MATCH($A116,Activities!$A$2:$A$201,0))="","",INDEX(Activities!$C$2:$C$201,MATCH($A116,Activities!$A$2:$A$201,0))),""))</f>
        <v/>
      </c>
      <c r="H116" s="24" t="str">
        <f aca="false">IF($A116="","",IFERROR(IF(INDEX(Activities!$B$2:$B$201,MATCH($A116,Activities!$A$2:$A$201,0))="","",INDEX(Activities!$B$2:$B$201,MATCH($A116,Activities!$A$2:$A$201,0))),""))</f>
        <v/>
      </c>
      <c r="I116" s="24" t="str">
        <f aca="false">IF($B116="","",IFERROR(IF(INDEX(Students!$C$2:$C$301,MATCH($B116,Students!$A$2:$A$301,0))="","",INDEX(Students!$C$2:$C$301,MATCH($B116,Students!$A$2:$A$301,0))),""))</f>
        <v/>
      </c>
      <c r="J116" s="24" t="str">
        <f aca="false">IF($B116="","",IFERROR(IF(INDEX(Students!$B$2:$B$301,MATCH($B116,Students!$A$2:$A$301,0))="","",INDEX(Students!$B$2:$B$301,MATCH($B116,Students!$A$2:$A$301,0))),""))</f>
        <v/>
      </c>
      <c r="K116" s="25" t="str">
        <f aca="false">IF($A116="","",IF(D116="Withdrawn",0,IF(E116&lt;&gt;"",N(E116),IFERROR(N(INDEX(Activities!$I$2:$I$201,MATCH($A116,Activities!$A$2:$A$201,0))),0))))</f>
        <v/>
      </c>
      <c r="L116" s="24" t="str">
        <f aca="false">IF(AND($A116="",$B116=""),"",IF(ISNA(MATCH($A116,Activities!$A$2:$A$201,0)),"Unknown activity",IF(ISNA(MATCH($B116,Students!$A$2:$A$301,0)),"Unknown student",IF(D116="","No status",IF(COUNTIFS($A$2:$A$1001,$A116,$B$2:$B$1001,$B116)&gt;1,"Duplicate",IF(AND(D116&lt;&gt;"Withdrawn",G116&lt;&gt;"",COUNTIFS($B$2:$B$1001,$B116,$G$2:$G$1001,G116,$D$2:$D$1001,"&lt;&gt;Withdrawn")&gt;1),"Same-day clash","OK"))))))</f>
        <v/>
      </c>
    </row>
    <row r="117" customFormat="false" ht="15" hidden="false" customHeight="false" outlineLevel="0" collapsed="false">
      <c r="E117" s="26"/>
      <c r="G117" s="23" t="str">
        <f aca="false">IF($A117="","",IFERROR(IF(INDEX(Activities!$C$2:$C$201,MATCH($A117,Activities!$A$2:$A$201,0))="","",INDEX(Activities!$C$2:$C$201,MATCH($A117,Activities!$A$2:$A$201,0))),""))</f>
        <v/>
      </c>
      <c r="H117" s="24" t="str">
        <f aca="false">IF($A117="","",IFERROR(IF(INDEX(Activities!$B$2:$B$201,MATCH($A117,Activities!$A$2:$A$201,0))="","",INDEX(Activities!$B$2:$B$201,MATCH($A117,Activities!$A$2:$A$201,0))),""))</f>
        <v/>
      </c>
      <c r="I117" s="24" t="str">
        <f aca="false">IF($B117="","",IFERROR(IF(INDEX(Students!$C$2:$C$301,MATCH($B117,Students!$A$2:$A$301,0))="","",INDEX(Students!$C$2:$C$301,MATCH($B117,Students!$A$2:$A$301,0))),""))</f>
        <v/>
      </c>
      <c r="J117" s="24" t="str">
        <f aca="false">IF($B117="","",IFERROR(IF(INDEX(Students!$B$2:$B$301,MATCH($B117,Students!$A$2:$A$301,0))="","",INDEX(Students!$B$2:$B$301,MATCH($B117,Students!$A$2:$A$301,0))),""))</f>
        <v/>
      </c>
      <c r="K117" s="25" t="str">
        <f aca="false">IF($A117="","",IF(D117="Withdrawn",0,IF(E117&lt;&gt;"",N(E117),IFERROR(N(INDEX(Activities!$I$2:$I$201,MATCH($A117,Activities!$A$2:$A$201,0))),0))))</f>
        <v/>
      </c>
      <c r="L117" s="24" t="str">
        <f aca="false">IF(AND($A117="",$B117=""),"",IF(ISNA(MATCH($A117,Activities!$A$2:$A$201,0)),"Unknown activity",IF(ISNA(MATCH($B117,Students!$A$2:$A$301,0)),"Unknown student",IF(D117="","No status",IF(COUNTIFS($A$2:$A$1001,$A117,$B$2:$B$1001,$B117)&gt;1,"Duplicate",IF(AND(D117&lt;&gt;"Withdrawn",G117&lt;&gt;"",COUNTIFS($B$2:$B$1001,$B117,$G$2:$G$1001,G117,$D$2:$D$1001,"&lt;&gt;Withdrawn")&gt;1),"Same-day clash","OK"))))))</f>
        <v/>
      </c>
    </row>
    <row r="118" customFormat="false" ht="15" hidden="false" customHeight="false" outlineLevel="0" collapsed="false">
      <c r="E118" s="26"/>
      <c r="G118" s="23" t="str">
        <f aca="false">IF($A118="","",IFERROR(IF(INDEX(Activities!$C$2:$C$201,MATCH($A118,Activities!$A$2:$A$201,0))="","",INDEX(Activities!$C$2:$C$201,MATCH($A118,Activities!$A$2:$A$201,0))),""))</f>
        <v/>
      </c>
      <c r="H118" s="24" t="str">
        <f aca="false">IF($A118="","",IFERROR(IF(INDEX(Activities!$B$2:$B$201,MATCH($A118,Activities!$A$2:$A$201,0))="","",INDEX(Activities!$B$2:$B$201,MATCH($A118,Activities!$A$2:$A$201,0))),""))</f>
        <v/>
      </c>
      <c r="I118" s="24" t="str">
        <f aca="false">IF($B118="","",IFERROR(IF(INDEX(Students!$C$2:$C$301,MATCH($B118,Students!$A$2:$A$301,0))="","",INDEX(Students!$C$2:$C$301,MATCH($B118,Students!$A$2:$A$301,0))),""))</f>
        <v/>
      </c>
      <c r="J118" s="24" t="str">
        <f aca="false">IF($B118="","",IFERROR(IF(INDEX(Students!$B$2:$B$301,MATCH($B118,Students!$A$2:$A$301,0))="","",INDEX(Students!$B$2:$B$301,MATCH($B118,Students!$A$2:$A$301,0))),""))</f>
        <v/>
      </c>
      <c r="K118" s="25" t="str">
        <f aca="false">IF($A118="","",IF(D118="Withdrawn",0,IF(E118&lt;&gt;"",N(E118),IFERROR(N(INDEX(Activities!$I$2:$I$201,MATCH($A118,Activities!$A$2:$A$201,0))),0))))</f>
        <v/>
      </c>
      <c r="L118" s="24" t="str">
        <f aca="false">IF(AND($A118="",$B118=""),"",IF(ISNA(MATCH($A118,Activities!$A$2:$A$201,0)),"Unknown activity",IF(ISNA(MATCH($B118,Students!$A$2:$A$301,0)),"Unknown student",IF(D118="","No status",IF(COUNTIFS($A$2:$A$1001,$A118,$B$2:$B$1001,$B118)&gt;1,"Duplicate",IF(AND(D118&lt;&gt;"Withdrawn",G118&lt;&gt;"",COUNTIFS($B$2:$B$1001,$B118,$G$2:$G$1001,G118,$D$2:$D$1001,"&lt;&gt;Withdrawn")&gt;1),"Same-day clash","OK"))))))</f>
        <v/>
      </c>
    </row>
    <row r="119" customFormat="false" ht="15" hidden="false" customHeight="false" outlineLevel="0" collapsed="false">
      <c r="E119" s="26"/>
      <c r="G119" s="23" t="str">
        <f aca="false">IF($A119="","",IFERROR(IF(INDEX(Activities!$C$2:$C$201,MATCH($A119,Activities!$A$2:$A$201,0))="","",INDEX(Activities!$C$2:$C$201,MATCH($A119,Activities!$A$2:$A$201,0))),""))</f>
        <v/>
      </c>
      <c r="H119" s="24" t="str">
        <f aca="false">IF($A119="","",IFERROR(IF(INDEX(Activities!$B$2:$B$201,MATCH($A119,Activities!$A$2:$A$201,0))="","",INDEX(Activities!$B$2:$B$201,MATCH($A119,Activities!$A$2:$A$201,0))),""))</f>
        <v/>
      </c>
      <c r="I119" s="24" t="str">
        <f aca="false">IF($B119="","",IFERROR(IF(INDEX(Students!$C$2:$C$301,MATCH($B119,Students!$A$2:$A$301,0))="","",INDEX(Students!$C$2:$C$301,MATCH($B119,Students!$A$2:$A$301,0))),""))</f>
        <v/>
      </c>
      <c r="J119" s="24" t="str">
        <f aca="false">IF($B119="","",IFERROR(IF(INDEX(Students!$B$2:$B$301,MATCH($B119,Students!$A$2:$A$301,0))="","",INDEX(Students!$B$2:$B$301,MATCH($B119,Students!$A$2:$A$301,0))),""))</f>
        <v/>
      </c>
      <c r="K119" s="25" t="str">
        <f aca="false">IF($A119="","",IF(D119="Withdrawn",0,IF(E119&lt;&gt;"",N(E119),IFERROR(N(INDEX(Activities!$I$2:$I$201,MATCH($A119,Activities!$A$2:$A$201,0))),0))))</f>
        <v/>
      </c>
      <c r="L119" s="24" t="str">
        <f aca="false">IF(AND($A119="",$B119=""),"",IF(ISNA(MATCH($A119,Activities!$A$2:$A$201,0)),"Unknown activity",IF(ISNA(MATCH($B119,Students!$A$2:$A$301,0)),"Unknown student",IF(D119="","No status",IF(COUNTIFS($A$2:$A$1001,$A119,$B$2:$B$1001,$B119)&gt;1,"Duplicate",IF(AND(D119&lt;&gt;"Withdrawn",G119&lt;&gt;"",COUNTIFS($B$2:$B$1001,$B119,$G$2:$G$1001,G119,$D$2:$D$1001,"&lt;&gt;Withdrawn")&gt;1),"Same-day clash","OK"))))))</f>
        <v/>
      </c>
    </row>
    <row r="120" customFormat="false" ht="15" hidden="false" customHeight="false" outlineLevel="0" collapsed="false">
      <c r="E120" s="26"/>
      <c r="G120" s="23" t="str">
        <f aca="false">IF($A120="","",IFERROR(IF(INDEX(Activities!$C$2:$C$201,MATCH($A120,Activities!$A$2:$A$201,0))="","",INDEX(Activities!$C$2:$C$201,MATCH($A120,Activities!$A$2:$A$201,0))),""))</f>
        <v/>
      </c>
      <c r="H120" s="24" t="str">
        <f aca="false">IF($A120="","",IFERROR(IF(INDEX(Activities!$B$2:$B$201,MATCH($A120,Activities!$A$2:$A$201,0))="","",INDEX(Activities!$B$2:$B$201,MATCH($A120,Activities!$A$2:$A$201,0))),""))</f>
        <v/>
      </c>
      <c r="I120" s="24" t="str">
        <f aca="false">IF($B120="","",IFERROR(IF(INDEX(Students!$C$2:$C$301,MATCH($B120,Students!$A$2:$A$301,0))="","",INDEX(Students!$C$2:$C$301,MATCH($B120,Students!$A$2:$A$301,0))),""))</f>
        <v/>
      </c>
      <c r="J120" s="24" t="str">
        <f aca="false">IF($B120="","",IFERROR(IF(INDEX(Students!$B$2:$B$301,MATCH($B120,Students!$A$2:$A$301,0))="","",INDEX(Students!$B$2:$B$301,MATCH($B120,Students!$A$2:$A$301,0))),""))</f>
        <v/>
      </c>
      <c r="K120" s="25" t="str">
        <f aca="false">IF($A120="","",IF(D120="Withdrawn",0,IF(E120&lt;&gt;"",N(E120),IFERROR(N(INDEX(Activities!$I$2:$I$201,MATCH($A120,Activities!$A$2:$A$201,0))),0))))</f>
        <v/>
      </c>
      <c r="L120" s="24" t="str">
        <f aca="false">IF(AND($A120="",$B120=""),"",IF(ISNA(MATCH($A120,Activities!$A$2:$A$201,0)),"Unknown activity",IF(ISNA(MATCH($B120,Students!$A$2:$A$301,0)),"Unknown student",IF(D120="","No status",IF(COUNTIFS($A$2:$A$1001,$A120,$B$2:$B$1001,$B120)&gt;1,"Duplicate",IF(AND(D120&lt;&gt;"Withdrawn",G120&lt;&gt;"",COUNTIFS($B$2:$B$1001,$B120,$G$2:$G$1001,G120,$D$2:$D$1001,"&lt;&gt;Withdrawn")&gt;1),"Same-day clash","OK"))))))</f>
        <v/>
      </c>
    </row>
    <row r="121" customFormat="false" ht="15" hidden="false" customHeight="false" outlineLevel="0" collapsed="false">
      <c r="E121" s="26"/>
      <c r="G121" s="23" t="str">
        <f aca="false">IF($A121="","",IFERROR(IF(INDEX(Activities!$C$2:$C$201,MATCH($A121,Activities!$A$2:$A$201,0))="","",INDEX(Activities!$C$2:$C$201,MATCH($A121,Activities!$A$2:$A$201,0))),""))</f>
        <v/>
      </c>
      <c r="H121" s="24" t="str">
        <f aca="false">IF($A121="","",IFERROR(IF(INDEX(Activities!$B$2:$B$201,MATCH($A121,Activities!$A$2:$A$201,0))="","",INDEX(Activities!$B$2:$B$201,MATCH($A121,Activities!$A$2:$A$201,0))),""))</f>
        <v/>
      </c>
      <c r="I121" s="24" t="str">
        <f aca="false">IF($B121="","",IFERROR(IF(INDEX(Students!$C$2:$C$301,MATCH($B121,Students!$A$2:$A$301,0))="","",INDEX(Students!$C$2:$C$301,MATCH($B121,Students!$A$2:$A$301,0))),""))</f>
        <v/>
      </c>
      <c r="J121" s="24" t="str">
        <f aca="false">IF($B121="","",IFERROR(IF(INDEX(Students!$B$2:$B$301,MATCH($B121,Students!$A$2:$A$301,0))="","",INDEX(Students!$B$2:$B$301,MATCH($B121,Students!$A$2:$A$301,0))),""))</f>
        <v/>
      </c>
      <c r="K121" s="25" t="str">
        <f aca="false">IF($A121="","",IF(D121="Withdrawn",0,IF(E121&lt;&gt;"",N(E121),IFERROR(N(INDEX(Activities!$I$2:$I$201,MATCH($A121,Activities!$A$2:$A$201,0))),0))))</f>
        <v/>
      </c>
      <c r="L121" s="24" t="str">
        <f aca="false">IF(AND($A121="",$B121=""),"",IF(ISNA(MATCH($A121,Activities!$A$2:$A$201,0)),"Unknown activity",IF(ISNA(MATCH($B121,Students!$A$2:$A$301,0)),"Unknown student",IF(D121="","No status",IF(COUNTIFS($A$2:$A$1001,$A121,$B$2:$B$1001,$B121)&gt;1,"Duplicate",IF(AND(D121&lt;&gt;"Withdrawn",G121&lt;&gt;"",COUNTIFS($B$2:$B$1001,$B121,$G$2:$G$1001,G121,$D$2:$D$1001,"&lt;&gt;Withdrawn")&gt;1),"Same-day clash","OK"))))))</f>
        <v/>
      </c>
    </row>
    <row r="122" customFormat="false" ht="15" hidden="false" customHeight="false" outlineLevel="0" collapsed="false">
      <c r="E122" s="26"/>
      <c r="G122" s="23" t="str">
        <f aca="false">IF($A122="","",IFERROR(IF(INDEX(Activities!$C$2:$C$201,MATCH($A122,Activities!$A$2:$A$201,0))="","",INDEX(Activities!$C$2:$C$201,MATCH($A122,Activities!$A$2:$A$201,0))),""))</f>
        <v/>
      </c>
      <c r="H122" s="24" t="str">
        <f aca="false">IF($A122="","",IFERROR(IF(INDEX(Activities!$B$2:$B$201,MATCH($A122,Activities!$A$2:$A$201,0))="","",INDEX(Activities!$B$2:$B$201,MATCH($A122,Activities!$A$2:$A$201,0))),""))</f>
        <v/>
      </c>
      <c r="I122" s="24" t="str">
        <f aca="false">IF($B122="","",IFERROR(IF(INDEX(Students!$C$2:$C$301,MATCH($B122,Students!$A$2:$A$301,0))="","",INDEX(Students!$C$2:$C$301,MATCH($B122,Students!$A$2:$A$301,0))),""))</f>
        <v/>
      </c>
      <c r="J122" s="24" t="str">
        <f aca="false">IF($B122="","",IFERROR(IF(INDEX(Students!$B$2:$B$301,MATCH($B122,Students!$A$2:$A$301,0))="","",INDEX(Students!$B$2:$B$301,MATCH($B122,Students!$A$2:$A$301,0))),""))</f>
        <v/>
      </c>
      <c r="K122" s="25" t="str">
        <f aca="false">IF($A122="","",IF(D122="Withdrawn",0,IF(E122&lt;&gt;"",N(E122),IFERROR(N(INDEX(Activities!$I$2:$I$201,MATCH($A122,Activities!$A$2:$A$201,0))),0))))</f>
        <v/>
      </c>
      <c r="L122" s="24" t="str">
        <f aca="false">IF(AND($A122="",$B122=""),"",IF(ISNA(MATCH($A122,Activities!$A$2:$A$201,0)),"Unknown activity",IF(ISNA(MATCH($B122,Students!$A$2:$A$301,0)),"Unknown student",IF(D122="","No status",IF(COUNTIFS($A$2:$A$1001,$A122,$B$2:$B$1001,$B122)&gt;1,"Duplicate",IF(AND(D122&lt;&gt;"Withdrawn",G122&lt;&gt;"",COUNTIFS($B$2:$B$1001,$B122,$G$2:$G$1001,G122,$D$2:$D$1001,"&lt;&gt;Withdrawn")&gt;1),"Same-day clash","OK"))))))</f>
        <v/>
      </c>
    </row>
    <row r="123" customFormat="false" ht="15" hidden="false" customHeight="false" outlineLevel="0" collapsed="false">
      <c r="E123" s="26"/>
      <c r="G123" s="23" t="str">
        <f aca="false">IF($A123="","",IFERROR(IF(INDEX(Activities!$C$2:$C$201,MATCH($A123,Activities!$A$2:$A$201,0))="","",INDEX(Activities!$C$2:$C$201,MATCH($A123,Activities!$A$2:$A$201,0))),""))</f>
        <v/>
      </c>
      <c r="H123" s="24" t="str">
        <f aca="false">IF($A123="","",IFERROR(IF(INDEX(Activities!$B$2:$B$201,MATCH($A123,Activities!$A$2:$A$201,0))="","",INDEX(Activities!$B$2:$B$201,MATCH($A123,Activities!$A$2:$A$201,0))),""))</f>
        <v/>
      </c>
      <c r="I123" s="24" t="str">
        <f aca="false">IF($B123="","",IFERROR(IF(INDEX(Students!$C$2:$C$301,MATCH($B123,Students!$A$2:$A$301,0))="","",INDEX(Students!$C$2:$C$301,MATCH($B123,Students!$A$2:$A$301,0))),""))</f>
        <v/>
      </c>
      <c r="J123" s="24" t="str">
        <f aca="false">IF($B123="","",IFERROR(IF(INDEX(Students!$B$2:$B$301,MATCH($B123,Students!$A$2:$A$301,0))="","",INDEX(Students!$B$2:$B$301,MATCH($B123,Students!$A$2:$A$301,0))),""))</f>
        <v/>
      </c>
      <c r="K123" s="25" t="str">
        <f aca="false">IF($A123="","",IF(D123="Withdrawn",0,IF(E123&lt;&gt;"",N(E123),IFERROR(N(INDEX(Activities!$I$2:$I$201,MATCH($A123,Activities!$A$2:$A$201,0))),0))))</f>
        <v/>
      </c>
      <c r="L123" s="24" t="str">
        <f aca="false">IF(AND($A123="",$B123=""),"",IF(ISNA(MATCH($A123,Activities!$A$2:$A$201,0)),"Unknown activity",IF(ISNA(MATCH($B123,Students!$A$2:$A$301,0)),"Unknown student",IF(D123="","No status",IF(COUNTIFS($A$2:$A$1001,$A123,$B$2:$B$1001,$B123)&gt;1,"Duplicate",IF(AND(D123&lt;&gt;"Withdrawn",G123&lt;&gt;"",COUNTIFS($B$2:$B$1001,$B123,$G$2:$G$1001,G123,$D$2:$D$1001,"&lt;&gt;Withdrawn")&gt;1),"Same-day clash","OK"))))))</f>
        <v/>
      </c>
    </row>
    <row r="124" customFormat="false" ht="15" hidden="false" customHeight="false" outlineLevel="0" collapsed="false">
      <c r="E124" s="26"/>
      <c r="G124" s="23" t="str">
        <f aca="false">IF($A124="","",IFERROR(IF(INDEX(Activities!$C$2:$C$201,MATCH($A124,Activities!$A$2:$A$201,0))="","",INDEX(Activities!$C$2:$C$201,MATCH($A124,Activities!$A$2:$A$201,0))),""))</f>
        <v/>
      </c>
      <c r="H124" s="24" t="str">
        <f aca="false">IF($A124="","",IFERROR(IF(INDEX(Activities!$B$2:$B$201,MATCH($A124,Activities!$A$2:$A$201,0))="","",INDEX(Activities!$B$2:$B$201,MATCH($A124,Activities!$A$2:$A$201,0))),""))</f>
        <v/>
      </c>
      <c r="I124" s="24" t="str">
        <f aca="false">IF($B124="","",IFERROR(IF(INDEX(Students!$C$2:$C$301,MATCH($B124,Students!$A$2:$A$301,0))="","",INDEX(Students!$C$2:$C$301,MATCH($B124,Students!$A$2:$A$301,0))),""))</f>
        <v/>
      </c>
      <c r="J124" s="24" t="str">
        <f aca="false">IF($B124="","",IFERROR(IF(INDEX(Students!$B$2:$B$301,MATCH($B124,Students!$A$2:$A$301,0))="","",INDEX(Students!$B$2:$B$301,MATCH($B124,Students!$A$2:$A$301,0))),""))</f>
        <v/>
      </c>
      <c r="K124" s="25" t="str">
        <f aca="false">IF($A124="","",IF(D124="Withdrawn",0,IF(E124&lt;&gt;"",N(E124),IFERROR(N(INDEX(Activities!$I$2:$I$201,MATCH($A124,Activities!$A$2:$A$201,0))),0))))</f>
        <v/>
      </c>
      <c r="L124" s="24" t="str">
        <f aca="false">IF(AND($A124="",$B124=""),"",IF(ISNA(MATCH($A124,Activities!$A$2:$A$201,0)),"Unknown activity",IF(ISNA(MATCH($B124,Students!$A$2:$A$301,0)),"Unknown student",IF(D124="","No status",IF(COUNTIFS($A$2:$A$1001,$A124,$B$2:$B$1001,$B124)&gt;1,"Duplicate",IF(AND(D124&lt;&gt;"Withdrawn",G124&lt;&gt;"",COUNTIFS($B$2:$B$1001,$B124,$G$2:$G$1001,G124,$D$2:$D$1001,"&lt;&gt;Withdrawn")&gt;1),"Same-day clash","OK"))))))</f>
        <v/>
      </c>
    </row>
    <row r="125" customFormat="false" ht="15" hidden="false" customHeight="false" outlineLevel="0" collapsed="false">
      <c r="E125" s="26"/>
      <c r="G125" s="23" t="str">
        <f aca="false">IF($A125="","",IFERROR(IF(INDEX(Activities!$C$2:$C$201,MATCH($A125,Activities!$A$2:$A$201,0))="","",INDEX(Activities!$C$2:$C$201,MATCH($A125,Activities!$A$2:$A$201,0))),""))</f>
        <v/>
      </c>
      <c r="H125" s="24" t="str">
        <f aca="false">IF($A125="","",IFERROR(IF(INDEX(Activities!$B$2:$B$201,MATCH($A125,Activities!$A$2:$A$201,0))="","",INDEX(Activities!$B$2:$B$201,MATCH($A125,Activities!$A$2:$A$201,0))),""))</f>
        <v/>
      </c>
      <c r="I125" s="24" t="str">
        <f aca="false">IF($B125="","",IFERROR(IF(INDEX(Students!$C$2:$C$301,MATCH($B125,Students!$A$2:$A$301,0))="","",INDEX(Students!$C$2:$C$301,MATCH($B125,Students!$A$2:$A$301,0))),""))</f>
        <v/>
      </c>
      <c r="J125" s="24" t="str">
        <f aca="false">IF($B125="","",IFERROR(IF(INDEX(Students!$B$2:$B$301,MATCH($B125,Students!$A$2:$A$301,0))="","",INDEX(Students!$B$2:$B$301,MATCH($B125,Students!$A$2:$A$301,0))),""))</f>
        <v/>
      </c>
      <c r="K125" s="25" t="str">
        <f aca="false">IF($A125="","",IF(D125="Withdrawn",0,IF(E125&lt;&gt;"",N(E125),IFERROR(N(INDEX(Activities!$I$2:$I$201,MATCH($A125,Activities!$A$2:$A$201,0))),0))))</f>
        <v/>
      </c>
      <c r="L125" s="24" t="str">
        <f aca="false">IF(AND($A125="",$B125=""),"",IF(ISNA(MATCH($A125,Activities!$A$2:$A$201,0)),"Unknown activity",IF(ISNA(MATCH($B125,Students!$A$2:$A$301,0)),"Unknown student",IF(D125="","No status",IF(COUNTIFS($A$2:$A$1001,$A125,$B$2:$B$1001,$B125)&gt;1,"Duplicate",IF(AND(D125&lt;&gt;"Withdrawn",G125&lt;&gt;"",COUNTIFS($B$2:$B$1001,$B125,$G$2:$G$1001,G125,$D$2:$D$1001,"&lt;&gt;Withdrawn")&gt;1),"Same-day clash","OK"))))))</f>
        <v/>
      </c>
    </row>
    <row r="126" customFormat="false" ht="15" hidden="false" customHeight="false" outlineLevel="0" collapsed="false">
      <c r="E126" s="26"/>
      <c r="G126" s="23" t="str">
        <f aca="false">IF($A126="","",IFERROR(IF(INDEX(Activities!$C$2:$C$201,MATCH($A126,Activities!$A$2:$A$201,0))="","",INDEX(Activities!$C$2:$C$201,MATCH($A126,Activities!$A$2:$A$201,0))),""))</f>
        <v/>
      </c>
      <c r="H126" s="24" t="str">
        <f aca="false">IF($A126="","",IFERROR(IF(INDEX(Activities!$B$2:$B$201,MATCH($A126,Activities!$A$2:$A$201,0))="","",INDEX(Activities!$B$2:$B$201,MATCH($A126,Activities!$A$2:$A$201,0))),""))</f>
        <v/>
      </c>
      <c r="I126" s="24" t="str">
        <f aca="false">IF($B126="","",IFERROR(IF(INDEX(Students!$C$2:$C$301,MATCH($B126,Students!$A$2:$A$301,0))="","",INDEX(Students!$C$2:$C$301,MATCH($B126,Students!$A$2:$A$301,0))),""))</f>
        <v/>
      </c>
      <c r="J126" s="24" t="str">
        <f aca="false">IF($B126="","",IFERROR(IF(INDEX(Students!$B$2:$B$301,MATCH($B126,Students!$A$2:$A$301,0))="","",INDEX(Students!$B$2:$B$301,MATCH($B126,Students!$A$2:$A$301,0))),""))</f>
        <v/>
      </c>
      <c r="K126" s="25" t="str">
        <f aca="false">IF($A126="","",IF(D126="Withdrawn",0,IF(E126&lt;&gt;"",N(E126),IFERROR(N(INDEX(Activities!$I$2:$I$201,MATCH($A126,Activities!$A$2:$A$201,0))),0))))</f>
        <v/>
      </c>
      <c r="L126" s="24" t="str">
        <f aca="false">IF(AND($A126="",$B126=""),"",IF(ISNA(MATCH($A126,Activities!$A$2:$A$201,0)),"Unknown activity",IF(ISNA(MATCH($B126,Students!$A$2:$A$301,0)),"Unknown student",IF(D126="","No status",IF(COUNTIFS($A$2:$A$1001,$A126,$B$2:$B$1001,$B126)&gt;1,"Duplicate",IF(AND(D126&lt;&gt;"Withdrawn",G126&lt;&gt;"",COUNTIFS($B$2:$B$1001,$B126,$G$2:$G$1001,G126,$D$2:$D$1001,"&lt;&gt;Withdrawn")&gt;1),"Same-day clash","OK"))))))</f>
        <v/>
      </c>
    </row>
    <row r="127" customFormat="false" ht="15" hidden="false" customHeight="false" outlineLevel="0" collapsed="false">
      <c r="E127" s="26"/>
      <c r="G127" s="23" t="str">
        <f aca="false">IF($A127="","",IFERROR(IF(INDEX(Activities!$C$2:$C$201,MATCH($A127,Activities!$A$2:$A$201,0))="","",INDEX(Activities!$C$2:$C$201,MATCH($A127,Activities!$A$2:$A$201,0))),""))</f>
        <v/>
      </c>
      <c r="H127" s="24" t="str">
        <f aca="false">IF($A127="","",IFERROR(IF(INDEX(Activities!$B$2:$B$201,MATCH($A127,Activities!$A$2:$A$201,0))="","",INDEX(Activities!$B$2:$B$201,MATCH($A127,Activities!$A$2:$A$201,0))),""))</f>
        <v/>
      </c>
      <c r="I127" s="24" t="str">
        <f aca="false">IF($B127="","",IFERROR(IF(INDEX(Students!$C$2:$C$301,MATCH($B127,Students!$A$2:$A$301,0))="","",INDEX(Students!$C$2:$C$301,MATCH($B127,Students!$A$2:$A$301,0))),""))</f>
        <v/>
      </c>
      <c r="J127" s="24" t="str">
        <f aca="false">IF($B127="","",IFERROR(IF(INDEX(Students!$B$2:$B$301,MATCH($B127,Students!$A$2:$A$301,0))="","",INDEX(Students!$B$2:$B$301,MATCH($B127,Students!$A$2:$A$301,0))),""))</f>
        <v/>
      </c>
      <c r="K127" s="25" t="str">
        <f aca="false">IF($A127="","",IF(D127="Withdrawn",0,IF(E127&lt;&gt;"",N(E127),IFERROR(N(INDEX(Activities!$I$2:$I$201,MATCH($A127,Activities!$A$2:$A$201,0))),0))))</f>
        <v/>
      </c>
      <c r="L127" s="24" t="str">
        <f aca="false">IF(AND($A127="",$B127=""),"",IF(ISNA(MATCH($A127,Activities!$A$2:$A$201,0)),"Unknown activity",IF(ISNA(MATCH($B127,Students!$A$2:$A$301,0)),"Unknown student",IF(D127="","No status",IF(COUNTIFS($A$2:$A$1001,$A127,$B$2:$B$1001,$B127)&gt;1,"Duplicate",IF(AND(D127&lt;&gt;"Withdrawn",G127&lt;&gt;"",COUNTIFS($B$2:$B$1001,$B127,$G$2:$G$1001,G127,$D$2:$D$1001,"&lt;&gt;Withdrawn")&gt;1),"Same-day clash","OK"))))))</f>
        <v/>
      </c>
    </row>
    <row r="128" customFormat="false" ht="15" hidden="false" customHeight="false" outlineLevel="0" collapsed="false">
      <c r="E128" s="26"/>
      <c r="G128" s="23" t="str">
        <f aca="false">IF($A128="","",IFERROR(IF(INDEX(Activities!$C$2:$C$201,MATCH($A128,Activities!$A$2:$A$201,0))="","",INDEX(Activities!$C$2:$C$201,MATCH($A128,Activities!$A$2:$A$201,0))),""))</f>
        <v/>
      </c>
      <c r="H128" s="24" t="str">
        <f aca="false">IF($A128="","",IFERROR(IF(INDEX(Activities!$B$2:$B$201,MATCH($A128,Activities!$A$2:$A$201,0))="","",INDEX(Activities!$B$2:$B$201,MATCH($A128,Activities!$A$2:$A$201,0))),""))</f>
        <v/>
      </c>
      <c r="I128" s="24" t="str">
        <f aca="false">IF($B128="","",IFERROR(IF(INDEX(Students!$C$2:$C$301,MATCH($B128,Students!$A$2:$A$301,0))="","",INDEX(Students!$C$2:$C$301,MATCH($B128,Students!$A$2:$A$301,0))),""))</f>
        <v/>
      </c>
      <c r="J128" s="24" t="str">
        <f aca="false">IF($B128="","",IFERROR(IF(INDEX(Students!$B$2:$B$301,MATCH($B128,Students!$A$2:$A$301,0))="","",INDEX(Students!$B$2:$B$301,MATCH($B128,Students!$A$2:$A$301,0))),""))</f>
        <v/>
      </c>
      <c r="K128" s="25" t="str">
        <f aca="false">IF($A128="","",IF(D128="Withdrawn",0,IF(E128&lt;&gt;"",N(E128),IFERROR(N(INDEX(Activities!$I$2:$I$201,MATCH($A128,Activities!$A$2:$A$201,0))),0))))</f>
        <v/>
      </c>
      <c r="L128" s="24" t="str">
        <f aca="false">IF(AND($A128="",$B128=""),"",IF(ISNA(MATCH($A128,Activities!$A$2:$A$201,0)),"Unknown activity",IF(ISNA(MATCH($B128,Students!$A$2:$A$301,0)),"Unknown student",IF(D128="","No status",IF(COUNTIFS($A$2:$A$1001,$A128,$B$2:$B$1001,$B128)&gt;1,"Duplicate",IF(AND(D128&lt;&gt;"Withdrawn",G128&lt;&gt;"",COUNTIFS($B$2:$B$1001,$B128,$G$2:$G$1001,G128,$D$2:$D$1001,"&lt;&gt;Withdrawn")&gt;1),"Same-day clash","OK"))))))</f>
        <v/>
      </c>
    </row>
    <row r="129" customFormat="false" ht="15" hidden="false" customHeight="false" outlineLevel="0" collapsed="false">
      <c r="E129" s="26"/>
      <c r="G129" s="23" t="str">
        <f aca="false">IF($A129="","",IFERROR(IF(INDEX(Activities!$C$2:$C$201,MATCH($A129,Activities!$A$2:$A$201,0))="","",INDEX(Activities!$C$2:$C$201,MATCH($A129,Activities!$A$2:$A$201,0))),""))</f>
        <v/>
      </c>
      <c r="H129" s="24" t="str">
        <f aca="false">IF($A129="","",IFERROR(IF(INDEX(Activities!$B$2:$B$201,MATCH($A129,Activities!$A$2:$A$201,0))="","",INDEX(Activities!$B$2:$B$201,MATCH($A129,Activities!$A$2:$A$201,0))),""))</f>
        <v/>
      </c>
      <c r="I129" s="24" t="str">
        <f aca="false">IF($B129="","",IFERROR(IF(INDEX(Students!$C$2:$C$301,MATCH($B129,Students!$A$2:$A$301,0))="","",INDEX(Students!$C$2:$C$301,MATCH($B129,Students!$A$2:$A$301,0))),""))</f>
        <v/>
      </c>
      <c r="J129" s="24" t="str">
        <f aca="false">IF($B129="","",IFERROR(IF(INDEX(Students!$B$2:$B$301,MATCH($B129,Students!$A$2:$A$301,0))="","",INDEX(Students!$B$2:$B$301,MATCH($B129,Students!$A$2:$A$301,0))),""))</f>
        <v/>
      </c>
      <c r="K129" s="25" t="str">
        <f aca="false">IF($A129="","",IF(D129="Withdrawn",0,IF(E129&lt;&gt;"",N(E129),IFERROR(N(INDEX(Activities!$I$2:$I$201,MATCH($A129,Activities!$A$2:$A$201,0))),0))))</f>
        <v/>
      </c>
      <c r="L129" s="24" t="str">
        <f aca="false">IF(AND($A129="",$B129=""),"",IF(ISNA(MATCH($A129,Activities!$A$2:$A$201,0)),"Unknown activity",IF(ISNA(MATCH($B129,Students!$A$2:$A$301,0)),"Unknown student",IF(D129="","No status",IF(COUNTIFS($A$2:$A$1001,$A129,$B$2:$B$1001,$B129)&gt;1,"Duplicate",IF(AND(D129&lt;&gt;"Withdrawn",G129&lt;&gt;"",COUNTIFS($B$2:$B$1001,$B129,$G$2:$G$1001,G129,$D$2:$D$1001,"&lt;&gt;Withdrawn")&gt;1),"Same-day clash","OK"))))))</f>
        <v/>
      </c>
    </row>
    <row r="130" customFormat="false" ht="15" hidden="false" customHeight="false" outlineLevel="0" collapsed="false">
      <c r="E130" s="26"/>
      <c r="G130" s="23" t="str">
        <f aca="false">IF($A130="","",IFERROR(IF(INDEX(Activities!$C$2:$C$201,MATCH($A130,Activities!$A$2:$A$201,0))="","",INDEX(Activities!$C$2:$C$201,MATCH($A130,Activities!$A$2:$A$201,0))),""))</f>
        <v/>
      </c>
      <c r="H130" s="24" t="str">
        <f aca="false">IF($A130="","",IFERROR(IF(INDEX(Activities!$B$2:$B$201,MATCH($A130,Activities!$A$2:$A$201,0))="","",INDEX(Activities!$B$2:$B$201,MATCH($A130,Activities!$A$2:$A$201,0))),""))</f>
        <v/>
      </c>
      <c r="I130" s="24" t="str">
        <f aca="false">IF($B130="","",IFERROR(IF(INDEX(Students!$C$2:$C$301,MATCH($B130,Students!$A$2:$A$301,0))="","",INDEX(Students!$C$2:$C$301,MATCH($B130,Students!$A$2:$A$301,0))),""))</f>
        <v/>
      </c>
      <c r="J130" s="24" t="str">
        <f aca="false">IF($B130="","",IFERROR(IF(INDEX(Students!$B$2:$B$301,MATCH($B130,Students!$A$2:$A$301,0))="","",INDEX(Students!$B$2:$B$301,MATCH($B130,Students!$A$2:$A$301,0))),""))</f>
        <v/>
      </c>
      <c r="K130" s="25" t="str">
        <f aca="false">IF($A130="","",IF(D130="Withdrawn",0,IF(E130&lt;&gt;"",N(E130),IFERROR(N(INDEX(Activities!$I$2:$I$201,MATCH($A130,Activities!$A$2:$A$201,0))),0))))</f>
        <v/>
      </c>
      <c r="L130" s="24" t="str">
        <f aca="false">IF(AND($A130="",$B130=""),"",IF(ISNA(MATCH($A130,Activities!$A$2:$A$201,0)),"Unknown activity",IF(ISNA(MATCH($B130,Students!$A$2:$A$301,0)),"Unknown student",IF(D130="","No status",IF(COUNTIFS($A$2:$A$1001,$A130,$B$2:$B$1001,$B130)&gt;1,"Duplicate",IF(AND(D130&lt;&gt;"Withdrawn",G130&lt;&gt;"",COUNTIFS($B$2:$B$1001,$B130,$G$2:$G$1001,G130,$D$2:$D$1001,"&lt;&gt;Withdrawn")&gt;1),"Same-day clash","OK"))))))</f>
        <v/>
      </c>
    </row>
    <row r="131" customFormat="false" ht="15" hidden="false" customHeight="false" outlineLevel="0" collapsed="false">
      <c r="E131" s="26"/>
      <c r="G131" s="23" t="str">
        <f aca="false">IF($A131="","",IFERROR(IF(INDEX(Activities!$C$2:$C$201,MATCH($A131,Activities!$A$2:$A$201,0))="","",INDEX(Activities!$C$2:$C$201,MATCH($A131,Activities!$A$2:$A$201,0))),""))</f>
        <v/>
      </c>
      <c r="H131" s="24" t="str">
        <f aca="false">IF($A131="","",IFERROR(IF(INDEX(Activities!$B$2:$B$201,MATCH($A131,Activities!$A$2:$A$201,0))="","",INDEX(Activities!$B$2:$B$201,MATCH($A131,Activities!$A$2:$A$201,0))),""))</f>
        <v/>
      </c>
      <c r="I131" s="24" t="str">
        <f aca="false">IF($B131="","",IFERROR(IF(INDEX(Students!$C$2:$C$301,MATCH($B131,Students!$A$2:$A$301,0))="","",INDEX(Students!$C$2:$C$301,MATCH($B131,Students!$A$2:$A$301,0))),""))</f>
        <v/>
      </c>
      <c r="J131" s="24" t="str">
        <f aca="false">IF($B131="","",IFERROR(IF(INDEX(Students!$B$2:$B$301,MATCH($B131,Students!$A$2:$A$301,0))="","",INDEX(Students!$B$2:$B$301,MATCH($B131,Students!$A$2:$A$301,0))),""))</f>
        <v/>
      </c>
      <c r="K131" s="25" t="str">
        <f aca="false">IF($A131="","",IF(D131="Withdrawn",0,IF(E131&lt;&gt;"",N(E131),IFERROR(N(INDEX(Activities!$I$2:$I$201,MATCH($A131,Activities!$A$2:$A$201,0))),0))))</f>
        <v/>
      </c>
      <c r="L131" s="24" t="str">
        <f aca="false">IF(AND($A131="",$B131=""),"",IF(ISNA(MATCH($A131,Activities!$A$2:$A$201,0)),"Unknown activity",IF(ISNA(MATCH($B131,Students!$A$2:$A$301,0)),"Unknown student",IF(D131="","No status",IF(COUNTIFS($A$2:$A$1001,$A131,$B$2:$B$1001,$B131)&gt;1,"Duplicate",IF(AND(D131&lt;&gt;"Withdrawn",G131&lt;&gt;"",COUNTIFS($B$2:$B$1001,$B131,$G$2:$G$1001,G131,$D$2:$D$1001,"&lt;&gt;Withdrawn")&gt;1),"Same-day clash","OK"))))))</f>
        <v/>
      </c>
    </row>
    <row r="132" customFormat="false" ht="15" hidden="false" customHeight="false" outlineLevel="0" collapsed="false">
      <c r="E132" s="26"/>
      <c r="G132" s="23" t="str">
        <f aca="false">IF($A132="","",IFERROR(IF(INDEX(Activities!$C$2:$C$201,MATCH($A132,Activities!$A$2:$A$201,0))="","",INDEX(Activities!$C$2:$C$201,MATCH($A132,Activities!$A$2:$A$201,0))),""))</f>
        <v/>
      </c>
      <c r="H132" s="24" t="str">
        <f aca="false">IF($A132="","",IFERROR(IF(INDEX(Activities!$B$2:$B$201,MATCH($A132,Activities!$A$2:$A$201,0))="","",INDEX(Activities!$B$2:$B$201,MATCH($A132,Activities!$A$2:$A$201,0))),""))</f>
        <v/>
      </c>
      <c r="I132" s="24" t="str">
        <f aca="false">IF($B132="","",IFERROR(IF(INDEX(Students!$C$2:$C$301,MATCH($B132,Students!$A$2:$A$301,0))="","",INDEX(Students!$C$2:$C$301,MATCH($B132,Students!$A$2:$A$301,0))),""))</f>
        <v/>
      </c>
      <c r="J132" s="24" t="str">
        <f aca="false">IF($B132="","",IFERROR(IF(INDEX(Students!$B$2:$B$301,MATCH($B132,Students!$A$2:$A$301,0))="","",INDEX(Students!$B$2:$B$301,MATCH($B132,Students!$A$2:$A$301,0))),""))</f>
        <v/>
      </c>
      <c r="K132" s="25" t="str">
        <f aca="false">IF($A132="","",IF(D132="Withdrawn",0,IF(E132&lt;&gt;"",N(E132),IFERROR(N(INDEX(Activities!$I$2:$I$201,MATCH($A132,Activities!$A$2:$A$201,0))),0))))</f>
        <v/>
      </c>
      <c r="L132" s="24" t="str">
        <f aca="false">IF(AND($A132="",$B132=""),"",IF(ISNA(MATCH($A132,Activities!$A$2:$A$201,0)),"Unknown activity",IF(ISNA(MATCH($B132,Students!$A$2:$A$301,0)),"Unknown student",IF(D132="","No status",IF(COUNTIFS($A$2:$A$1001,$A132,$B$2:$B$1001,$B132)&gt;1,"Duplicate",IF(AND(D132&lt;&gt;"Withdrawn",G132&lt;&gt;"",COUNTIFS($B$2:$B$1001,$B132,$G$2:$G$1001,G132,$D$2:$D$1001,"&lt;&gt;Withdrawn")&gt;1),"Same-day clash","OK"))))))</f>
        <v/>
      </c>
    </row>
    <row r="133" customFormat="false" ht="15" hidden="false" customHeight="false" outlineLevel="0" collapsed="false">
      <c r="E133" s="26"/>
      <c r="G133" s="23" t="str">
        <f aca="false">IF($A133="","",IFERROR(IF(INDEX(Activities!$C$2:$C$201,MATCH($A133,Activities!$A$2:$A$201,0))="","",INDEX(Activities!$C$2:$C$201,MATCH($A133,Activities!$A$2:$A$201,0))),""))</f>
        <v/>
      </c>
      <c r="H133" s="24" t="str">
        <f aca="false">IF($A133="","",IFERROR(IF(INDEX(Activities!$B$2:$B$201,MATCH($A133,Activities!$A$2:$A$201,0))="","",INDEX(Activities!$B$2:$B$201,MATCH($A133,Activities!$A$2:$A$201,0))),""))</f>
        <v/>
      </c>
      <c r="I133" s="24" t="str">
        <f aca="false">IF($B133="","",IFERROR(IF(INDEX(Students!$C$2:$C$301,MATCH($B133,Students!$A$2:$A$301,0))="","",INDEX(Students!$C$2:$C$301,MATCH($B133,Students!$A$2:$A$301,0))),""))</f>
        <v/>
      </c>
      <c r="J133" s="24" t="str">
        <f aca="false">IF($B133="","",IFERROR(IF(INDEX(Students!$B$2:$B$301,MATCH($B133,Students!$A$2:$A$301,0))="","",INDEX(Students!$B$2:$B$301,MATCH($B133,Students!$A$2:$A$301,0))),""))</f>
        <v/>
      </c>
      <c r="K133" s="25" t="str">
        <f aca="false">IF($A133="","",IF(D133="Withdrawn",0,IF(E133&lt;&gt;"",N(E133),IFERROR(N(INDEX(Activities!$I$2:$I$201,MATCH($A133,Activities!$A$2:$A$201,0))),0))))</f>
        <v/>
      </c>
      <c r="L133" s="24" t="str">
        <f aca="false">IF(AND($A133="",$B133=""),"",IF(ISNA(MATCH($A133,Activities!$A$2:$A$201,0)),"Unknown activity",IF(ISNA(MATCH($B133,Students!$A$2:$A$301,0)),"Unknown student",IF(D133="","No status",IF(COUNTIFS($A$2:$A$1001,$A133,$B$2:$B$1001,$B133)&gt;1,"Duplicate",IF(AND(D133&lt;&gt;"Withdrawn",G133&lt;&gt;"",COUNTIFS($B$2:$B$1001,$B133,$G$2:$G$1001,G133,$D$2:$D$1001,"&lt;&gt;Withdrawn")&gt;1),"Same-day clash","OK"))))))</f>
        <v/>
      </c>
    </row>
    <row r="134" customFormat="false" ht="15" hidden="false" customHeight="false" outlineLevel="0" collapsed="false">
      <c r="E134" s="26"/>
      <c r="G134" s="23" t="str">
        <f aca="false">IF($A134="","",IFERROR(IF(INDEX(Activities!$C$2:$C$201,MATCH($A134,Activities!$A$2:$A$201,0))="","",INDEX(Activities!$C$2:$C$201,MATCH($A134,Activities!$A$2:$A$201,0))),""))</f>
        <v/>
      </c>
      <c r="H134" s="24" t="str">
        <f aca="false">IF($A134="","",IFERROR(IF(INDEX(Activities!$B$2:$B$201,MATCH($A134,Activities!$A$2:$A$201,0))="","",INDEX(Activities!$B$2:$B$201,MATCH($A134,Activities!$A$2:$A$201,0))),""))</f>
        <v/>
      </c>
      <c r="I134" s="24" t="str">
        <f aca="false">IF($B134="","",IFERROR(IF(INDEX(Students!$C$2:$C$301,MATCH($B134,Students!$A$2:$A$301,0))="","",INDEX(Students!$C$2:$C$301,MATCH($B134,Students!$A$2:$A$301,0))),""))</f>
        <v/>
      </c>
      <c r="J134" s="24" t="str">
        <f aca="false">IF($B134="","",IFERROR(IF(INDEX(Students!$B$2:$B$301,MATCH($B134,Students!$A$2:$A$301,0))="","",INDEX(Students!$B$2:$B$301,MATCH($B134,Students!$A$2:$A$301,0))),""))</f>
        <v/>
      </c>
      <c r="K134" s="25" t="str">
        <f aca="false">IF($A134="","",IF(D134="Withdrawn",0,IF(E134&lt;&gt;"",N(E134),IFERROR(N(INDEX(Activities!$I$2:$I$201,MATCH($A134,Activities!$A$2:$A$201,0))),0))))</f>
        <v/>
      </c>
      <c r="L134" s="24" t="str">
        <f aca="false">IF(AND($A134="",$B134=""),"",IF(ISNA(MATCH($A134,Activities!$A$2:$A$201,0)),"Unknown activity",IF(ISNA(MATCH($B134,Students!$A$2:$A$301,0)),"Unknown student",IF(D134="","No status",IF(COUNTIFS($A$2:$A$1001,$A134,$B$2:$B$1001,$B134)&gt;1,"Duplicate",IF(AND(D134&lt;&gt;"Withdrawn",G134&lt;&gt;"",COUNTIFS($B$2:$B$1001,$B134,$G$2:$G$1001,G134,$D$2:$D$1001,"&lt;&gt;Withdrawn")&gt;1),"Same-day clash","OK"))))))</f>
        <v/>
      </c>
    </row>
    <row r="135" customFormat="false" ht="15" hidden="false" customHeight="false" outlineLevel="0" collapsed="false">
      <c r="E135" s="26"/>
      <c r="G135" s="23" t="str">
        <f aca="false">IF($A135="","",IFERROR(IF(INDEX(Activities!$C$2:$C$201,MATCH($A135,Activities!$A$2:$A$201,0))="","",INDEX(Activities!$C$2:$C$201,MATCH($A135,Activities!$A$2:$A$201,0))),""))</f>
        <v/>
      </c>
      <c r="H135" s="24" t="str">
        <f aca="false">IF($A135="","",IFERROR(IF(INDEX(Activities!$B$2:$B$201,MATCH($A135,Activities!$A$2:$A$201,0))="","",INDEX(Activities!$B$2:$B$201,MATCH($A135,Activities!$A$2:$A$201,0))),""))</f>
        <v/>
      </c>
      <c r="I135" s="24" t="str">
        <f aca="false">IF($B135="","",IFERROR(IF(INDEX(Students!$C$2:$C$301,MATCH($B135,Students!$A$2:$A$301,0))="","",INDEX(Students!$C$2:$C$301,MATCH($B135,Students!$A$2:$A$301,0))),""))</f>
        <v/>
      </c>
      <c r="J135" s="24" t="str">
        <f aca="false">IF($B135="","",IFERROR(IF(INDEX(Students!$B$2:$B$301,MATCH($B135,Students!$A$2:$A$301,0))="","",INDEX(Students!$B$2:$B$301,MATCH($B135,Students!$A$2:$A$301,0))),""))</f>
        <v/>
      </c>
      <c r="K135" s="25" t="str">
        <f aca="false">IF($A135="","",IF(D135="Withdrawn",0,IF(E135&lt;&gt;"",N(E135),IFERROR(N(INDEX(Activities!$I$2:$I$201,MATCH($A135,Activities!$A$2:$A$201,0))),0))))</f>
        <v/>
      </c>
      <c r="L135" s="24" t="str">
        <f aca="false">IF(AND($A135="",$B135=""),"",IF(ISNA(MATCH($A135,Activities!$A$2:$A$201,0)),"Unknown activity",IF(ISNA(MATCH($B135,Students!$A$2:$A$301,0)),"Unknown student",IF(D135="","No status",IF(COUNTIFS($A$2:$A$1001,$A135,$B$2:$B$1001,$B135)&gt;1,"Duplicate",IF(AND(D135&lt;&gt;"Withdrawn",G135&lt;&gt;"",COUNTIFS($B$2:$B$1001,$B135,$G$2:$G$1001,G135,$D$2:$D$1001,"&lt;&gt;Withdrawn")&gt;1),"Same-day clash","OK"))))))</f>
        <v/>
      </c>
    </row>
    <row r="136" customFormat="false" ht="15" hidden="false" customHeight="false" outlineLevel="0" collapsed="false">
      <c r="E136" s="26"/>
      <c r="G136" s="23" t="str">
        <f aca="false">IF($A136="","",IFERROR(IF(INDEX(Activities!$C$2:$C$201,MATCH($A136,Activities!$A$2:$A$201,0))="","",INDEX(Activities!$C$2:$C$201,MATCH($A136,Activities!$A$2:$A$201,0))),""))</f>
        <v/>
      </c>
      <c r="H136" s="24" t="str">
        <f aca="false">IF($A136="","",IFERROR(IF(INDEX(Activities!$B$2:$B$201,MATCH($A136,Activities!$A$2:$A$201,0))="","",INDEX(Activities!$B$2:$B$201,MATCH($A136,Activities!$A$2:$A$201,0))),""))</f>
        <v/>
      </c>
      <c r="I136" s="24" t="str">
        <f aca="false">IF($B136="","",IFERROR(IF(INDEX(Students!$C$2:$C$301,MATCH($B136,Students!$A$2:$A$301,0))="","",INDEX(Students!$C$2:$C$301,MATCH($B136,Students!$A$2:$A$301,0))),""))</f>
        <v/>
      </c>
      <c r="J136" s="24" t="str">
        <f aca="false">IF($B136="","",IFERROR(IF(INDEX(Students!$B$2:$B$301,MATCH($B136,Students!$A$2:$A$301,0))="","",INDEX(Students!$B$2:$B$301,MATCH($B136,Students!$A$2:$A$301,0))),""))</f>
        <v/>
      </c>
      <c r="K136" s="25" t="str">
        <f aca="false">IF($A136="","",IF(D136="Withdrawn",0,IF(E136&lt;&gt;"",N(E136),IFERROR(N(INDEX(Activities!$I$2:$I$201,MATCH($A136,Activities!$A$2:$A$201,0))),0))))</f>
        <v/>
      </c>
      <c r="L136" s="24" t="str">
        <f aca="false">IF(AND($A136="",$B136=""),"",IF(ISNA(MATCH($A136,Activities!$A$2:$A$201,0)),"Unknown activity",IF(ISNA(MATCH($B136,Students!$A$2:$A$301,0)),"Unknown student",IF(D136="","No status",IF(COUNTIFS($A$2:$A$1001,$A136,$B$2:$B$1001,$B136)&gt;1,"Duplicate",IF(AND(D136&lt;&gt;"Withdrawn",G136&lt;&gt;"",COUNTIFS($B$2:$B$1001,$B136,$G$2:$G$1001,G136,$D$2:$D$1001,"&lt;&gt;Withdrawn")&gt;1),"Same-day clash","OK"))))))</f>
        <v/>
      </c>
    </row>
    <row r="137" customFormat="false" ht="15" hidden="false" customHeight="false" outlineLevel="0" collapsed="false">
      <c r="E137" s="26"/>
      <c r="G137" s="23" t="str">
        <f aca="false">IF($A137="","",IFERROR(IF(INDEX(Activities!$C$2:$C$201,MATCH($A137,Activities!$A$2:$A$201,0))="","",INDEX(Activities!$C$2:$C$201,MATCH($A137,Activities!$A$2:$A$201,0))),""))</f>
        <v/>
      </c>
      <c r="H137" s="24" t="str">
        <f aca="false">IF($A137="","",IFERROR(IF(INDEX(Activities!$B$2:$B$201,MATCH($A137,Activities!$A$2:$A$201,0))="","",INDEX(Activities!$B$2:$B$201,MATCH($A137,Activities!$A$2:$A$201,0))),""))</f>
        <v/>
      </c>
      <c r="I137" s="24" t="str">
        <f aca="false">IF($B137="","",IFERROR(IF(INDEX(Students!$C$2:$C$301,MATCH($B137,Students!$A$2:$A$301,0))="","",INDEX(Students!$C$2:$C$301,MATCH($B137,Students!$A$2:$A$301,0))),""))</f>
        <v/>
      </c>
      <c r="J137" s="24" t="str">
        <f aca="false">IF($B137="","",IFERROR(IF(INDEX(Students!$B$2:$B$301,MATCH($B137,Students!$A$2:$A$301,0))="","",INDEX(Students!$B$2:$B$301,MATCH($B137,Students!$A$2:$A$301,0))),""))</f>
        <v/>
      </c>
      <c r="K137" s="25" t="str">
        <f aca="false">IF($A137="","",IF(D137="Withdrawn",0,IF(E137&lt;&gt;"",N(E137),IFERROR(N(INDEX(Activities!$I$2:$I$201,MATCH($A137,Activities!$A$2:$A$201,0))),0))))</f>
        <v/>
      </c>
      <c r="L137" s="24" t="str">
        <f aca="false">IF(AND($A137="",$B137=""),"",IF(ISNA(MATCH($A137,Activities!$A$2:$A$201,0)),"Unknown activity",IF(ISNA(MATCH($B137,Students!$A$2:$A$301,0)),"Unknown student",IF(D137="","No status",IF(COUNTIFS($A$2:$A$1001,$A137,$B$2:$B$1001,$B137)&gt;1,"Duplicate",IF(AND(D137&lt;&gt;"Withdrawn",G137&lt;&gt;"",COUNTIFS($B$2:$B$1001,$B137,$G$2:$G$1001,G137,$D$2:$D$1001,"&lt;&gt;Withdrawn")&gt;1),"Same-day clash","OK"))))))</f>
        <v/>
      </c>
    </row>
    <row r="138" customFormat="false" ht="15" hidden="false" customHeight="false" outlineLevel="0" collapsed="false">
      <c r="E138" s="26"/>
      <c r="G138" s="23" t="str">
        <f aca="false">IF($A138="","",IFERROR(IF(INDEX(Activities!$C$2:$C$201,MATCH($A138,Activities!$A$2:$A$201,0))="","",INDEX(Activities!$C$2:$C$201,MATCH($A138,Activities!$A$2:$A$201,0))),""))</f>
        <v/>
      </c>
      <c r="H138" s="24" t="str">
        <f aca="false">IF($A138="","",IFERROR(IF(INDEX(Activities!$B$2:$B$201,MATCH($A138,Activities!$A$2:$A$201,0))="","",INDEX(Activities!$B$2:$B$201,MATCH($A138,Activities!$A$2:$A$201,0))),""))</f>
        <v/>
      </c>
      <c r="I138" s="24" t="str">
        <f aca="false">IF($B138="","",IFERROR(IF(INDEX(Students!$C$2:$C$301,MATCH($B138,Students!$A$2:$A$301,0))="","",INDEX(Students!$C$2:$C$301,MATCH($B138,Students!$A$2:$A$301,0))),""))</f>
        <v/>
      </c>
      <c r="J138" s="24" t="str">
        <f aca="false">IF($B138="","",IFERROR(IF(INDEX(Students!$B$2:$B$301,MATCH($B138,Students!$A$2:$A$301,0))="","",INDEX(Students!$B$2:$B$301,MATCH($B138,Students!$A$2:$A$301,0))),""))</f>
        <v/>
      </c>
      <c r="K138" s="25" t="str">
        <f aca="false">IF($A138="","",IF(D138="Withdrawn",0,IF(E138&lt;&gt;"",N(E138),IFERROR(N(INDEX(Activities!$I$2:$I$201,MATCH($A138,Activities!$A$2:$A$201,0))),0))))</f>
        <v/>
      </c>
      <c r="L138" s="24" t="str">
        <f aca="false">IF(AND($A138="",$B138=""),"",IF(ISNA(MATCH($A138,Activities!$A$2:$A$201,0)),"Unknown activity",IF(ISNA(MATCH($B138,Students!$A$2:$A$301,0)),"Unknown student",IF(D138="","No status",IF(COUNTIFS($A$2:$A$1001,$A138,$B$2:$B$1001,$B138)&gt;1,"Duplicate",IF(AND(D138&lt;&gt;"Withdrawn",G138&lt;&gt;"",COUNTIFS($B$2:$B$1001,$B138,$G$2:$G$1001,G138,$D$2:$D$1001,"&lt;&gt;Withdrawn")&gt;1),"Same-day clash","OK"))))))</f>
        <v/>
      </c>
    </row>
    <row r="139" customFormat="false" ht="15" hidden="false" customHeight="false" outlineLevel="0" collapsed="false">
      <c r="E139" s="26"/>
      <c r="G139" s="23" t="str">
        <f aca="false">IF($A139="","",IFERROR(IF(INDEX(Activities!$C$2:$C$201,MATCH($A139,Activities!$A$2:$A$201,0))="","",INDEX(Activities!$C$2:$C$201,MATCH($A139,Activities!$A$2:$A$201,0))),""))</f>
        <v/>
      </c>
      <c r="H139" s="24" t="str">
        <f aca="false">IF($A139="","",IFERROR(IF(INDEX(Activities!$B$2:$B$201,MATCH($A139,Activities!$A$2:$A$201,0))="","",INDEX(Activities!$B$2:$B$201,MATCH($A139,Activities!$A$2:$A$201,0))),""))</f>
        <v/>
      </c>
      <c r="I139" s="24" t="str">
        <f aca="false">IF($B139="","",IFERROR(IF(INDEX(Students!$C$2:$C$301,MATCH($B139,Students!$A$2:$A$301,0))="","",INDEX(Students!$C$2:$C$301,MATCH($B139,Students!$A$2:$A$301,0))),""))</f>
        <v/>
      </c>
      <c r="J139" s="24" t="str">
        <f aca="false">IF($B139="","",IFERROR(IF(INDEX(Students!$B$2:$B$301,MATCH($B139,Students!$A$2:$A$301,0))="","",INDEX(Students!$B$2:$B$301,MATCH($B139,Students!$A$2:$A$301,0))),""))</f>
        <v/>
      </c>
      <c r="K139" s="25" t="str">
        <f aca="false">IF($A139="","",IF(D139="Withdrawn",0,IF(E139&lt;&gt;"",N(E139),IFERROR(N(INDEX(Activities!$I$2:$I$201,MATCH($A139,Activities!$A$2:$A$201,0))),0))))</f>
        <v/>
      </c>
      <c r="L139" s="24" t="str">
        <f aca="false">IF(AND($A139="",$B139=""),"",IF(ISNA(MATCH($A139,Activities!$A$2:$A$201,0)),"Unknown activity",IF(ISNA(MATCH($B139,Students!$A$2:$A$301,0)),"Unknown student",IF(D139="","No status",IF(COUNTIFS($A$2:$A$1001,$A139,$B$2:$B$1001,$B139)&gt;1,"Duplicate",IF(AND(D139&lt;&gt;"Withdrawn",G139&lt;&gt;"",COUNTIFS($B$2:$B$1001,$B139,$G$2:$G$1001,G139,$D$2:$D$1001,"&lt;&gt;Withdrawn")&gt;1),"Same-day clash","OK"))))))</f>
        <v/>
      </c>
    </row>
    <row r="140" customFormat="false" ht="15" hidden="false" customHeight="false" outlineLevel="0" collapsed="false">
      <c r="E140" s="26"/>
      <c r="G140" s="23" t="str">
        <f aca="false">IF($A140="","",IFERROR(IF(INDEX(Activities!$C$2:$C$201,MATCH($A140,Activities!$A$2:$A$201,0))="","",INDEX(Activities!$C$2:$C$201,MATCH($A140,Activities!$A$2:$A$201,0))),""))</f>
        <v/>
      </c>
      <c r="H140" s="24" t="str">
        <f aca="false">IF($A140="","",IFERROR(IF(INDEX(Activities!$B$2:$B$201,MATCH($A140,Activities!$A$2:$A$201,0))="","",INDEX(Activities!$B$2:$B$201,MATCH($A140,Activities!$A$2:$A$201,0))),""))</f>
        <v/>
      </c>
      <c r="I140" s="24" t="str">
        <f aca="false">IF($B140="","",IFERROR(IF(INDEX(Students!$C$2:$C$301,MATCH($B140,Students!$A$2:$A$301,0))="","",INDEX(Students!$C$2:$C$301,MATCH($B140,Students!$A$2:$A$301,0))),""))</f>
        <v/>
      </c>
      <c r="J140" s="24" t="str">
        <f aca="false">IF($B140="","",IFERROR(IF(INDEX(Students!$B$2:$B$301,MATCH($B140,Students!$A$2:$A$301,0))="","",INDEX(Students!$B$2:$B$301,MATCH($B140,Students!$A$2:$A$301,0))),""))</f>
        <v/>
      </c>
      <c r="K140" s="25" t="str">
        <f aca="false">IF($A140="","",IF(D140="Withdrawn",0,IF(E140&lt;&gt;"",N(E140),IFERROR(N(INDEX(Activities!$I$2:$I$201,MATCH($A140,Activities!$A$2:$A$201,0))),0))))</f>
        <v/>
      </c>
      <c r="L140" s="24" t="str">
        <f aca="false">IF(AND($A140="",$B140=""),"",IF(ISNA(MATCH($A140,Activities!$A$2:$A$201,0)),"Unknown activity",IF(ISNA(MATCH($B140,Students!$A$2:$A$301,0)),"Unknown student",IF(D140="","No status",IF(COUNTIFS($A$2:$A$1001,$A140,$B$2:$B$1001,$B140)&gt;1,"Duplicate",IF(AND(D140&lt;&gt;"Withdrawn",G140&lt;&gt;"",COUNTIFS($B$2:$B$1001,$B140,$G$2:$G$1001,G140,$D$2:$D$1001,"&lt;&gt;Withdrawn")&gt;1),"Same-day clash","OK"))))))</f>
        <v/>
      </c>
    </row>
    <row r="141" customFormat="false" ht="15" hidden="false" customHeight="false" outlineLevel="0" collapsed="false">
      <c r="E141" s="26"/>
      <c r="G141" s="23" t="str">
        <f aca="false">IF($A141="","",IFERROR(IF(INDEX(Activities!$C$2:$C$201,MATCH($A141,Activities!$A$2:$A$201,0))="","",INDEX(Activities!$C$2:$C$201,MATCH($A141,Activities!$A$2:$A$201,0))),""))</f>
        <v/>
      </c>
      <c r="H141" s="24" t="str">
        <f aca="false">IF($A141="","",IFERROR(IF(INDEX(Activities!$B$2:$B$201,MATCH($A141,Activities!$A$2:$A$201,0))="","",INDEX(Activities!$B$2:$B$201,MATCH($A141,Activities!$A$2:$A$201,0))),""))</f>
        <v/>
      </c>
      <c r="I141" s="24" t="str">
        <f aca="false">IF($B141="","",IFERROR(IF(INDEX(Students!$C$2:$C$301,MATCH($B141,Students!$A$2:$A$301,0))="","",INDEX(Students!$C$2:$C$301,MATCH($B141,Students!$A$2:$A$301,0))),""))</f>
        <v/>
      </c>
      <c r="J141" s="24" t="str">
        <f aca="false">IF($B141="","",IFERROR(IF(INDEX(Students!$B$2:$B$301,MATCH($B141,Students!$A$2:$A$301,0))="","",INDEX(Students!$B$2:$B$301,MATCH($B141,Students!$A$2:$A$301,0))),""))</f>
        <v/>
      </c>
      <c r="K141" s="25" t="str">
        <f aca="false">IF($A141="","",IF(D141="Withdrawn",0,IF(E141&lt;&gt;"",N(E141),IFERROR(N(INDEX(Activities!$I$2:$I$201,MATCH($A141,Activities!$A$2:$A$201,0))),0))))</f>
        <v/>
      </c>
      <c r="L141" s="24" t="str">
        <f aca="false">IF(AND($A141="",$B141=""),"",IF(ISNA(MATCH($A141,Activities!$A$2:$A$201,0)),"Unknown activity",IF(ISNA(MATCH($B141,Students!$A$2:$A$301,0)),"Unknown student",IF(D141="","No status",IF(COUNTIFS($A$2:$A$1001,$A141,$B$2:$B$1001,$B141)&gt;1,"Duplicate",IF(AND(D141&lt;&gt;"Withdrawn",G141&lt;&gt;"",COUNTIFS($B$2:$B$1001,$B141,$G$2:$G$1001,G141,$D$2:$D$1001,"&lt;&gt;Withdrawn")&gt;1),"Same-day clash","OK"))))))</f>
        <v/>
      </c>
    </row>
    <row r="142" customFormat="false" ht="15" hidden="false" customHeight="false" outlineLevel="0" collapsed="false">
      <c r="E142" s="26"/>
      <c r="G142" s="23" t="str">
        <f aca="false">IF($A142="","",IFERROR(IF(INDEX(Activities!$C$2:$C$201,MATCH($A142,Activities!$A$2:$A$201,0))="","",INDEX(Activities!$C$2:$C$201,MATCH($A142,Activities!$A$2:$A$201,0))),""))</f>
        <v/>
      </c>
      <c r="H142" s="24" t="str">
        <f aca="false">IF($A142="","",IFERROR(IF(INDEX(Activities!$B$2:$B$201,MATCH($A142,Activities!$A$2:$A$201,0))="","",INDEX(Activities!$B$2:$B$201,MATCH($A142,Activities!$A$2:$A$201,0))),""))</f>
        <v/>
      </c>
      <c r="I142" s="24" t="str">
        <f aca="false">IF($B142="","",IFERROR(IF(INDEX(Students!$C$2:$C$301,MATCH($B142,Students!$A$2:$A$301,0))="","",INDEX(Students!$C$2:$C$301,MATCH($B142,Students!$A$2:$A$301,0))),""))</f>
        <v/>
      </c>
      <c r="J142" s="24" t="str">
        <f aca="false">IF($B142="","",IFERROR(IF(INDEX(Students!$B$2:$B$301,MATCH($B142,Students!$A$2:$A$301,0))="","",INDEX(Students!$B$2:$B$301,MATCH($B142,Students!$A$2:$A$301,0))),""))</f>
        <v/>
      </c>
      <c r="K142" s="25" t="str">
        <f aca="false">IF($A142="","",IF(D142="Withdrawn",0,IF(E142&lt;&gt;"",N(E142),IFERROR(N(INDEX(Activities!$I$2:$I$201,MATCH($A142,Activities!$A$2:$A$201,0))),0))))</f>
        <v/>
      </c>
      <c r="L142" s="24" t="str">
        <f aca="false">IF(AND($A142="",$B142=""),"",IF(ISNA(MATCH($A142,Activities!$A$2:$A$201,0)),"Unknown activity",IF(ISNA(MATCH($B142,Students!$A$2:$A$301,0)),"Unknown student",IF(D142="","No status",IF(COUNTIFS($A$2:$A$1001,$A142,$B$2:$B$1001,$B142)&gt;1,"Duplicate",IF(AND(D142&lt;&gt;"Withdrawn",G142&lt;&gt;"",COUNTIFS($B$2:$B$1001,$B142,$G$2:$G$1001,G142,$D$2:$D$1001,"&lt;&gt;Withdrawn")&gt;1),"Same-day clash","OK"))))))</f>
        <v/>
      </c>
    </row>
    <row r="143" customFormat="false" ht="15" hidden="false" customHeight="false" outlineLevel="0" collapsed="false">
      <c r="E143" s="26"/>
      <c r="G143" s="23" t="str">
        <f aca="false">IF($A143="","",IFERROR(IF(INDEX(Activities!$C$2:$C$201,MATCH($A143,Activities!$A$2:$A$201,0))="","",INDEX(Activities!$C$2:$C$201,MATCH($A143,Activities!$A$2:$A$201,0))),""))</f>
        <v/>
      </c>
      <c r="H143" s="24" t="str">
        <f aca="false">IF($A143="","",IFERROR(IF(INDEX(Activities!$B$2:$B$201,MATCH($A143,Activities!$A$2:$A$201,0))="","",INDEX(Activities!$B$2:$B$201,MATCH($A143,Activities!$A$2:$A$201,0))),""))</f>
        <v/>
      </c>
      <c r="I143" s="24" t="str">
        <f aca="false">IF($B143="","",IFERROR(IF(INDEX(Students!$C$2:$C$301,MATCH($B143,Students!$A$2:$A$301,0))="","",INDEX(Students!$C$2:$C$301,MATCH($B143,Students!$A$2:$A$301,0))),""))</f>
        <v/>
      </c>
      <c r="J143" s="24" t="str">
        <f aca="false">IF($B143="","",IFERROR(IF(INDEX(Students!$B$2:$B$301,MATCH($B143,Students!$A$2:$A$301,0))="","",INDEX(Students!$B$2:$B$301,MATCH($B143,Students!$A$2:$A$301,0))),""))</f>
        <v/>
      </c>
      <c r="K143" s="25" t="str">
        <f aca="false">IF($A143="","",IF(D143="Withdrawn",0,IF(E143&lt;&gt;"",N(E143),IFERROR(N(INDEX(Activities!$I$2:$I$201,MATCH($A143,Activities!$A$2:$A$201,0))),0))))</f>
        <v/>
      </c>
      <c r="L143" s="24" t="str">
        <f aca="false">IF(AND($A143="",$B143=""),"",IF(ISNA(MATCH($A143,Activities!$A$2:$A$201,0)),"Unknown activity",IF(ISNA(MATCH($B143,Students!$A$2:$A$301,0)),"Unknown student",IF(D143="","No status",IF(COUNTIFS($A$2:$A$1001,$A143,$B$2:$B$1001,$B143)&gt;1,"Duplicate",IF(AND(D143&lt;&gt;"Withdrawn",G143&lt;&gt;"",COUNTIFS($B$2:$B$1001,$B143,$G$2:$G$1001,G143,$D$2:$D$1001,"&lt;&gt;Withdrawn")&gt;1),"Same-day clash","OK"))))))</f>
        <v/>
      </c>
    </row>
    <row r="144" customFormat="false" ht="15" hidden="false" customHeight="false" outlineLevel="0" collapsed="false">
      <c r="E144" s="26"/>
      <c r="G144" s="23" t="str">
        <f aca="false">IF($A144="","",IFERROR(IF(INDEX(Activities!$C$2:$C$201,MATCH($A144,Activities!$A$2:$A$201,0))="","",INDEX(Activities!$C$2:$C$201,MATCH($A144,Activities!$A$2:$A$201,0))),""))</f>
        <v/>
      </c>
      <c r="H144" s="24" t="str">
        <f aca="false">IF($A144="","",IFERROR(IF(INDEX(Activities!$B$2:$B$201,MATCH($A144,Activities!$A$2:$A$201,0))="","",INDEX(Activities!$B$2:$B$201,MATCH($A144,Activities!$A$2:$A$201,0))),""))</f>
        <v/>
      </c>
      <c r="I144" s="24" t="str">
        <f aca="false">IF($B144="","",IFERROR(IF(INDEX(Students!$C$2:$C$301,MATCH($B144,Students!$A$2:$A$301,0))="","",INDEX(Students!$C$2:$C$301,MATCH($B144,Students!$A$2:$A$301,0))),""))</f>
        <v/>
      </c>
      <c r="J144" s="24" t="str">
        <f aca="false">IF($B144="","",IFERROR(IF(INDEX(Students!$B$2:$B$301,MATCH($B144,Students!$A$2:$A$301,0))="","",INDEX(Students!$B$2:$B$301,MATCH($B144,Students!$A$2:$A$301,0))),""))</f>
        <v/>
      </c>
      <c r="K144" s="25" t="str">
        <f aca="false">IF($A144="","",IF(D144="Withdrawn",0,IF(E144&lt;&gt;"",N(E144),IFERROR(N(INDEX(Activities!$I$2:$I$201,MATCH($A144,Activities!$A$2:$A$201,0))),0))))</f>
        <v/>
      </c>
      <c r="L144" s="24" t="str">
        <f aca="false">IF(AND($A144="",$B144=""),"",IF(ISNA(MATCH($A144,Activities!$A$2:$A$201,0)),"Unknown activity",IF(ISNA(MATCH($B144,Students!$A$2:$A$301,0)),"Unknown student",IF(D144="","No status",IF(COUNTIFS($A$2:$A$1001,$A144,$B$2:$B$1001,$B144)&gt;1,"Duplicate",IF(AND(D144&lt;&gt;"Withdrawn",G144&lt;&gt;"",COUNTIFS($B$2:$B$1001,$B144,$G$2:$G$1001,G144,$D$2:$D$1001,"&lt;&gt;Withdrawn")&gt;1),"Same-day clash","OK"))))))</f>
        <v/>
      </c>
    </row>
    <row r="145" customFormat="false" ht="15" hidden="false" customHeight="false" outlineLevel="0" collapsed="false">
      <c r="E145" s="26"/>
      <c r="G145" s="23" t="str">
        <f aca="false">IF($A145="","",IFERROR(IF(INDEX(Activities!$C$2:$C$201,MATCH($A145,Activities!$A$2:$A$201,0))="","",INDEX(Activities!$C$2:$C$201,MATCH($A145,Activities!$A$2:$A$201,0))),""))</f>
        <v/>
      </c>
      <c r="H145" s="24" t="str">
        <f aca="false">IF($A145="","",IFERROR(IF(INDEX(Activities!$B$2:$B$201,MATCH($A145,Activities!$A$2:$A$201,0))="","",INDEX(Activities!$B$2:$B$201,MATCH($A145,Activities!$A$2:$A$201,0))),""))</f>
        <v/>
      </c>
      <c r="I145" s="24" t="str">
        <f aca="false">IF($B145="","",IFERROR(IF(INDEX(Students!$C$2:$C$301,MATCH($B145,Students!$A$2:$A$301,0))="","",INDEX(Students!$C$2:$C$301,MATCH($B145,Students!$A$2:$A$301,0))),""))</f>
        <v/>
      </c>
      <c r="J145" s="24" t="str">
        <f aca="false">IF($B145="","",IFERROR(IF(INDEX(Students!$B$2:$B$301,MATCH($B145,Students!$A$2:$A$301,0))="","",INDEX(Students!$B$2:$B$301,MATCH($B145,Students!$A$2:$A$301,0))),""))</f>
        <v/>
      </c>
      <c r="K145" s="25" t="str">
        <f aca="false">IF($A145="","",IF(D145="Withdrawn",0,IF(E145&lt;&gt;"",N(E145),IFERROR(N(INDEX(Activities!$I$2:$I$201,MATCH($A145,Activities!$A$2:$A$201,0))),0))))</f>
        <v/>
      </c>
      <c r="L145" s="24" t="str">
        <f aca="false">IF(AND($A145="",$B145=""),"",IF(ISNA(MATCH($A145,Activities!$A$2:$A$201,0)),"Unknown activity",IF(ISNA(MATCH($B145,Students!$A$2:$A$301,0)),"Unknown student",IF(D145="","No status",IF(COUNTIFS($A$2:$A$1001,$A145,$B$2:$B$1001,$B145)&gt;1,"Duplicate",IF(AND(D145&lt;&gt;"Withdrawn",G145&lt;&gt;"",COUNTIFS($B$2:$B$1001,$B145,$G$2:$G$1001,G145,$D$2:$D$1001,"&lt;&gt;Withdrawn")&gt;1),"Same-day clash","OK"))))))</f>
        <v/>
      </c>
    </row>
    <row r="146" customFormat="false" ht="15" hidden="false" customHeight="false" outlineLevel="0" collapsed="false">
      <c r="E146" s="26"/>
      <c r="G146" s="23" t="str">
        <f aca="false">IF($A146="","",IFERROR(IF(INDEX(Activities!$C$2:$C$201,MATCH($A146,Activities!$A$2:$A$201,0))="","",INDEX(Activities!$C$2:$C$201,MATCH($A146,Activities!$A$2:$A$201,0))),""))</f>
        <v/>
      </c>
      <c r="H146" s="24" t="str">
        <f aca="false">IF($A146="","",IFERROR(IF(INDEX(Activities!$B$2:$B$201,MATCH($A146,Activities!$A$2:$A$201,0))="","",INDEX(Activities!$B$2:$B$201,MATCH($A146,Activities!$A$2:$A$201,0))),""))</f>
        <v/>
      </c>
      <c r="I146" s="24" t="str">
        <f aca="false">IF($B146="","",IFERROR(IF(INDEX(Students!$C$2:$C$301,MATCH($B146,Students!$A$2:$A$301,0))="","",INDEX(Students!$C$2:$C$301,MATCH($B146,Students!$A$2:$A$301,0))),""))</f>
        <v/>
      </c>
      <c r="J146" s="24" t="str">
        <f aca="false">IF($B146="","",IFERROR(IF(INDEX(Students!$B$2:$B$301,MATCH($B146,Students!$A$2:$A$301,0))="","",INDEX(Students!$B$2:$B$301,MATCH($B146,Students!$A$2:$A$301,0))),""))</f>
        <v/>
      </c>
      <c r="K146" s="25" t="str">
        <f aca="false">IF($A146="","",IF(D146="Withdrawn",0,IF(E146&lt;&gt;"",N(E146),IFERROR(N(INDEX(Activities!$I$2:$I$201,MATCH($A146,Activities!$A$2:$A$201,0))),0))))</f>
        <v/>
      </c>
      <c r="L146" s="24" t="str">
        <f aca="false">IF(AND($A146="",$B146=""),"",IF(ISNA(MATCH($A146,Activities!$A$2:$A$201,0)),"Unknown activity",IF(ISNA(MATCH($B146,Students!$A$2:$A$301,0)),"Unknown student",IF(D146="","No status",IF(COUNTIFS($A$2:$A$1001,$A146,$B$2:$B$1001,$B146)&gt;1,"Duplicate",IF(AND(D146&lt;&gt;"Withdrawn",G146&lt;&gt;"",COUNTIFS($B$2:$B$1001,$B146,$G$2:$G$1001,G146,$D$2:$D$1001,"&lt;&gt;Withdrawn")&gt;1),"Same-day clash","OK"))))))</f>
        <v/>
      </c>
    </row>
    <row r="147" customFormat="false" ht="15" hidden="false" customHeight="false" outlineLevel="0" collapsed="false">
      <c r="E147" s="26"/>
      <c r="G147" s="23" t="str">
        <f aca="false">IF($A147="","",IFERROR(IF(INDEX(Activities!$C$2:$C$201,MATCH($A147,Activities!$A$2:$A$201,0))="","",INDEX(Activities!$C$2:$C$201,MATCH($A147,Activities!$A$2:$A$201,0))),""))</f>
        <v/>
      </c>
      <c r="H147" s="24" t="str">
        <f aca="false">IF($A147="","",IFERROR(IF(INDEX(Activities!$B$2:$B$201,MATCH($A147,Activities!$A$2:$A$201,0))="","",INDEX(Activities!$B$2:$B$201,MATCH($A147,Activities!$A$2:$A$201,0))),""))</f>
        <v/>
      </c>
      <c r="I147" s="24" t="str">
        <f aca="false">IF($B147="","",IFERROR(IF(INDEX(Students!$C$2:$C$301,MATCH($B147,Students!$A$2:$A$301,0))="","",INDEX(Students!$C$2:$C$301,MATCH($B147,Students!$A$2:$A$301,0))),""))</f>
        <v/>
      </c>
      <c r="J147" s="24" t="str">
        <f aca="false">IF($B147="","",IFERROR(IF(INDEX(Students!$B$2:$B$301,MATCH($B147,Students!$A$2:$A$301,0))="","",INDEX(Students!$B$2:$B$301,MATCH($B147,Students!$A$2:$A$301,0))),""))</f>
        <v/>
      </c>
      <c r="K147" s="25" t="str">
        <f aca="false">IF($A147="","",IF(D147="Withdrawn",0,IF(E147&lt;&gt;"",N(E147),IFERROR(N(INDEX(Activities!$I$2:$I$201,MATCH($A147,Activities!$A$2:$A$201,0))),0))))</f>
        <v/>
      </c>
      <c r="L147" s="24" t="str">
        <f aca="false">IF(AND($A147="",$B147=""),"",IF(ISNA(MATCH($A147,Activities!$A$2:$A$201,0)),"Unknown activity",IF(ISNA(MATCH($B147,Students!$A$2:$A$301,0)),"Unknown student",IF(D147="","No status",IF(COUNTIFS($A$2:$A$1001,$A147,$B$2:$B$1001,$B147)&gt;1,"Duplicate",IF(AND(D147&lt;&gt;"Withdrawn",G147&lt;&gt;"",COUNTIFS($B$2:$B$1001,$B147,$G$2:$G$1001,G147,$D$2:$D$1001,"&lt;&gt;Withdrawn")&gt;1),"Same-day clash","OK"))))))</f>
        <v/>
      </c>
    </row>
    <row r="148" customFormat="false" ht="15" hidden="false" customHeight="false" outlineLevel="0" collapsed="false">
      <c r="E148" s="26"/>
      <c r="G148" s="23" t="str">
        <f aca="false">IF($A148="","",IFERROR(IF(INDEX(Activities!$C$2:$C$201,MATCH($A148,Activities!$A$2:$A$201,0))="","",INDEX(Activities!$C$2:$C$201,MATCH($A148,Activities!$A$2:$A$201,0))),""))</f>
        <v/>
      </c>
      <c r="H148" s="24" t="str">
        <f aca="false">IF($A148="","",IFERROR(IF(INDEX(Activities!$B$2:$B$201,MATCH($A148,Activities!$A$2:$A$201,0))="","",INDEX(Activities!$B$2:$B$201,MATCH($A148,Activities!$A$2:$A$201,0))),""))</f>
        <v/>
      </c>
      <c r="I148" s="24" t="str">
        <f aca="false">IF($B148="","",IFERROR(IF(INDEX(Students!$C$2:$C$301,MATCH($B148,Students!$A$2:$A$301,0))="","",INDEX(Students!$C$2:$C$301,MATCH($B148,Students!$A$2:$A$301,0))),""))</f>
        <v/>
      </c>
      <c r="J148" s="24" t="str">
        <f aca="false">IF($B148="","",IFERROR(IF(INDEX(Students!$B$2:$B$301,MATCH($B148,Students!$A$2:$A$301,0))="","",INDEX(Students!$B$2:$B$301,MATCH($B148,Students!$A$2:$A$301,0))),""))</f>
        <v/>
      </c>
      <c r="K148" s="25" t="str">
        <f aca="false">IF($A148="","",IF(D148="Withdrawn",0,IF(E148&lt;&gt;"",N(E148),IFERROR(N(INDEX(Activities!$I$2:$I$201,MATCH($A148,Activities!$A$2:$A$201,0))),0))))</f>
        <v/>
      </c>
      <c r="L148" s="24" t="str">
        <f aca="false">IF(AND($A148="",$B148=""),"",IF(ISNA(MATCH($A148,Activities!$A$2:$A$201,0)),"Unknown activity",IF(ISNA(MATCH($B148,Students!$A$2:$A$301,0)),"Unknown student",IF(D148="","No status",IF(COUNTIFS($A$2:$A$1001,$A148,$B$2:$B$1001,$B148)&gt;1,"Duplicate",IF(AND(D148&lt;&gt;"Withdrawn",G148&lt;&gt;"",COUNTIFS($B$2:$B$1001,$B148,$G$2:$G$1001,G148,$D$2:$D$1001,"&lt;&gt;Withdrawn")&gt;1),"Same-day clash","OK"))))))</f>
        <v/>
      </c>
    </row>
    <row r="149" customFormat="false" ht="15" hidden="false" customHeight="false" outlineLevel="0" collapsed="false">
      <c r="E149" s="26"/>
      <c r="G149" s="23" t="str">
        <f aca="false">IF($A149="","",IFERROR(IF(INDEX(Activities!$C$2:$C$201,MATCH($A149,Activities!$A$2:$A$201,0))="","",INDEX(Activities!$C$2:$C$201,MATCH($A149,Activities!$A$2:$A$201,0))),""))</f>
        <v/>
      </c>
      <c r="H149" s="24" t="str">
        <f aca="false">IF($A149="","",IFERROR(IF(INDEX(Activities!$B$2:$B$201,MATCH($A149,Activities!$A$2:$A$201,0))="","",INDEX(Activities!$B$2:$B$201,MATCH($A149,Activities!$A$2:$A$201,0))),""))</f>
        <v/>
      </c>
      <c r="I149" s="24" t="str">
        <f aca="false">IF($B149="","",IFERROR(IF(INDEX(Students!$C$2:$C$301,MATCH($B149,Students!$A$2:$A$301,0))="","",INDEX(Students!$C$2:$C$301,MATCH($B149,Students!$A$2:$A$301,0))),""))</f>
        <v/>
      </c>
      <c r="J149" s="24" t="str">
        <f aca="false">IF($B149="","",IFERROR(IF(INDEX(Students!$B$2:$B$301,MATCH($B149,Students!$A$2:$A$301,0))="","",INDEX(Students!$B$2:$B$301,MATCH($B149,Students!$A$2:$A$301,0))),""))</f>
        <v/>
      </c>
      <c r="K149" s="25" t="str">
        <f aca="false">IF($A149="","",IF(D149="Withdrawn",0,IF(E149&lt;&gt;"",N(E149),IFERROR(N(INDEX(Activities!$I$2:$I$201,MATCH($A149,Activities!$A$2:$A$201,0))),0))))</f>
        <v/>
      </c>
      <c r="L149" s="24" t="str">
        <f aca="false">IF(AND($A149="",$B149=""),"",IF(ISNA(MATCH($A149,Activities!$A$2:$A$201,0)),"Unknown activity",IF(ISNA(MATCH($B149,Students!$A$2:$A$301,0)),"Unknown student",IF(D149="","No status",IF(COUNTIFS($A$2:$A$1001,$A149,$B$2:$B$1001,$B149)&gt;1,"Duplicate",IF(AND(D149&lt;&gt;"Withdrawn",G149&lt;&gt;"",COUNTIFS($B$2:$B$1001,$B149,$G$2:$G$1001,G149,$D$2:$D$1001,"&lt;&gt;Withdrawn")&gt;1),"Same-day clash","OK"))))))</f>
        <v/>
      </c>
    </row>
    <row r="150" customFormat="false" ht="15" hidden="false" customHeight="false" outlineLevel="0" collapsed="false">
      <c r="E150" s="26"/>
      <c r="G150" s="23" t="str">
        <f aca="false">IF($A150="","",IFERROR(IF(INDEX(Activities!$C$2:$C$201,MATCH($A150,Activities!$A$2:$A$201,0))="","",INDEX(Activities!$C$2:$C$201,MATCH($A150,Activities!$A$2:$A$201,0))),""))</f>
        <v/>
      </c>
      <c r="H150" s="24" t="str">
        <f aca="false">IF($A150="","",IFERROR(IF(INDEX(Activities!$B$2:$B$201,MATCH($A150,Activities!$A$2:$A$201,0))="","",INDEX(Activities!$B$2:$B$201,MATCH($A150,Activities!$A$2:$A$201,0))),""))</f>
        <v/>
      </c>
      <c r="I150" s="24" t="str">
        <f aca="false">IF($B150="","",IFERROR(IF(INDEX(Students!$C$2:$C$301,MATCH($B150,Students!$A$2:$A$301,0))="","",INDEX(Students!$C$2:$C$301,MATCH($B150,Students!$A$2:$A$301,0))),""))</f>
        <v/>
      </c>
      <c r="J150" s="24" t="str">
        <f aca="false">IF($B150="","",IFERROR(IF(INDEX(Students!$B$2:$B$301,MATCH($B150,Students!$A$2:$A$301,0))="","",INDEX(Students!$B$2:$B$301,MATCH($B150,Students!$A$2:$A$301,0))),""))</f>
        <v/>
      </c>
      <c r="K150" s="25" t="str">
        <f aca="false">IF($A150="","",IF(D150="Withdrawn",0,IF(E150&lt;&gt;"",N(E150),IFERROR(N(INDEX(Activities!$I$2:$I$201,MATCH($A150,Activities!$A$2:$A$201,0))),0))))</f>
        <v/>
      </c>
      <c r="L150" s="24" t="str">
        <f aca="false">IF(AND($A150="",$B150=""),"",IF(ISNA(MATCH($A150,Activities!$A$2:$A$201,0)),"Unknown activity",IF(ISNA(MATCH($B150,Students!$A$2:$A$301,0)),"Unknown student",IF(D150="","No status",IF(COUNTIFS($A$2:$A$1001,$A150,$B$2:$B$1001,$B150)&gt;1,"Duplicate",IF(AND(D150&lt;&gt;"Withdrawn",G150&lt;&gt;"",COUNTIFS($B$2:$B$1001,$B150,$G$2:$G$1001,G150,$D$2:$D$1001,"&lt;&gt;Withdrawn")&gt;1),"Same-day clash","OK"))))))</f>
        <v/>
      </c>
    </row>
    <row r="151" customFormat="false" ht="15" hidden="false" customHeight="false" outlineLevel="0" collapsed="false">
      <c r="E151" s="26"/>
      <c r="G151" s="23" t="str">
        <f aca="false">IF($A151="","",IFERROR(IF(INDEX(Activities!$C$2:$C$201,MATCH($A151,Activities!$A$2:$A$201,0))="","",INDEX(Activities!$C$2:$C$201,MATCH($A151,Activities!$A$2:$A$201,0))),""))</f>
        <v/>
      </c>
      <c r="H151" s="24" t="str">
        <f aca="false">IF($A151="","",IFERROR(IF(INDEX(Activities!$B$2:$B$201,MATCH($A151,Activities!$A$2:$A$201,0))="","",INDEX(Activities!$B$2:$B$201,MATCH($A151,Activities!$A$2:$A$201,0))),""))</f>
        <v/>
      </c>
      <c r="I151" s="24" t="str">
        <f aca="false">IF($B151="","",IFERROR(IF(INDEX(Students!$C$2:$C$301,MATCH($B151,Students!$A$2:$A$301,0))="","",INDEX(Students!$C$2:$C$301,MATCH($B151,Students!$A$2:$A$301,0))),""))</f>
        <v/>
      </c>
      <c r="J151" s="24" t="str">
        <f aca="false">IF($B151="","",IFERROR(IF(INDEX(Students!$B$2:$B$301,MATCH($B151,Students!$A$2:$A$301,0))="","",INDEX(Students!$B$2:$B$301,MATCH($B151,Students!$A$2:$A$301,0))),""))</f>
        <v/>
      </c>
      <c r="K151" s="25" t="str">
        <f aca="false">IF($A151="","",IF(D151="Withdrawn",0,IF(E151&lt;&gt;"",N(E151),IFERROR(N(INDEX(Activities!$I$2:$I$201,MATCH($A151,Activities!$A$2:$A$201,0))),0))))</f>
        <v/>
      </c>
      <c r="L151" s="24" t="str">
        <f aca="false">IF(AND($A151="",$B151=""),"",IF(ISNA(MATCH($A151,Activities!$A$2:$A$201,0)),"Unknown activity",IF(ISNA(MATCH($B151,Students!$A$2:$A$301,0)),"Unknown student",IF(D151="","No status",IF(COUNTIFS($A$2:$A$1001,$A151,$B$2:$B$1001,$B151)&gt;1,"Duplicate",IF(AND(D151&lt;&gt;"Withdrawn",G151&lt;&gt;"",COUNTIFS($B$2:$B$1001,$B151,$G$2:$G$1001,G151,$D$2:$D$1001,"&lt;&gt;Withdrawn")&gt;1),"Same-day clash","OK"))))))</f>
        <v/>
      </c>
    </row>
    <row r="152" customFormat="false" ht="15" hidden="false" customHeight="false" outlineLevel="0" collapsed="false">
      <c r="E152" s="26"/>
      <c r="G152" s="23" t="str">
        <f aca="false">IF($A152="","",IFERROR(IF(INDEX(Activities!$C$2:$C$201,MATCH($A152,Activities!$A$2:$A$201,0))="","",INDEX(Activities!$C$2:$C$201,MATCH($A152,Activities!$A$2:$A$201,0))),""))</f>
        <v/>
      </c>
      <c r="H152" s="24" t="str">
        <f aca="false">IF($A152="","",IFERROR(IF(INDEX(Activities!$B$2:$B$201,MATCH($A152,Activities!$A$2:$A$201,0))="","",INDEX(Activities!$B$2:$B$201,MATCH($A152,Activities!$A$2:$A$201,0))),""))</f>
        <v/>
      </c>
      <c r="I152" s="24" t="str">
        <f aca="false">IF($B152="","",IFERROR(IF(INDEX(Students!$C$2:$C$301,MATCH($B152,Students!$A$2:$A$301,0))="","",INDEX(Students!$C$2:$C$301,MATCH($B152,Students!$A$2:$A$301,0))),""))</f>
        <v/>
      </c>
      <c r="J152" s="24" t="str">
        <f aca="false">IF($B152="","",IFERROR(IF(INDEX(Students!$B$2:$B$301,MATCH($B152,Students!$A$2:$A$301,0))="","",INDEX(Students!$B$2:$B$301,MATCH($B152,Students!$A$2:$A$301,0))),""))</f>
        <v/>
      </c>
      <c r="K152" s="25" t="str">
        <f aca="false">IF($A152="","",IF(D152="Withdrawn",0,IF(E152&lt;&gt;"",N(E152),IFERROR(N(INDEX(Activities!$I$2:$I$201,MATCH($A152,Activities!$A$2:$A$201,0))),0))))</f>
        <v/>
      </c>
      <c r="L152" s="24" t="str">
        <f aca="false">IF(AND($A152="",$B152=""),"",IF(ISNA(MATCH($A152,Activities!$A$2:$A$201,0)),"Unknown activity",IF(ISNA(MATCH($B152,Students!$A$2:$A$301,0)),"Unknown student",IF(D152="","No status",IF(COUNTIFS($A$2:$A$1001,$A152,$B$2:$B$1001,$B152)&gt;1,"Duplicate",IF(AND(D152&lt;&gt;"Withdrawn",G152&lt;&gt;"",COUNTIFS($B$2:$B$1001,$B152,$G$2:$G$1001,G152,$D$2:$D$1001,"&lt;&gt;Withdrawn")&gt;1),"Same-day clash","OK"))))))</f>
        <v/>
      </c>
    </row>
    <row r="153" customFormat="false" ht="15" hidden="false" customHeight="false" outlineLevel="0" collapsed="false">
      <c r="E153" s="26"/>
      <c r="G153" s="23" t="str">
        <f aca="false">IF($A153="","",IFERROR(IF(INDEX(Activities!$C$2:$C$201,MATCH($A153,Activities!$A$2:$A$201,0))="","",INDEX(Activities!$C$2:$C$201,MATCH($A153,Activities!$A$2:$A$201,0))),""))</f>
        <v/>
      </c>
      <c r="H153" s="24" t="str">
        <f aca="false">IF($A153="","",IFERROR(IF(INDEX(Activities!$B$2:$B$201,MATCH($A153,Activities!$A$2:$A$201,0))="","",INDEX(Activities!$B$2:$B$201,MATCH($A153,Activities!$A$2:$A$201,0))),""))</f>
        <v/>
      </c>
      <c r="I153" s="24" t="str">
        <f aca="false">IF($B153="","",IFERROR(IF(INDEX(Students!$C$2:$C$301,MATCH($B153,Students!$A$2:$A$301,0))="","",INDEX(Students!$C$2:$C$301,MATCH($B153,Students!$A$2:$A$301,0))),""))</f>
        <v/>
      </c>
      <c r="J153" s="24" t="str">
        <f aca="false">IF($B153="","",IFERROR(IF(INDEX(Students!$B$2:$B$301,MATCH($B153,Students!$A$2:$A$301,0))="","",INDEX(Students!$B$2:$B$301,MATCH($B153,Students!$A$2:$A$301,0))),""))</f>
        <v/>
      </c>
      <c r="K153" s="25" t="str">
        <f aca="false">IF($A153="","",IF(D153="Withdrawn",0,IF(E153&lt;&gt;"",N(E153),IFERROR(N(INDEX(Activities!$I$2:$I$201,MATCH($A153,Activities!$A$2:$A$201,0))),0))))</f>
        <v/>
      </c>
      <c r="L153" s="24" t="str">
        <f aca="false">IF(AND($A153="",$B153=""),"",IF(ISNA(MATCH($A153,Activities!$A$2:$A$201,0)),"Unknown activity",IF(ISNA(MATCH($B153,Students!$A$2:$A$301,0)),"Unknown student",IF(D153="","No status",IF(COUNTIFS($A$2:$A$1001,$A153,$B$2:$B$1001,$B153)&gt;1,"Duplicate",IF(AND(D153&lt;&gt;"Withdrawn",G153&lt;&gt;"",COUNTIFS($B$2:$B$1001,$B153,$G$2:$G$1001,G153,$D$2:$D$1001,"&lt;&gt;Withdrawn")&gt;1),"Same-day clash","OK"))))))</f>
        <v/>
      </c>
    </row>
    <row r="154" customFormat="false" ht="15" hidden="false" customHeight="false" outlineLevel="0" collapsed="false">
      <c r="E154" s="26"/>
      <c r="G154" s="23" t="str">
        <f aca="false">IF($A154="","",IFERROR(IF(INDEX(Activities!$C$2:$C$201,MATCH($A154,Activities!$A$2:$A$201,0))="","",INDEX(Activities!$C$2:$C$201,MATCH($A154,Activities!$A$2:$A$201,0))),""))</f>
        <v/>
      </c>
      <c r="H154" s="24" t="str">
        <f aca="false">IF($A154="","",IFERROR(IF(INDEX(Activities!$B$2:$B$201,MATCH($A154,Activities!$A$2:$A$201,0))="","",INDEX(Activities!$B$2:$B$201,MATCH($A154,Activities!$A$2:$A$201,0))),""))</f>
        <v/>
      </c>
      <c r="I154" s="24" t="str">
        <f aca="false">IF($B154="","",IFERROR(IF(INDEX(Students!$C$2:$C$301,MATCH($B154,Students!$A$2:$A$301,0))="","",INDEX(Students!$C$2:$C$301,MATCH($B154,Students!$A$2:$A$301,0))),""))</f>
        <v/>
      </c>
      <c r="J154" s="24" t="str">
        <f aca="false">IF($B154="","",IFERROR(IF(INDEX(Students!$B$2:$B$301,MATCH($B154,Students!$A$2:$A$301,0))="","",INDEX(Students!$B$2:$B$301,MATCH($B154,Students!$A$2:$A$301,0))),""))</f>
        <v/>
      </c>
      <c r="K154" s="25" t="str">
        <f aca="false">IF($A154="","",IF(D154="Withdrawn",0,IF(E154&lt;&gt;"",N(E154),IFERROR(N(INDEX(Activities!$I$2:$I$201,MATCH($A154,Activities!$A$2:$A$201,0))),0))))</f>
        <v/>
      </c>
      <c r="L154" s="24" t="str">
        <f aca="false">IF(AND($A154="",$B154=""),"",IF(ISNA(MATCH($A154,Activities!$A$2:$A$201,0)),"Unknown activity",IF(ISNA(MATCH($B154,Students!$A$2:$A$301,0)),"Unknown student",IF(D154="","No status",IF(COUNTIFS($A$2:$A$1001,$A154,$B$2:$B$1001,$B154)&gt;1,"Duplicate",IF(AND(D154&lt;&gt;"Withdrawn",G154&lt;&gt;"",COUNTIFS($B$2:$B$1001,$B154,$G$2:$G$1001,G154,$D$2:$D$1001,"&lt;&gt;Withdrawn")&gt;1),"Same-day clash","OK"))))))</f>
        <v/>
      </c>
    </row>
    <row r="155" customFormat="false" ht="15" hidden="false" customHeight="false" outlineLevel="0" collapsed="false">
      <c r="E155" s="26"/>
      <c r="G155" s="23" t="str">
        <f aca="false">IF($A155="","",IFERROR(IF(INDEX(Activities!$C$2:$C$201,MATCH($A155,Activities!$A$2:$A$201,0))="","",INDEX(Activities!$C$2:$C$201,MATCH($A155,Activities!$A$2:$A$201,0))),""))</f>
        <v/>
      </c>
      <c r="H155" s="24" t="str">
        <f aca="false">IF($A155="","",IFERROR(IF(INDEX(Activities!$B$2:$B$201,MATCH($A155,Activities!$A$2:$A$201,0))="","",INDEX(Activities!$B$2:$B$201,MATCH($A155,Activities!$A$2:$A$201,0))),""))</f>
        <v/>
      </c>
      <c r="I155" s="24" t="str">
        <f aca="false">IF($B155="","",IFERROR(IF(INDEX(Students!$C$2:$C$301,MATCH($B155,Students!$A$2:$A$301,0))="","",INDEX(Students!$C$2:$C$301,MATCH($B155,Students!$A$2:$A$301,0))),""))</f>
        <v/>
      </c>
      <c r="J155" s="24" t="str">
        <f aca="false">IF($B155="","",IFERROR(IF(INDEX(Students!$B$2:$B$301,MATCH($B155,Students!$A$2:$A$301,0))="","",INDEX(Students!$B$2:$B$301,MATCH($B155,Students!$A$2:$A$301,0))),""))</f>
        <v/>
      </c>
      <c r="K155" s="25" t="str">
        <f aca="false">IF($A155="","",IF(D155="Withdrawn",0,IF(E155&lt;&gt;"",N(E155),IFERROR(N(INDEX(Activities!$I$2:$I$201,MATCH($A155,Activities!$A$2:$A$201,0))),0))))</f>
        <v/>
      </c>
      <c r="L155" s="24" t="str">
        <f aca="false">IF(AND($A155="",$B155=""),"",IF(ISNA(MATCH($A155,Activities!$A$2:$A$201,0)),"Unknown activity",IF(ISNA(MATCH($B155,Students!$A$2:$A$301,0)),"Unknown student",IF(D155="","No status",IF(COUNTIFS($A$2:$A$1001,$A155,$B$2:$B$1001,$B155)&gt;1,"Duplicate",IF(AND(D155&lt;&gt;"Withdrawn",G155&lt;&gt;"",COUNTIFS($B$2:$B$1001,$B155,$G$2:$G$1001,G155,$D$2:$D$1001,"&lt;&gt;Withdrawn")&gt;1),"Same-day clash","OK"))))))</f>
        <v/>
      </c>
    </row>
    <row r="156" customFormat="false" ht="15" hidden="false" customHeight="false" outlineLevel="0" collapsed="false">
      <c r="E156" s="26"/>
      <c r="G156" s="23" t="str">
        <f aca="false">IF($A156="","",IFERROR(IF(INDEX(Activities!$C$2:$C$201,MATCH($A156,Activities!$A$2:$A$201,0))="","",INDEX(Activities!$C$2:$C$201,MATCH($A156,Activities!$A$2:$A$201,0))),""))</f>
        <v/>
      </c>
      <c r="H156" s="24" t="str">
        <f aca="false">IF($A156="","",IFERROR(IF(INDEX(Activities!$B$2:$B$201,MATCH($A156,Activities!$A$2:$A$201,0))="","",INDEX(Activities!$B$2:$B$201,MATCH($A156,Activities!$A$2:$A$201,0))),""))</f>
        <v/>
      </c>
      <c r="I156" s="24" t="str">
        <f aca="false">IF($B156="","",IFERROR(IF(INDEX(Students!$C$2:$C$301,MATCH($B156,Students!$A$2:$A$301,0))="","",INDEX(Students!$C$2:$C$301,MATCH($B156,Students!$A$2:$A$301,0))),""))</f>
        <v/>
      </c>
      <c r="J156" s="24" t="str">
        <f aca="false">IF($B156="","",IFERROR(IF(INDEX(Students!$B$2:$B$301,MATCH($B156,Students!$A$2:$A$301,0))="","",INDEX(Students!$B$2:$B$301,MATCH($B156,Students!$A$2:$A$301,0))),""))</f>
        <v/>
      </c>
      <c r="K156" s="25" t="str">
        <f aca="false">IF($A156="","",IF(D156="Withdrawn",0,IF(E156&lt;&gt;"",N(E156),IFERROR(N(INDEX(Activities!$I$2:$I$201,MATCH($A156,Activities!$A$2:$A$201,0))),0))))</f>
        <v/>
      </c>
      <c r="L156" s="24" t="str">
        <f aca="false">IF(AND($A156="",$B156=""),"",IF(ISNA(MATCH($A156,Activities!$A$2:$A$201,0)),"Unknown activity",IF(ISNA(MATCH($B156,Students!$A$2:$A$301,0)),"Unknown student",IF(D156="","No status",IF(COUNTIFS($A$2:$A$1001,$A156,$B$2:$B$1001,$B156)&gt;1,"Duplicate",IF(AND(D156&lt;&gt;"Withdrawn",G156&lt;&gt;"",COUNTIFS($B$2:$B$1001,$B156,$G$2:$G$1001,G156,$D$2:$D$1001,"&lt;&gt;Withdrawn")&gt;1),"Same-day clash","OK"))))))</f>
        <v/>
      </c>
    </row>
    <row r="157" customFormat="false" ht="15" hidden="false" customHeight="false" outlineLevel="0" collapsed="false">
      <c r="E157" s="26"/>
      <c r="G157" s="23" t="str">
        <f aca="false">IF($A157="","",IFERROR(IF(INDEX(Activities!$C$2:$C$201,MATCH($A157,Activities!$A$2:$A$201,0))="","",INDEX(Activities!$C$2:$C$201,MATCH($A157,Activities!$A$2:$A$201,0))),""))</f>
        <v/>
      </c>
      <c r="H157" s="24" t="str">
        <f aca="false">IF($A157="","",IFERROR(IF(INDEX(Activities!$B$2:$B$201,MATCH($A157,Activities!$A$2:$A$201,0))="","",INDEX(Activities!$B$2:$B$201,MATCH($A157,Activities!$A$2:$A$201,0))),""))</f>
        <v/>
      </c>
      <c r="I157" s="24" t="str">
        <f aca="false">IF($B157="","",IFERROR(IF(INDEX(Students!$C$2:$C$301,MATCH($B157,Students!$A$2:$A$301,0))="","",INDEX(Students!$C$2:$C$301,MATCH($B157,Students!$A$2:$A$301,0))),""))</f>
        <v/>
      </c>
      <c r="J157" s="24" t="str">
        <f aca="false">IF($B157="","",IFERROR(IF(INDEX(Students!$B$2:$B$301,MATCH($B157,Students!$A$2:$A$301,0))="","",INDEX(Students!$B$2:$B$301,MATCH($B157,Students!$A$2:$A$301,0))),""))</f>
        <v/>
      </c>
      <c r="K157" s="25" t="str">
        <f aca="false">IF($A157="","",IF(D157="Withdrawn",0,IF(E157&lt;&gt;"",N(E157),IFERROR(N(INDEX(Activities!$I$2:$I$201,MATCH($A157,Activities!$A$2:$A$201,0))),0))))</f>
        <v/>
      </c>
      <c r="L157" s="24" t="str">
        <f aca="false">IF(AND($A157="",$B157=""),"",IF(ISNA(MATCH($A157,Activities!$A$2:$A$201,0)),"Unknown activity",IF(ISNA(MATCH($B157,Students!$A$2:$A$301,0)),"Unknown student",IF(D157="","No status",IF(COUNTIFS($A$2:$A$1001,$A157,$B$2:$B$1001,$B157)&gt;1,"Duplicate",IF(AND(D157&lt;&gt;"Withdrawn",G157&lt;&gt;"",COUNTIFS($B$2:$B$1001,$B157,$G$2:$G$1001,G157,$D$2:$D$1001,"&lt;&gt;Withdrawn")&gt;1),"Same-day clash","OK"))))))</f>
        <v/>
      </c>
    </row>
    <row r="158" customFormat="false" ht="15" hidden="false" customHeight="false" outlineLevel="0" collapsed="false">
      <c r="E158" s="26"/>
      <c r="G158" s="23" t="str">
        <f aca="false">IF($A158="","",IFERROR(IF(INDEX(Activities!$C$2:$C$201,MATCH($A158,Activities!$A$2:$A$201,0))="","",INDEX(Activities!$C$2:$C$201,MATCH($A158,Activities!$A$2:$A$201,0))),""))</f>
        <v/>
      </c>
      <c r="H158" s="24" t="str">
        <f aca="false">IF($A158="","",IFERROR(IF(INDEX(Activities!$B$2:$B$201,MATCH($A158,Activities!$A$2:$A$201,0))="","",INDEX(Activities!$B$2:$B$201,MATCH($A158,Activities!$A$2:$A$201,0))),""))</f>
        <v/>
      </c>
      <c r="I158" s="24" t="str">
        <f aca="false">IF($B158="","",IFERROR(IF(INDEX(Students!$C$2:$C$301,MATCH($B158,Students!$A$2:$A$301,0))="","",INDEX(Students!$C$2:$C$301,MATCH($B158,Students!$A$2:$A$301,0))),""))</f>
        <v/>
      </c>
      <c r="J158" s="24" t="str">
        <f aca="false">IF($B158="","",IFERROR(IF(INDEX(Students!$B$2:$B$301,MATCH($B158,Students!$A$2:$A$301,0))="","",INDEX(Students!$B$2:$B$301,MATCH($B158,Students!$A$2:$A$301,0))),""))</f>
        <v/>
      </c>
      <c r="K158" s="25" t="str">
        <f aca="false">IF($A158="","",IF(D158="Withdrawn",0,IF(E158&lt;&gt;"",N(E158),IFERROR(N(INDEX(Activities!$I$2:$I$201,MATCH($A158,Activities!$A$2:$A$201,0))),0))))</f>
        <v/>
      </c>
      <c r="L158" s="24" t="str">
        <f aca="false">IF(AND($A158="",$B158=""),"",IF(ISNA(MATCH($A158,Activities!$A$2:$A$201,0)),"Unknown activity",IF(ISNA(MATCH($B158,Students!$A$2:$A$301,0)),"Unknown student",IF(D158="","No status",IF(COUNTIFS($A$2:$A$1001,$A158,$B$2:$B$1001,$B158)&gt;1,"Duplicate",IF(AND(D158&lt;&gt;"Withdrawn",G158&lt;&gt;"",COUNTIFS($B$2:$B$1001,$B158,$G$2:$G$1001,G158,$D$2:$D$1001,"&lt;&gt;Withdrawn")&gt;1),"Same-day clash","OK"))))))</f>
        <v/>
      </c>
    </row>
    <row r="159" customFormat="false" ht="15" hidden="false" customHeight="false" outlineLevel="0" collapsed="false">
      <c r="E159" s="26"/>
      <c r="G159" s="23" t="str">
        <f aca="false">IF($A159="","",IFERROR(IF(INDEX(Activities!$C$2:$C$201,MATCH($A159,Activities!$A$2:$A$201,0))="","",INDEX(Activities!$C$2:$C$201,MATCH($A159,Activities!$A$2:$A$201,0))),""))</f>
        <v/>
      </c>
      <c r="H159" s="24" t="str">
        <f aca="false">IF($A159="","",IFERROR(IF(INDEX(Activities!$B$2:$B$201,MATCH($A159,Activities!$A$2:$A$201,0))="","",INDEX(Activities!$B$2:$B$201,MATCH($A159,Activities!$A$2:$A$201,0))),""))</f>
        <v/>
      </c>
      <c r="I159" s="24" t="str">
        <f aca="false">IF($B159="","",IFERROR(IF(INDEX(Students!$C$2:$C$301,MATCH($B159,Students!$A$2:$A$301,0))="","",INDEX(Students!$C$2:$C$301,MATCH($B159,Students!$A$2:$A$301,0))),""))</f>
        <v/>
      </c>
      <c r="J159" s="24" t="str">
        <f aca="false">IF($B159="","",IFERROR(IF(INDEX(Students!$B$2:$B$301,MATCH($B159,Students!$A$2:$A$301,0))="","",INDEX(Students!$B$2:$B$301,MATCH($B159,Students!$A$2:$A$301,0))),""))</f>
        <v/>
      </c>
      <c r="K159" s="25" t="str">
        <f aca="false">IF($A159="","",IF(D159="Withdrawn",0,IF(E159&lt;&gt;"",N(E159),IFERROR(N(INDEX(Activities!$I$2:$I$201,MATCH($A159,Activities!$A$2:$A$201,0))),0))))</f>
        <v/>
      </c>
      <c r="L159" s="24" t="str">
        <f aca="false">IF(AND($A159="",$B159=""),"",IF(ISNA(MATCH($A159,Activities!$A$2:$A$201,0)),"Unknown activity",IF(ISNA(MATCH($B159,Students!$A$2:$A$301,0)),"Unknown student",IF(D159="","No status",IF(COUNTIFS($A$2:$A$1001,$A159,$B$2:$B$1001,$B159)&gt;1,"Duplicate",IF(AND(D159&lt;&gt;"Withdrawn",G159&lt;&gt;"",COUNTIFS($B$2:$B$1001,$B159,$G$2:$G$1001,G159,$D$2:$D$1001,"&lt;&gt;Withdrawn")&gt;1),"Same-day clash","OK"))))))</f>
        <v/>
      </c>
    </row>
    <row r="160" customFormat="false" ht="15" hidden="false" customHeight="false" outlineLevel="0" collapsed="false">
      <c r="E160" s="26"/>
      <c r="G160" s="23" t="str">
        <f aca="false">IF($A160="","",IFERROR(IF(INDEX(Activities!$C$2:$C$201,MATCH($A160,Activities!$A$2:$A$201,0))="","",INDEX(Activities!$C$2:$C$201,MATCH($A160,Activities!$A$2:$A$201,0))),""))</f>
        <v/>
      </c>
      <c r="H160" s="24" t="str">
        <f aca="false">IF($A160="","",IFERROR(IF(INDEX(Activities!$B$2:$B$201,MATCH($A160,Activities!$A$2:$A$201,0))="","",INDEX(Activities!$B$2:$B$201,MATCH($A160,Activities!$A$2:$A$201,0))),""))</f>
        <v/>
      </c>
      <c r="I160" s="24" t="str">
        <f aca="false">IF($B160="","",IFERROR(IF(INDEX(Students!$C$2:$C$301,MATCH($B160,Students!$A$2:$A$301,0))="","",INDEX(Students!$C$2:$C$301,MATCH($B160,Students!$A$2:$A$301,0))),""))</f>
        <v/>
      </c>
      <c r="J160" s="24" t="str">
        <f aca="false">IF($B160="","",IFERROR(IF(INDEX(Students!$B$2:$B$301,MATCH($B160,Students!$A$2:$A$301,0))="","",INDEX(Students!$B$2:$B$301,MATCH($B160,Students!$A$2:$A$301,0))),""))</f>
        <v/>
      </c>
      <c r="K160" s="25" t="str">
        <f aca="false">IF($A160="","",IF(D160="Withdrawn",0,IF(E160&lt;&gt;"",N(E160),IFERROR(N(INDEX(Activities!$I$2:$I$201,MATCH($A160,Activities!$A$2:$A$201,0))),0))))</f>
        <v/>
      </c>
      <c r="L160" s="24" t="str">
        <f aca="false">IF(AND($A160="",$B160=""),"",IF(ISNA(MATCH($A160,Activities!$A$2:$A$201,0)),"Unknown activity",IF(ISNA(MATCH($B160,Students!$A$2:$A$301,0)),"Unknown student",IF(D160="","No status",IF(COUNTIFS($A$2:$A$1001,$A160,$B$2:$B$1001,$B160)&gt;1,"Duplicate",IF(AND(D160&lt;&gt;"Withdrawn",G160&lt;&gt;"",COUNTIFS($B$2:$B$1001,$B160,$G$2:$G$1001,G160,$D$2:$D$1001,"&lt;&gt;Withdrawn")&gt;1),"Same-day clash","OK"))))))</f>
        <v/>
      </c>
    </row>
    <row r="161" customFormat="false" ht="15" hidden="false" customHeight="false" outlineLevel="0" collapsed="false">
      <c r="E161" s="26"/>
      <c r="G161" s="23" t="str">
        <f aca="false">IF($A161="","",IFERROR(IF(INDEX(Activities!$C$2:$C$201,MATCH($A161,Activities!$A$2:$A$201,0))="","",INDEX(Activities!$C$2:$C$201,MATCH($A161,Activities!$A$2:$A$201,0))),""))</f>
        <v/>
      </c>
      <c r="H161" s="24" t="str">
        <f aca="false">IF($A161="","",IFERROR(IF(INDEX(Activities!$B$2:$B$201,MATCH($A161,Activities!$A$2:$A$201,0))="","",INDEX(Activities!$B$2:$B$201,MATCH($A161,Activities!$A$2:$A$201,0))),""))</f>
        <v/>
      </c>
      <c r="I161" s="24" t="str">
        <f aca="false">IF($B161="","",IFERROR(IF(INDEX(Students!$C$2:$C$301,MATCH($B161,Students!$A$2:$A$301,0))="","",INDEX(Students!$C$2:$C$301,MATCH($B161,Students!$A$2:$A$301,0))),""))</f>
        <v/>
      </c>
      <c r="J161" s="24" t="str">
        <f aca="false">IF($B161="","",IFERROR(IF(INDEX(Students!$B$2:$B$301,MATCH($B161,Students!$A$2:$A$301,0))="","",INDEX(Students!$B$2:$B$301,MATCH($B161,Students!$A$2:$A$301,0))),""))</f>
        <v/>
      </c>
      <c r="K161" s="25" t="str">
        <f aca="false">IF($A161="","",IF(D161="Withdrawn",0,IF(E161&lt;&gt;"",N(E161),IFERROR(N(INDEX(Activities!$I$2:$I$201,MATCH($A161,Activities!$A$2:$A$201,0))),0))))</f>
        <v/>
      </c>
      <c r="L161" s="24" t="str">
        <f aca="false">IF(AND($A161="",$B161=""),"",IF(ISNA(MATCH($A161,Activities!$A$2:$A$201,0)),"Unknown activity",IF(ISNA(MATCH($B161,Students!$A$2:$A$301,0)),"Unknown student",IF(D161="","No status",IF(COUNTIFS($A$2:$A$1001,$A161,$B$2:$B$1001,$B161)&gt;1,"Duplicate",IF(AND(D161&lt;&gt;"Withdrawn",G161&lt;&gt;"",COUNTIFS($B$2:$B$1001,$B161,$G$2:$G$1001,G161,$D$2:$D$1001,"&lt;&gt;Withdrawn")&gt;1),"Same-day clash","OK"))))))</f>
        <v/>
      </c>
    </row>
    <row r="162" customFormat="false" ht="15" hidden="false" customHeight="false" outlineLevel="0" collapsed="false">
      <c r="E162" s="26"/>
      <c r="G162" s="23" t="str">
        <f aca="false">IF($A162="","",IFERROR(IF(INDEX(Activities!$C$2:$C$201,MATCH($A162,Activities!$A$2:$A$201,0))="","",INDEX(Activities!$C$2:$C$201,MATCH($A162,Activities!$A$2:$A$201,0))),""))</f>
        <v/>
      </c>
      <c r="H162" s="24" t="str">
        <f aca="false">IF($A162="","",IFERROR(IF(INDEX(Activities!$B$2:$B$201,MATCH($A162,Activities!$A$2:$A$201,0))="","",INDEX(Activities!$B$2:$B$201,MATCH($A162,Activities!$A$2:$A$201,0))),""))</f>
        <v/>
      </c>
      <c r="I162" s="24" t="str">
        <f aca="false">IF($B162="","",IFERROR(IF(INDEX(Students!$C$2:$C$301,MATCH($B162,Students!$A$2:$A$301,0))="","",INDEX(Students!$C$2:$C$301,MATCH($B162,Students!$A$2:$A$301,0))),""))</f>
        <v/>
      </c>
      <c r="J162" s="24" t="str">
        <f aca="false">IF($B162="","",IFERROR(IF(INDEX(Students!$B$2:$B$301,MATCH($B162,Students!$A$2:$A$301,0))="","",INDEX(Students!$B$2:$B$301,MATCH($B162,Students!$A$2:$A$301,0))),""))</f>
        <v/>
      </c>
      <c r="K162" s="25" t="str">
        <f aca="false">IF($A162="","",IF(D162="Withdrawn",0,IF(E162&lt;&gt;"",N(E162),IFERROR(N(INDEX(Activities!$I$2:$I$201,MATCH($A162,Activities!$A$2:$A$201,0))),0))))</f>
        <v/>
      </c>
      <c r="L162" s="24" t="str">
        <f aca="false">IF(AND($A162="",$B162=""),"",IF(ISNA(MATCH($A162,Activities!$A$2:$A$201,0)),"Unknown activity",IF(ISNA(MATCH($B162,Students!$A$2:$A$301,0)),"Unknown student",IF(D162="","No status",IF(COUNTIFS($A$2:$A$1001,$A162,$B$2:$B$1001,$B162)&gt;1,"Duplicate",IF(AND(D162&lt;&gt;"Withdrawn",G162&lt;&gt;"",COUNTIFS($B$2:$B$1001,$B162,$G$2:$G$1001,G162,$D$2:$D$1001,"&lt;&gt;Withdrawn")&gt;1),"Same-day clash","OK"))))))</f>
        <v/>
      </c>
    </row>
    <row r="163" customFormat="false" ht="15" hidden="false" customHeight="false" outlineLevel="0" collapsed="false">
      <c r="E163" s="26"/>
      <c r="G163" s="23" t="str">
        <f aca="false">IF($A163="","",IFERROR(IF(INDEX(Activities!$C$2:$C$201,MATCH($A163,Activities!$A$2:$A$201,0))="","",INDEX(Activities!$C$2:$C$201,MATCH($A163,Activities!$A$2:$A$201,0))),""))</f>
        <v/>
      </c>
      <c r="H163" s="24" t="str">
        <f aca="false">IF($A163="","",IFERROR(IF(INDEX(Activities!$B$2:$B$201,MATCH($A163,Activities!$A$2:$A$201,0))="","",INDEX(Activities!$B$2:$B$201,MATCH($A163,Activities!$A$2:$A$201,0))),""))</f>
        <v/>
      </c>
      <c r="I163" s="24" t="str">
        <f aca="false">IF($B163="","",IFERROR(IF(INDEX(Students!$C$2:$C$301,MATCH($B163,Students!$A$2:$A$301,0))="","",INDEX(Students!$C$2:$C$301,MATCH($B163,Students!$A$2:$A$301,0))),""))</f>
        <v/>
      </c>
      <c r="J163" s="24" t="str">
        <f aca="false">IF($B163="","",IFERROR(IF(INDEX(Students!$B$2:$B$301,MATCH($B163,Students!$A$2:$A$301,0))="","",INDEX(Students!$B$2:$B$301,MATCH($B163,Students!$A$2:$A$301,0))),""))</f>
        <v/>
      </c>
      <c r="K163" s="25" t="str">
        <f aca="false">IF($A163="","",IF(D163="Withdrawn",0,IF(E163&lt;&gt;"",N(E163),IFERROR(N(INDEX(Activities!$I$2:$I$201,MATCH($A163,Activities!$A$2:$A$201,0))),0))))</f>
        <v/>
      </c>
      <c r="L163" s="24" t="str">
        <f aca="false">IF(AND($A163="",$B163=""),"",IF(ISNA(MATCH($A163,Activities!$A$2:$A$201,0)),"Unknown activity",IF(ISNA(MATCH($B163,Students!$A$2:$A$301,0)),"Unknown student",IF(D163="","No status",IF(COUNTIFS($A$2:$A$1001,$A163,$B$2:$B$1001,$B163)&gt;1,"Duplicate",IF(AND(D163&lt;&gt;"Withdrawn",G163&lt;&gt;"",COUNTIFS($B$2:$B$1001,$B163,$G$2:$G$1001,G163,$D$2:$D$1001,"&lt;&gt;Withdrawn")&gt;1),"Same-day clash","OK"))))))</f>
        <v/>
      </c>
    </row>
    <row r="164" customFormat="false" ht="15" hidden="false" customHeight="false" outlineLevel="0" collapsed="false">
      <c r="E164" s="26"/>
      <c r="G164" s="23" t="str">
        <f aca="false">IF($A164="","",IFERROR(IF(INDEX(Activities!$C$2:$C$201,MATCH($A164,Activities!$A$2:$A$201,0))="","",INDEX(Activities!$C$2:$C$201,MATCH($A164,Activities!$A$2:$A$201,0))),""))</f>
        <v/>
      </c>
      <c r="H164" s="24" t="str">
        <f aca="false">IF($A164="","",IFERROR(IF(INDEX(Activities!$B$2:$B$201,MATCH($A164,Activities!$A$2:$A$201,0))="","",INDEX(Activities!$B$2:$B$201,MATCH($A164,Activities!$A$2:$A$201,0))),""))</f>
        <v/>
      </c>
      <c r="I164" s="24" t="str">
        <f aca="false">IF($B164="","",IFERROR(IF(INDEX(Students!$C$2:$C$301,MATCH($B164,Students!$A$2:$A$301,0))="","",INDEX(Students!$C$2:$C$301,MATCH($B164,Students!$A$2:$A$301,0))),""))</f>
        <v/>
      </c>
      <c r="J164" s="24" t="str">
        <f aca="false">IF($B164="","",IFERROR(IF(INDEX(Students!$B$2:$B$301,MATCH($B164,Students!$A$2:$A$301,0))="","",INDEX(Students!$B$2:$B$301,MATCH($B164,Students!$A$2:$A$301,0))),""))</f>
        <v/>
      </c>
      <c r="K164" s="25" t="str">
        <f aca="false">IF($A164="","",IF(D164="Withdrawn",0,IF(E164&lt;&gt;"",N(E164),IFERROR(N(INDEX(Activities!$I$2:$I$201,MATCH($A164,Activities!$A$2:$A$201,0))),0))))</f>
        <v/>
      </c>
      <c r="L164" s="24" t="str">
        <f aca="false">IF(AND($A164="",$B164=""),"",IF(ISNA(MATCH($A164,Activities!$A$2:$A$201,0)),"Unknown activity",IF(ISNA(MATCH($B164,Students!$A$2:$A$301,0)),"Unknown student",IF(D164="","No status",IF(COUNTIFS($A$2:$A$1001,$A164,$B$2:$B$1001,$B164)&gt;1,"Duplicate",IF(AND(D164&lt;&gt;"Withdrawn",G164&lt;&gt;"",COUNTIFS($B$2:$B$1001,$B164,$G$2:$G$1001,G164,$D$2:$D$1001,"&lt;&gt;Withdrawn")&gt;1),"Same-day clash","OK"))))))</f>
        <v/>
      </c>
    </row>
    <row r="165" customFormat="false" ht="15" hidden="false" customHeight="false" outlineLevel="0" collapsed="false">
      <c r="E165" s="26"/>
      <c r="G165" s="23" t="str">
        <f aca="false">IF($A165="","",IFERROR(IF(INDEX(Activities!$C$2:$C$201,MATCH($A165,Activities!$A$2:$A$201,0))="","",INDEX(Activities!$C$2:$C$201,MATCH($A165,Activities!$A$2:$A$201,0))),""))</f>
        <v/>
      </c>
      <c r="H165" s="24" t="str">
        <f aca="false">IF($A165="","",IFERROR(IF(INDEX(Activities!$B$2:$B$201,MATCH($A165,Activities!$A$2:$A$201,0))="","",INDEX(Activities!$B$2:$B$201,MATCH($A165,Activities!$A$2:$A$201,0))),""))</f>
        <v/>
      </c>
      <c r="I165" s="24" t="str">
        <f aca="false">IF($B165="","",IFERROR(IF(INDEX(Students!$C$2:$C$301,MATCH($B165,Students!$A$2:$A$301,0))="","",INDEX(Students!$C$2:$C$301,MATCH($B165,Students!$A$2:$A$301,0))),""))</f>
        <v/>
      </c>
      <c r="J165" s="24" t="str">
        <f aca="false">IF($B165="","",IFERROR(IF(INDEX(Students!$B$2:$B$301,MATCH($B165,Students!$A$2:$A$301,0))="","",INDEX(Students!$B$2:$B$301,MATCH($B165,Students!$A$2:$A$301,0))),""))</f>
        <v/>
      </c>
      <c r="K165" s="25" t="str">
        <f aca="false">IF($A165="","",IF(D165="Withdrawn",0,IF(E165&lt;&gt;"",N(E165),IFERROR(N(INDEX(Activities!$I$2:$I$201,MATCH($A165,Activities!$A$2:$A$201,0))),0))))</f>
        <v/>
      </c>
      <c r="L165" s="24" t="str">
        <f aca="false">IF(AND($A165="",$B165=""),"",IF(ISNA(MATCH($A165,Activities!$A$2:$A$201,0)),"Unknown activity",IF(ISNA(MATCH($B165,Students!$A$2:$A$301,0)),"Unknown student",IF(D165="","No status",IF(COUNTIFS($A$2:$A$1001,$A165,$B$2:$B$1001,$B165)&gt;1,"Duplicate",IF(AND(D165&lt;&gt;"Withdrawn",G165&lt;&gt;"",COUNTIFS($B$2:$B$1001,$B165,$G$2:$G$1001,G165,$D$2:$D$1001,"&lt;&gt;Withdrawn")&gt;1),"Same-day clash","OK"))))))</f>
        <v/>
      </c>
    </row>
    <row r="166" customFormat="false" ht="15" hidden="false" customHeight="false" outlineLevel="0" collapsed="false">
      <c r="E166" s="26"/>
      <c r="G166" s="23" t="str">
        <f aca="false">IF($A166="","",IFERROR(IF(INDEX(Activities!$C$2:$C$201,MATCH($A166,Activities!$A$2:$A$201,0))="","",INDEX(Activities!$C$2:$C$201,MATCH($A166,Activities!$A$2:$A$201,0))),""))</f>
        <v/>
      </c>
      <c r="H166" s="24" t="str">
        <f aca="false">IF($A166="","",IFERROR(IF(INDEX(Activities!$B$2:$B$201,MATCH($A166,Activities!$A$2:$A$201,0))="","",INDEX(Activities!$B$2:$B$201,MATCH($A166,Activities!$A$2:$A$201,0))),""))</f>
        <v/>
      </c>
      <c r="I166" s="24" t="str">
        <f aca="false">IF($B166="","",IFERROR(IF(INDEX(Students!$C$2:$C$301,MATCH($B166,Students!$A$2:$A$301,0))="","",INDEX(Students!$C$2:$C$301,MATCH($B166,Students!$A$2:$A$301,0))),""))</f>
        <v/>
      </c>
      <c r="J166" s="24" t="str">
        <f aca="false">IF($B166="","",IFERROR(IF(INDEX(Students!$B$2:$B$301,MATCH($B166,Students!$A$2:$A$301,0))="","",INDEX(Students!$B$2:$B$301,MATCH($B166,Students!$A$2:$A$301,0))),""))</f>
        <v/>
      </c>
      <c r="K166" s="25" t="str">
        <f aca="false">IF($A166="","",IF(D166="Withdrawn",0,IF(E166&lt;&gt;"",N(E166),IFERROR(N(INDEX(Activities!$I$2:$I$201,MATCH($A166,Activities!$A$2:$A$201,0))),0))))</f>
        <v/>
      </c>
      <c r="L166" s="24" t="str">
        <f aca="false">IF(AND($A166="",$B166=""),"",IF(ISNA(MATCH($A166,Activities!$A$2:$A$201,0)),"Unknown activity",IF(ISNA(MATCH($B166,Students!$A$2:$A$301,0)),"Unknown student",IF(D166="","No status",IF(COUNTIFS($A$2:$A$1001,$A166,$B$2:$B$1001,$B166)&gt;1,"Duplicate",IF(AND(D166&lt;&gt;"Withdrawn",G166&lt;&gt;"",COUNTIFS($B$2:$B$1001,$B166,$G$2:$G$1001,G166,$D$2:$D$1001,"&lt;&gt;Withdrawn")&gt;1),"Same-day clash","OK"))))))</f>
        <v/>
      </c>
    </row>
    <row r="167" customFormat="false" ht="15" hidden="false" customHeight="false" outlineLevel="0" collapsed="false">
      <c r="E167" s="26"/>
      <c r="G167" s="23" t="str">
        <f aca="false">IF($A167="","",IFERROR(IF(INDEX(Activities!$C$2:$C$201,MATCH($A167,Activities!$A$2:$A$201,0))="","",INDEX(Activities!$C$2:$C$201,MATCH($A167,Activities!$A$2:$A$201,0))),""))</f>
        <v/>
      </c>
      <c r="H167" s="24" t="str">
        <f aca="false">IF($A167="","",IFERROR(IF(INDEX(Activities!$B$2:$B$201,MATCH($A167,Activities!$A$2:$A$201,0))="","",INDEX(Activities!$B$2:$B$201,MATCH($A167,Activities!$A$2:$A$201,0))),""))</f>
        <v/>
      </c>
      <c r="I167" s="24" t="str">
        <f aca="false">IF($B167="","",IFERROR(IF(INDEX(Students!$C$2:$C$301,MATCH($B167,Students!$A$2:$A$301,0))="","",INDEX(Students!$C$2:$C$301,MATCH($B167,Students!$A$2:$A$301,0))),""))</f>
        <v/>
      </c>
      <c r="J167" s="24" t="str">
        <f aca="false">IF($B167="","",IFERROR(IF(INDEX(Students!$B$2:$B$301,MATCH($B167,Students!$A$2:$A$301,0))="","",INDEX(Students!$B$2:$B$301,MATCH($B167,Students!$A$2:$A$301,0))),""))</f>
        <v/>
      </c>
      <c r="K167" s="25" t="str">
        <f aca="false">IF($A167="","",IF(D167="Withdrawn",0,IF(E167&lt;&gt;"",N(E167),IFERROR(N(INDEX(Activities!$I$2:$I$201,MATCH($A167,Activities!$A$2:$A$201,0))),0))))</f>
        <v/>
      </c>
      <c r="L167" s="24" t="str">
        <f aca="false">IF(AND($A167="",$B167=""),"",IF(ISNA(MATCH($A167,Activities!$A$2:$A$201,0)),"Unknown activity",IF(ISNA(MATCH($B167,Students!$A$2:$A$301,0)),"Unknown student",IF(D167="","No status",IF(COUNTIFS($A$2:$A$1001,$A167,$B$2:$B$1001,$B167)&gt;1,"Duplicate",IF(AND(D167&lt;&gt;"Withdrawn",G167&lt;&gt;"",COUNTIFS($B$2:$B$1001,$B167,$G$2:$G$1001,G167,$D$2:$D$1001,"&lt;&gt;Withdrawn")&gt;1),"Same-day clash","OK"))))))</f>
        <v/>
      </c>
    </row>
    <row r="168" customFormat="false" ht="15" hidden="false" customHeight="false" outlineLevel="0" collapsed="false">
      <c r="E168" s="26"/>
      <c r="G168" s="23" t="str">
        <f aca="false">IF($A168="","",IFERROR(IF(INDEX(Activities!$C$2:$C$201,MATCH($A168,Activities!$A$2:$A$201,0))="","",INDEX(Activities!$C$2:$C$201,MATCH($A168,Activities!$A$2:$A$201,0))),""))</f>
        <v/>
      </c>
      <c r="H168" s="24" t="str">
        <f aca="false">IF($A168="","",IFERROR(IF(INDEX(Activities!$B$2:$B$201,MATCH($A168,Activities!$A$2:$A$201,0))="","",INDEX(Activities!$B$2:$B$201,MATCH($A168,Activities!$A$2:$A$201,0))),""))</f>
        <v/>
      </c>
      <c r="I168" s="24" t="str">
        <f aca="false">IF($B168="","",IFERROR(IF(INDEX(Students!$C$2:$C$301,MATCH($B168,Students!$A$2:$A$301,0))="","",INDEX(Students!$C$2:$C$301,MATCH($B168,Students!$A$2:$A$301,0))),""))</f>
        <v/>
      </c>
      <c r="J168" s="24" t="str">
        <f aca="false">IF($B168="","",IFERROR(IF(INDEX(Students!$B$2:$B$301,MATCH($B168,Students!$A$2:$A$301,0))="","",INDEX(Students!$B$2:$B$301,MATCH($B168,Students!$A$2:$A$301,0))),""))</f>
        <v/>
      </c>
      <c r="K168" s="25" t="str">
        <f aca="false">IF($A168="","",IF(D168="Withdrawn",0,IF(E168&lt;&gt;"",N(E168),IFERROR(N(INDEX(Activities!$I$2:$I$201,MATCH($A168,Activities!$A$2:$A$201,0))),0))))</f>
        <v/>
      </c>
      <c r="L168" s="24" t="str">
        <f aca="false">IF(AND($A168="",$B168=""),"",IF(ISNA(MATCH($A168,Activities!$A$2:$A$201,0)),"Unknown activity",IF(ISNA(MATCH($B168,Students!$A$2:$A$301,0)),"Unknown student",IF(D168="","No status",IF(COUNTIFS($A$2:$A$1001,$A168,$B$2:$B$1001,$B168)&gt;1,"Duplicate",IF(AND(D168&lt;&gt;"Withdrawn",G168&lt;&gt;"",COUNTIFS($B$2:$B$1001,$B168,$G$2:$G$1001,G168,$D$2:$D$1001,"&lt;&gt;Withdrawn")&gt;1),"Same-day clash","OK"))))))</f>
        <v/>
      </c>
    </row>
    <row r="169" customFormat="false" ht="15" hidden="false" customHeight="false" outlineLevel="0" collapsed="false">
      <c r="E169" s="26"/>
      <c r="G169" s="23" t="str">
        <f aca="false">IF($A169="","",IFERROR(IF(INDEX(Activities!$C$2:$C$201,MATCH($A169,Activities!$A$2:$A$201,0))="","",INDEX(Activities!$C$2:$C$201,MATCH($A169,Activities!$A$2:$A$201,0))),""))</f>
        <v/>
      </c>
      <c r="H169" s="24" t="str">
        <f aca="false">IF($A169="","",IFERROR(IF(INDEX(Activities!$B$2:$B$201,MATCH($A169,Activities!$A$2:$A$201,0))="","",INDEX(Activities!$B$2:$B$201,MATCH($A169,Activities!$A$2:$A$201,0))),""))</f>
        <v/>
      </c>
      <c r="I169" s="24" t="str">
        <f aca="false">IF($B169="","",IFERROR(IF(INDEX(Students!$C$2:$C$301,MATCH($B169,Students!$A$2:$A$301,0))="","",INDEX(Students!$C$2:$C$301,MATCH($B169,Students!$A$2:$A$301,0))),""))</f>
        <v/>
      </c>
      <c r="J169" s="24" t="str">
        <f aca="false">IF($B169="","",IFERROR(IF(INDEX(Students!$B$2:$B$301,MATCH($B169,Students!$A$2:$A$301,0))="","",INDEX(Students!$B$2:$B$301,MATCH($B169,Students!$A$2:$A$301,0))),""))</f>
        <v/>
      </c>
      <c r="K169" s="25" t="str">
        <f aca="false">IF($A169="","",IF(D169="Withdrawn",0,IF(E169&lt;&gt;"",N(E169),IFERROR(N(INDEX(Activities!$I$2:$I$201,MATCH($A169,Activities!$A$2:$A$201,0))),0))))</f>
        <v/>
      </c>
      <c r="L169" s="24" t="str">
        <f aca="false">IF(AND($A169="",$B169=""),"",IF(ISNA(MATCH($A169,Activities!$A$2:$A$201,0)),"Unknown activity",IF(ISNA(MATCH($B169,Students!$A$2:$A$301,0)),"Unknown student",IF(D169="","No status",IF(COUNTIFS($A$2:$A$1001,$A169,$B$2:$B$1001,$B169)&gt;1,"Duplicate",IF(AND(D169&lt;&gt;"Withdrawn",G169&lt;&gt;"",COUNTIFS($B$2:$B$1001,$B169,$G$2:$G$1001,G169,$D$2:$D$1001,"&lt;&gt;Withdrawn")&gt;1),"Same-day clash","OK"))))))</f>
        <v/>
      </c>
    </row>
    <row r="170" customFormat="false" ht="15" hidden="false" customHeight="false" outlineLevel="0" collapsed="false">
      <c r="E170" s="26"/>
      <c r="G170" s="23" t="str">
        <f aca="false">IF($A170="","",IFERROR(IF(INDEX(Activities!$C$2:$C$201,MATCH($A170,Activities!$A$2:$A$201,0))="","",INDEX(Activities!$C$2:$C$201,MATCH($A170,Activities!$A$2:$A$201,0))),""))</f>
        <v/>
      </c>
      <c r="H170" s="24" t="str">
        <f aca="false">IF($A170="","",IFERROR(IF(INDEX(Activities!$B$2:$B$201,MATCH($A170,Activities!$A$2:$A$201,0))="","",INDEX(Activities!$B$2:$B$201,MATCH($A170,Activities!$A$2:$A$201,0))),""))</f>
        <v/>
      </c>
      <c r="I170" s="24" t="str">
        <f aca="false">IF($B170="","",IFERROR(IF(INDEX(Students!$C$2:$C$301,MATCH($B170,Students!$A$2:$A$301,0))="","",INDEX(Students!$C$2:$C$301,MATCH($B170,Students!$A$2:$A$301,0))),""))</f>
        <v/>
      </c>
      <c r="J170" s="24" t="str">
        <f aca="false">IF($B170="","",IFERROR(IF(INDEX(Students!$B$2:$B$301,MATCH($B170,Students!$A$2:$A$301,0))="","",INDEX(Students!$B$2:$B$301,MATCH($B170,Students!$A$2:$A$301,0))),""))</f>
        <v/>
      </c>
      <c r="K170" s="25" t="str">
        <f aca="false">IF($A170="","",IF(D170="Withdrawn",0,IF(E170&lt;&gt;"",N(E170),IFERROR(N(INDEX(Activities!$I$2:$I$201,MATCH($A170,Activities!$A$2:$A$201,0))),0))))</f>
        <v/>
      </c>
      <c r="L170" s="24" t="str">
        <f aca="false">IF(AND($A170="",$B170=""),"",IF(ISNA(MATCH($A170,Activities!$A$2:$A$201,0)),"Unknown activity",IF(ISNA(MATCH($B170,Students!$A$2:$A$301,0)),"Unknown student",IF(D170="","No status",IF(COUNTIFS($A$2:$A$1001,$A170,$B$2:$B$1001,$B170)&gt;1,"Duplicate",IF(AND(D170&lt;&gt;"Withdrawn",G170&lt;&gt;"",COUNTIFS($B$2:$B$1001,$B170,$G$2:$G$1001,G170,$D$2:$D$1001,"&lt;&gt;Withdrawn")&gt;1),"Same-day clash","OK"))))))</f>
        <v/>
      </c>
    </row>
    <row r="171" customFormat="false" ht="15" hidden="false" customHeight="false" outlineLevel="0" collapsed="false">
      <c r="E171" s="26"/>
      <c r="G171" s="23" t="str">
        <f aca="false">IF($A171="","",IFERROR(IF(INDEX(Activities!$C$2:$C$201,MATCH($A171,Activities!$A$2:$A$201,0))="","",INDEX(Activities!$C$2:$C$201,MATCH($A171,Activities!$A$2:$A$201,0))),""))</f>
        <v/>
      </c>
      <c r="H171" s="24" t="str">
        <f aca="false">IF($A171="","",IFERROR(IF(INDEX(Activities!$B$2:$B$201,MATCH($A171,Activities!$A$2:$A$201,0))="","",INDEX(Activities!$B$2:$B$201,MATCH($A171,Activities!$A$2:$A$201,0))),""))</f>
        <v/>
      </c>
      <c r="I171" s="24" t="str">
        <f aca="false">IF($B171="","",IFERROR(IF(INDEX(Students!$C$2:$C$301,MATCH($B171,Students!$A$2:$A$301,0))="","",INDEX(Students!$C$2:$C$301,MATCH($B171,Students!$A$2:$A$301,0))),""))</f>
        <v/>
      </c>
      <c r="J171" s="24" t="str">
        <f aca="false">IF($B171="","",IFERROR(IF(INDEX(Students!$B$2:$B$301,MATCH($B171,Students!$A$2:$A$301,0))="","",INDEX(Students!$B$2:$B$301,MATCH($B171,Students!$A$2:$A$301,0))),""))</f>
        <v/>
      </c>
      <c r="K171" s="25" t="str">
        <f aca="false">IF($A171="","",IF(D171="Withdrawn",0,IF(E171&lt;&gt;"",N(E171),IFERROR(N(INDEX(Activities!$I$2:$I$201,MATCH($A171,Activities!$A$2:$A$201,0))),0))))</f>
        <v/>
      </c>
      <c r="L171" s="24" t="str">
        <f aca="false">IF(AND($A171="",$B171=""),"",IF(ISNA(MATCH($A171,Activities!$A$2:$A$201,0)),"Unknown activity",IF(ISNA(MATCH($B171,Students!$A$2:$A$301,0)),"Unknown student",IF(D171="","No status",IF(COUNTIFS($A$2:$A$1001,$A171,$B$2:$B$1001,$B171)&gt;1,"Duplicate",IF(AND(D171&lt;&gt;"Withdrawn",G171&lt;&gt;"",COUNTIFS($B$2:$B$1001,$B171,$G$2:$G$1001,G171,$D$2:$D$1001,"&lt;&gt;Withdrawn")&gt;1),"Same-day clash","OK"))))))</f>
        <v/>
      </c>
    </row>
    <row r="172" customFormat="false" ht="15" hidden="false" customHeight="false" outlineLevel="0" collapsed="false">
      <c r="E172" s="26"/>
      <c r="G172" s="23" t="str">
        <f aca="false">IF($A172="","",IFERROR(IF(INDEX(Activities!$C$2:$C$201,MATCH($A172,Activities!$A$2:$A$201,0))="","",INDEX(Activities!$C$2:$C$201,MATCH($A172,Activities!$A$2:$A$201,0))),""))</f>
        <v/>
      </c>
      <c r="H172" s="24" t="str">
        <f aca="false">IF($A172="","",IFERROR(IF(INDEX(Activities!$B$2:$B$201,MATCH($A172,Activities!$A$2:$A$201,0))="","",INDEX(Activities!$B$2:$B$201,MATCH($A172,Activities!$A$2:$A$201,0))),""))</f>
        <v/>
      </c>
      <c r="I172" s="24" t="str">
        <f aca="false">IF($B172="","",IFERROR(IF(INDEX(Students!$C$2:$C$301,MATCH($B172,Students!$A$2:$A$301,0))="","",INDEX(Students!$C$2:$C$301,MATCH($B172,Students!$A$2:$A$301,0))),""))</f>
        <v/>
      </c>
      <c r="J172" s="24" t="str">
        <f aca="false">IF($B172="","",IFERROR(IF(INDEX(Students!$B$2:$B$301,MATCH($B172,Students!$A$2:$A$301,0))="","",INDEX(Students!$B$2:$B$301,MATCH($B172,Students!$A$2:$A$301,0))),""))</f>
        <v/>
      </c>
      <c r="K172" s="25" t="str">
        <f aca="false">IF($A172="","",IF(D172="Withdrawn",0,IF(E172&lt;&gt;"",N(E172),IFERROR(N(INDEX(Activities!$I$2:$I$201,MATCH($A172,Activities!$A$2:$A$201,0))),0))))</f>
        <v/>
      </c>
      <c r="L172" s="24" t="str">
        <f aca="false">IF(AND($A172="",$B172=""),"",IF(ISNA(MATCH($A172,Activities!$A$2:$A$201,0)),"Unknown activity",IF(ISNA(MATCH($B172,Students!$A$2:$A$301,0)),"Unknown student",IF(D172="","No status",IF(COUNTIFS($A$2:$A$1001,$A172,$B$2:$B$1001,$B172)&gt;1,"Duplicate",IF(AND(D172&lt;&gt;"Withdrawn",G172&lt;&gt;"",COUNTIFS($B$2:$B$1001,$B172,$G$2:$G$1001,G172,$D$2:$D$1001,"&lt;&gt;Withdrawn")&gt;1),"Same-day clash","OK"))))))</f>
        <v/>
      </c>
    </row>
    <row r="173" customFormat="false" ht="15" hidden="false" customHeight="false" outlineLevel="0" collapsed="false">
      <c r="E173" s="26"/>
      <c r="G173" s="23" t="str">
        <f aca="false">IF($A173="","",IFERROR(IF(INDEX(Activities!$C$2:$C$201,MATCH($A173,Activities!$A$2:$A$201,0))="","",INDEX(Activities!$C$2:$C$201,MATCH($A173,Activities!$A$2:$A$201,0))),""))</f>
        <v/>
      </c>
      <c r="H173" s="24" t="str">
        <f aca="false">IF($A173="","",IFERROR(IF(INDEX(Activities!$B$2:$B$201,MATCH($A173,Activities!$A$2:$A$201,0))="","",INDEX(Activities!$B$2:$B$201,MATCH($A173,Activities!$A$2:$A$201,0))),""))</f>
        <v/>
      </c>
      <c r="I173" s="24" t="str">
        <f aca="false">IF($B173="","",IFERROR(IF(INDEX(Students!$C$2:$C$301,MATCH($B173,Students!$A$2:$A$301,0))="","",INDEX(Students!$C$2:$C$301,MATCH($B173,Students!$A$2:$A$301,0))),""))</f>
        <v/>
      </c>
      <c r="J173" s="24" t="str">
        <f aca="false">IF($B173="","",IFERROR(IF(INDEX(Students!$B$2:$B$301,MATCH($B173,Students!$A$2:$A$301,0))="","",INDEX(Students!$B$2:$B$301,MATCH($B173,Students!$A$2:$A$301,0))),""))</f>
        <v/>
      </c>
      <c r="K173" s="25" t="str">
        <f aca="false">IF($A173="","",IF(D173="Withdrawn",0,IF(E173&lt;&gt;"",N(E173),IFERROR(N(INDEX(Activities!$I$2:$I$201,MATCH($A173,Activities!$A$2:$A$201,0))),0))))</f>
        <v/>
      </c>
      <c r="L173" s="24" t="str">
        <f aca="false">IF(AND($A173="",$B173=""),"",IF(ISNA(MATCH($A173,Activities!$A$2:$A$201,0)),"Unknown activity",IF(ISNA(MATCH($B173,Students!$A$2:$A$301,0)),"Unknown student",IF(D173="","No status",IF(COUNTIFS($A$2:$A$1001,$A173,$B$2:$B$1001,$B173)&gt;1,"Duplicate",IF(AND(D173&lt;&gt;"Withdrawn",G173&lt;&gt;"",COUNTIFS($B$2:$B$1001,$B173,$G$2:$G$1001,G173,$D$2:$D$1001,"&lt;&gt;Withdrawn")&gt;1),"Same-day clash","OK"))))))</f>
        <v/>
      </c>
    </row>
    <row r="174" customFormat="false" ht="15" hidden="false" customHeight="false" outlineLevel="0" collapsed="false">
      <c r="E174" s="26"/>
      <c r="G174" s="23" t="str">
        <f aca="false">IF($A174="","",IFERROR(IF(INDEX(Activities!$C$2:$C$201,MATCH($A174,Activities!$A$2:$A$201,0))="","",INDEX(Activities!$C$2:$C$201,MATCH($A174,Activities!$A$2:$A$201,0))),""))</f>
        <v/>
      </c>
      <c r="H174" s="24" t="str">
        <f aca="false">IF($A174="","",IFERROR(IF(INDEX(Activities!$B$2:$B$201,MATCH($A174,Activities!$A$2:$A$201,0))="","",INDEX(Activities!$B$2:$B$201,MATCH($A174,Activities!$A$2:$A$201,0))),""))</f>
        <v/>
      </c>
      <c r="I174" s="24" t="str">
        <f aca="false">IF($B174="","",IFERROR(IF(INDEX(Students!$C$2:$C$301,MATCH($B174,Students!$A$2:$A$301,0))="","",INDEX(Students!$C$2:$C$301,MATCH($B174,Students!$A$2:$A$301,0))),""))</f>
        <v/>
      </c>
      <c r="J174" s="24" t="str">
        <f aca="false">IF($B174="","",IFERROR(IF(INDEX(Students!$B$2:$B$301,MATCH($B174,Students!$A$2:$A$301,0))="","",INDEX(Students!$B$2:$B$301,MATCH($B174,Students!$A$2:$A$301,0))),""))</f>
        <v/>
      </c>
      <c r="K174" s="25" t="str">
        <f aca="false">IF($A174="","",IF(D174="Withdrawn",0,IF(E174&lt;&gt;"",N(E174),IFERROR(N(INDEX(Activities!$I$2:$I$201,MATCH($A174,Activities!$A$2:$A$201,0))),0))))</f>
        <v/>
      </c>
      <c r="L174" s="24" t="str">
        <f aca="false">IF(AND($A174="",$B174=""),"",IF(ISNA(MATCH($A174,Activities!$A$2:$A$201,0)),"Unknown activity",IF(ISNA(MATCH($B174,Students!$A$2:$A$301,0)),"Unknown student",IF(D174="","No status",IF(COUNTIFS($A$2:$A$1001,$A174,$B$2:$B$1001,$B174)&gt;1,"Duplicate",IF(AND(D174&lt;&gt;"Withdrawn",G174&lt;&gt;"",COUNTIFS($B$2:$B$1001,$B174,$G$2:$G$1001,G174,$D$2:$D$1001,"&lt;&gt;Withdrawn")&gt;1),"Same-day clash","OK"))))))</f>
        <v/>
      </c>
    </row>
    <row r="175" customFormat="false" ht="15" hidden="false" customHeight="false" outlineLevel="0" collapsed="false">
      <c r="E175" s="26"/>
      <c r="G175" s="23" t="str">
        <f aca="false">IF($A175="","",IFERROR(IF(INDEX(Activities!$C$2:$C$201,MATCH($A175,Activities!$A$2:$A$201,0))="","",INDEX(Activities!$C$2:$C$201,MATCH($A175,Activities!$A$2:$A$201,0))),""))</f>
        <v/>
      </c>
      <c r="H175" s="24" t="str">
        <f aca="false">IF($A175="","",IFERROR(IF(INDEX(Activities!$B$2:$B$201,MATCH($A175,Activities!$A$2:$A$201,0))="","",INDEX(Activities!$B$2:$B$201,MATCH($A175,Activities!$A$2:$A$201,0))),""))</f>
        <v/>
      </c>
      <c r="I175" s="24" t="str">
        <f aca="false">IF($B175="","",IFERROR(IF(INDEX(Students!$C$2:$C$301,MATCH($B175,Students!$A$2:$A$301,0))="","",INDEX(Students!$C$2:$C$301,MATCH($B175,Students!$A$2:$A$301,0))),""))</f>
        <v/>
      </c>
      <c r="J175" s="24" t="str">
        <f aca="false">IF($B175="","",IFERROR(IF(INDEX(Students!$B$2:$B$301,MATCH($B175,Students!$A$2:$A$301,0))="","",INDEX(Students!$B$2:$B$301,MATCH($B175,Students!$A$2:$A$301,0))),""))</f>
        <v/>
      </c>
      <c r="K175" s="25" t="str">
        <f aca="false">IF($A175="","",IF(D175="Withdrawn",0,IF(E175&lt;&gt;"",N(E175),IFERROR(N(INDEX(Activities!$I$2:$I$201,MATCH($A175,Activities!$A$2:$A$201,0))),0))))</f>
        <v/>
      </c>
      <c r="L175" s="24" t="str">
        <f aca="false">IF(AND($A175="",$B175=""),"",IF(ISNA(MATCH($A175,Activities!$A$2:$A$201,0)),"Unknown activity",IF(ISNA(MATCH($B175,Students!$A$2:$A$301,0)),"Unknown student",IF(D175="","No status",IF(COUNTIFS($A$2:$A$1001,$A175,$B$2:$B$1001,$B175)&gt;1,"Duplicate",IF(AND(D175&lt;&gt;"Withdrawn",G175&lt;&gt;"",COUNTIFS($B$2:$B$1001,$B175,$G$2:$G$1001,G175,$D$2:$D$1001,"&lt;&gt;Withdrawn")&gt;1),"Same-day clash","OK"))))))</f>
        <v/>
      </c>
    </row>
    <row r="176" customFormat="false" ht="15" hidden="false" customHeight="false" outlineLevel="0" collapsed="false">
      <c r="E176" s="26"/>
      <c r="G176" s="23" t="str">
        <f aca="false">IF($A176="","",IFERROR(IF(INDEX(Activities!$C$2:$C$201,MATCH($A176,Activities!$A$2:$A$201,0))="","",INDEX(Activities!$C$2:$C$201,MATCH($A176,Activities!$A$2:$A$201,0))),""))</f>
        <v/>
      </c>
      <c r="H176" s="24" t="str">
        <f aca="false">IF($A176="","",IFERROR(IF(INDEX(Activities!$B$2:$B$201,MATCH($A176,Activities!$A$2:$A$201,0))="","",INDEX(Activities!$B$2:$B$201,MATCH($A176,Activities!$A$2:$A$201,0))),""))</f>
        <v/>
      </c>
      <c r="I176" s="24" t="str">
        <f aca="false">IF($B176="","",IFERROR(IF(INDEX(Students!$C$2:$C$301,MATCH($B176,Students!$A$2:$A$301,0))="","",INDEX(Students!$C$2:$C$301,MATCH($B176,Students!$A$2:$A$301,0))),""))</f>
        <v/>
      </c>
      <c r="J176" s="24" t="str">
        <f aca="false">IF($B176="","",IFERROR(IF(INDEX(Students!$B$2:$B$301,MATCH($B176,Students!$A$2:$A$301,0))="","",INDEX(Students!$B$2:$B$301,MATCH($B176,Students!$A$2:$A$301,0))),""))</f>
        <v/>
      </c>
      <c r="K176" s="25" t="str">
        <f aca="false">IF($A176="","",IF(D176="Withdrawn",0,IF(E176&lt;&gt;"",N(E176),IFERROR(N(INDEX(Activities!$I$2:$I$201,MATCH($A176,Activities!$A$2:$A$201,0))),0))))</f>
        <v/>
      </c>
      <c r="L176" s="24" t="str">
        <f aca="false">IF(AND($A176="",$B176=""),"",IF(ISNA(MATCH($A176,Activities!$A$2:$A$201,0)),"Unknown activity",IF(ISNA(MATCH($B176,Students!$A$2:$A$301,0)),"Unknown student",IF(D176="","No status",IF(COUNTIFS($A$2:$A$1001,$A176,$B$2:$B$1001,$B176)&gt;1,"Duplicate",IF(AND(D176&lt;&gt;"Withdrawn",G176&lt;&gt;"",COUNTIFS($B$2:$B$1001,$B176,$G$2:$G$1001,G176,$D$2:$D$1001,"&lt;&gt;Withdrawn")&gt;1),"Same-day clash","OK"))))))</f>
        <v/>
      </c>
    </row>
    <row r="177" customFormat="false" ht="15" hidden="false" customHeight="false" outlineLevel="0" collapsed="false">
      <c r="E177" s="26"/>
      <c r="G177" s="23" t="str">
        <f aca="false">IF($A177="","",IFERROR(IF(INDEX(Activities!$C$2:$C$201,MATCH($A177,Activities!$A$2:$A$201,0))="","",INDEX(Activities!$C$2:$C$201,MATCH($A177,Activities!$A$2:$A$201,0))),""))</f>
        <v/>
      </c>
      <c r="H177" s="24" t="str">
        <f aca="false">IF($A177="","",IFERROR(IF(INDEX(Activities!$B$2:$B$201,MATCH($A177,Activities!$A$2:$A$201,0))="","",INDEX(Activities!$B$2:$B$201,MATCH($A177,Activities!$A$2:$A$201,0))),""))</f>
        <v/>
      </c>
      <c r="I177" s="24" t="str">
        <f aca="false">IF($B177="","",IFERROR(IF(INDEX(Students!$C$2:$C$301,MATCH($B177,Students!$A$2:$A$301,0))="","",INDEX(Students!$C$2:$C$301,MATCH($B177,Students!$A$2:$A$301,0))),""))</f>
        <v/>
      </c>
      <c r="J177" s="24" t="str">
        <f aca="false">IF($B177="","",IFERROR(IF(INDEX(Students!$B$2:$B$301,MATCH($B177,Students!$A$2:$A$301,0))="","",INDEX(Students!$B$2:$B$301,MATCH($B177,Students!$A$2:$A$301,0))),""))</f>
        <v/>
      </c>
      <c r="K177" s="25" t="str">
        <f aca="false">IF($A177="","",IF(D177="Withdrawn",0,IF(E177&lt;&gt;"",N(E177),IFERROR(N(INDEX(Activities!$I$2:$I$201,MATCH($A177,Activities!$A$2:$A$201,0))),0))))</f>
        <v/>
      </c>
      <c r="L177" s="24" t="str">
        <f aca="false">IF(AND($A177="",$B177=""),"",IF(ISNA(MATCH($A177,Activities!$A$2:$A$201,0)),"Unknown activity",IF(ISNA(MATCH($B177,Students!$A$2:$A$301,0)),"Unknown student",IF(D177="","No status",IF(COUNTIFS($A$2:$A$1001,$A177,$B$2:$B$1001,$B177)&gt;1,"Duplicate",IF(AND(D177&lt;&gt;"Withdrawn",G177&lt;&gt;"",COUNTIFS($B$2:$B$1001,$B177,$G$2:$G$1001,G177,$D$2:$D$1001,"&lt;&gt;Withdrawn")&gt;1),"Same-day clash","OK"))))))</f>
        <v/>
      </c>
    </row>
    <row r="178" customFormat="false" ht="15" hidden="false" customHeight="false" outlineLevel="0" collapsed="false">
      <c r="E178" s="26"/>
      <c r="G178" s="23" t="str">
        <f aca="false">IF($A178="","",IFERROR(IF(INDEX(Activities!$C$2:$C$201,MATCH($A178,Activities!$A$2:$A$201,0))="","",INDEX(Activities!$C$2:$C$201,MATCH($A178,Activities!$A$2:$A$201,0))),""))</f>
        <v/>
      </c>
      <c r="H178" s="24" t="str">
        <f aca="false">IF($A178="","",IFERROR(IF(INDEX(Activities!$B$2:$B$201,MATCH($A178,Activities!$A$2:$A$201,0))="","",INDEX(Activities!$B$2:$B$201,MATCH($A178,Activities!$A$2:$A$201,0))),""))</f>
        <v/>
      </c>
      <c r="I178" s="24" t="str">
        <f aca="false">IF($B178="","",IFERROR(IF(INDEX(Students!$C$2:$C$301,MATCH($B178,Students!$A$2:$A$301,0))="","",INDEX(Students!$C$2:$C$301,MATCH($B178,Students!$A$2:$A$301,0))),""))</f>
        <v/>
      </c>
      <c r="J178" s="24" t="str">
        <f aca="false">IF($B178="","",IFERROR(IF(INDEX(Students!$B$2:$B$301,MATCH($B178,Students!$A$2:$A$301,0))="","",INDEX(Students!$B$2:$B$301,MATCH($B178,Students!$A$2:$A$301,0))),""))</f>
        <v/>
      </c>
      <c r="K178" s="25" t="str">
        <f aca="false">IF($A178="","",IF(D178="Withdrawn",0,IF(E178&lt;&gt;"",N(E178),IFERROR(N(INDEX(Activities!$I$2:$I$201,MATCH($A178,Activities!$A$2:$A$201,0))),0))))</f>
        <v/>
      </c>
      <c r="L178" s="24" t="str">
        <f aca="false">IF(AND($A178="",$B178=""),"",IF(ISNA(MATCH($A178,Activities!$A$2:$A$201,0)),"Unknown activity",IF(ISNA(MATCH($B178,Students!$A$2:$A$301,0)),"Unknown student",IF(D178="","No status",IF(COUNTIFS($A$2:$A$1001,$A178,$B$2:$B$1001,$B178)&gt;1,"Duplicate",IF(AND(D178&lt;&gt;"Withdrawn",G178&lt;&gt;"",COUNTIFS($B$2:$B$1001,$B178,$G$2:$G$1001,G178,$D$2:$D$1001,"&lt;&gt;Withdrawn")&gt;1),"Same-day clash","OK"))))))</f>
        <v/>
      </c>
    </row>
    <row r="179" customFormat="false" ht="15" hidden="false" customHeight="false" outlineLevel="0" collapsed="false">
      <c r="E179" s="26"/>
      <c r="G179" s="23" t="str">
        <f aca="false">IF($A179="","",IFERROR(IF(INDEX(Activities!$C$2:$C$201,MATCH($A179,Activities!$A$2:$A$201,0))="","",INDEX(Activities!$C$2:$C$201,MATCH($A179,Activities!$A$2:$A$201,0))),""))</f>
        <v/>
      </c>
      <c r="H179" s="24" t="str">
        <f aca="false">IF($A179="","",IFERROR(IF(INDEX(Activities!$B$2:$B$201,MATCH($A179,Activities!$A$2:$A$201,0))="","",INDEX(Activities!$B$2:$B$201,MATCH($A179,Activities!$A$2:$A$201,0))),""))</f>
        <v/>
      </c>
      <c r="I179" s="24" t="str">
        <f aca="false">IF($B179="","",IFERROR(IF(INDEX(Students!$C$2:$C$301,MATCH($B179,Students!$A$2:$A$301,0))="","",INDEX(Students!$C$2:$C$301,MATCH($B179,Students!$A$2:$A$301,0))),""))</f>
        <v/>
      </c>
      <c r="J179" s="24" t="str">
        <f aca="false">IF($B179="","",IFERROR(IF(INDEX(Students!$B$2:$B$301,MATCH($B179,Students!$A$2:$A$301,0))="","",INDEX(Students!$B$2:$B$301,MATCH($B179,Students!$A$2:$A$301,0))),""))</f>
        <v/>
      </c>
      <c r="K179" s="25" t="str">
        <f aca="false">IF($A179="","",IF(D179="Withdrawn",0,IF(E179&lt;&gt;"",N(E179),IFERROR(N(INDEX(Activities!$I$2:$I$201,MATCH($A179,Activities!$A$2:$A$201,0))),0))))</f>
        <v/>
      </c>
      <c r="L179" s="24" t="str">
        <f aca="false">IF(AND($A179="",$B179=""),"",IF(ISNA(MATCH($A179,Activities!$A$2:$A$201,0)),"Unknown activity",IF(ISNA(MATCH($B179,Students!$A$2:$A$301,0)),"Unknown student",IF(D179="","No status",IF(COUNTIFS($A$2:$A$1001,$A179,$B$2:$B$1001,$B179)&gt;1,"Duplicate",IF(AND(D179&lt;&gt;"Withdrawn",G179&lt;&gt;"",COUNTIFS($B$2:$B$1001,$B179,$G$2:$G$1001,G179,$D$2:$D$1001,"&lt;&gt;Withdrawn")&gt;1),"Same-day clash","OK"))))))</f>
        <v/>
      </c>
    </row>
    <row r="180" customFormat="false" ht="15" hidden="false" customHeight="false" outlineLevel="0" collapsed="false">
      <c r="E180" s="26"/>
      <c r="G180" s="23" t="str">
        <f aca="false">IF($A180="","",IFERROR(IF(INDEX(Activities!$C$2:$C$201,MATCH($A180,Activities!$A$2:$A$201,0))="","",INDEX(Activities!$C$2:$C$201,MATCH($A180,Activities!$A$2:$A$201,0))),""))</f>
        <v/>
      </c>
      <c r="H180" s="24" t="str">
        <f aca="false">IF($A180="","",IFERROR(IF(INDEX(Activities!$B$2:$B$201,MATCH($A180,Activities!$A$2:$A$201,0))="","",INDEX(Activities!$B$2:$B$201,MATCH($A180,Activities!$A$2:$A$201,0))),""))</f>
        <v/>
      </c>
      <c r="I180" s="24" t="str">
        <f aca="false">IF($B180="","",IFERROR(IF(INDEX(Students!$C$2:$C$301,MATCH($B180,Students!$A$2:$A$301,0))="","",INDEX(Students!$C$2:$C$301,MATCH($B180,Students!$A$2:$A$301,0))),""))</f>
        <v/>
      </c>
      <c r="J180" s="24" t="str">
        <f aca="false">IF($B180="","",IFERROR(IF(INDEX(Students!$B$2:$B$301,MATCH($B180,Students!$A$2:$A$301,0))="","",INDEX(Students!$B$2:$B$301,MATCH($B180,Students!$A$2:$A$301,0))),""))</f>
        <v/>
      </c>
      <c r="K180" s="25" t="str">
        <f aca="false">IF($A180="","",IF(D180="Withdrawn",0,IF(E180&lt;&gt;"",N(E180),IFERROR(N(INDEX(Activities!$I$2:$I$201,MATCH($A180,Activities!$A$2:$A$201,0))),0))))</f>
        <v/>
      </c>
      <c r="L180" s="24" t="str">
        <f aca="false">IF(AND($A180="",$B180=""),"",IF(ISNA(MATCH($A180,Activities!$A$2:$A$201,0)),"Unknown activity",IF(ISNA(MATCH($B180,Students!$A$2:$A$301,0)),"Unknown student",IF(D180="","No status",IF(COUNTIFS($A$2:$A$1001,$A180,$B$2:$B$1001,$B180)&gt;1,"Duplicate",IF(AND(D180&lt;&gt;"Withdrawn",G180&lt;&gt;"",COUNTIFS($B$2:$B$1001,$B180,$G$2:$G$1001,G180,$D$2:$D$1001,"&lt;&gt;Withdrawn")&gt;1),"Same-day clash","OK"))))))</f>
        <v/>
      </c>
    </row>
    <row r="181" customFormat="false" ht="15" hidden="false" customHeight="false" outlineLevel="0" collapsed="false">
      <c r="E181" s="26"/>
      <c r="G181" s="23" t="str">
        <f aca="false">IF($A181="","",IFERROR(IF(INDEX(Activities!$C$2:$C$201,MATCH($A181,Activities!$A$2:$A$201,0))="","",INDEX(Activities!$C$2:$C$201,MATCH($A181,Activities!$A$2:$A$201,0))),""))</f>
        <v/>
      </c>
      <c r="H181" s="24" t="str">
        <f aca="false">IF($A181="","",IFERROR(IF(INDEX(Activities!$B$2:$B$201,MATCH($A181,Activities!$A$2:$A$201,0))="","",INDEX(Activities!$B$2:$B$201,MATCH($A181,Activities!$A$2:$A$201,0))),""))</f>
        <v/>
      </c>
      <c r="I181" s="24" t="str">
        <f aca="false">IF($B181="","",IFERROR(IF(INDEX(Students!$C$2:$C$301,MATCH($B181,Students!$A$2:$A$301,0))="","",INDEX(Students!$C$2:$C$301,MATCH($B181,Students!$A$2:$A$301,0))),""))</f>
        <v/>
      </c>
      <c r="J181" s="24" t="str">
        <f aca="false">IF($B181="","",IFERROR(IF(INDEX(Students!$B$2:$B$301,MATCH($B181,Students!$A$2:$A$301,0))="","",INDEX(Students!$B$2:$B$301,MATCH($B181,Students!$A$2:$A$301,0))),""))</f>
        <v/>
      </c>
      <c r="K181" s="25" t="str">
        <f aca="false">IF($A181="","",IF(D181="Withdrawn",0,IF(E181&lt;&gt;"",N(E181),IFERROR(N(INDEX(Activities!$I$2:$I$201,MATCH($A181,Activities!$A$2:$A$201,0))),0))))</f>
        <v/>
      </c>
      <c r="L181" s="24" t="str">
        <f aca="false">IF(AND($A181="",$B181=""),"",IF(ISNA(MATCH($A181,Activities!$A$2:$A$201,0)),"Unknown activity",IF(ISNA(MATCH($B181,Students!$A$2:$A$301,0)),"Unknown student",IF(D181="","No status",IF(COUNTIFS($A$2:$A$1001,$A181,$B$2:$B$1001,$B181)&gt;1,"Duplicate",IF(AND(D181&lt;&gt;"Withdrawn",G181&lt;&gt;"",COUNTIFS($B$2:$B$1001,$B181,$G$2:$G$1001,G181,$D$2:$D$1001,"&lt;&gt;Withdrawn")&gt;1),"Same-day clash","OK"))))))</f>
        <v/>
      </c>
    </row>
    <row r="182" customFormat="false" ht="15" hidden="false" customHeight="false" outlineLevel="0" collapsed="false">
      <c r="E182" s="26"/>
      <c r="G182" s="23" t="str">
        <f aca="false">IF($A182="","",IFERROR(IF(INDEX(Activities!$C$2:$C$201,MATCH($A182,Activities!$A$2:$A$201,0))="","",INDEX(Activities!$C$2:$C$201,MATCH($A182,Activities!$A$2:$A$201,0))),""))</f>
        <v/>
      </c>
      <c r="H182" s="24" t="str">
        <f aca="false">IF($A182="","",IFERROR(IF(INDEX(Activities!$B$2:$B$201,MATCH($A182,Activities!$A$2:$A$201,0))="","",INDEX(Activities!$B$2:$B$201,MATCH($A182,Activities!$A$2:$A$201,0))),""))</f>
        <v/>
      </c>
      <c r="I182" s="24" t="str">
        <f aca="false">IF($B182="","",IFERROR(IF(INDEX(Students!$C$2:$C$301,MATCH($B182,Students!$A$2:$A$301,0))="","",INDEX(Students!$C$2:$C$301,MATCH($B182,Students!$A$2:$A$301,0))),""))</f>
        <v/>
      </c>
      <c r="J182" s="24" t="str">
        <f aca="false">IF($B182="","",IFERROR(IF(INDEX(Students!$B$2:$B$301,MATCH($B182,Students!$A$2:$A$301,0))="","",INDEX(Students!$B$2:$B$301,MATCH($B182,Students!$A$2:$A$301,0))),""))</f>
        <v/>
      </c>
      <c r="K182" s="25" t="str">
        <f aca="false">IF($A182="","",IF(D182="Withdrawn",0,IF(E182&lt;&gt;"",N(E182),IFERROR(N(INDEX(Activities!$I$2:$I$201,MATCH($A182,Activities!$A$2:$A$201,0))),0))))</f>
        <v/>
      </c>
      <c r="L182" s="24" t="str">
        <f aca="false">IF(AND($A182="",$B182=""),"",IF(ISNA(MATCH($A182,Activities!$A$2:$A$201,0)),"Unknown activity",IF(ISNA(MATCH($B182,Students!$A$2:$A$301,0)),"Unknown student",IF(D182="","No status",IF(COUNTIFS($A$2:$A$1001,$A182,$B$2:$B$1001,$B182)&gt;1,"Duplicate",IF(AND(D182&lt;&gt;"Withdrawn",G182&lt;&gt;"",COUNTIFS($B$2:$B$1001,$B182,$G$2:$G$1001,G182,$D$2:$D$1001,"&lt;&gt;Withdrawn")&gt;1),"Same-day clash","OK"))))))</f>
        <v/>
      </c>
    </row>
    <row r="183" customFormat="false" ht="15" hidden="false" customHeight="false" outlineLevel="0" collapsed="false">
      <c r="E183" s="26"/>
      <c r="G183" s="23" t="str">
        <f aca="false">IF($A183="","",IFERROR(IF(INDEX(Activities!$C$2:$C$201,MATCH($A183,Activities!$A$2:$A$201,0))="","",INDEX(Activities!$C$2:$C$201,MATCH($A183,Activities!$A$2:$A$201,0))),""))</f>
        <v/>
      </c>
      <c r="H183" s="24" t="str">
        <f aca="false">IF($A183="","",IFERROR(IF(INDEX(Activities!$B$2:$B$201,MATCH($A183,Activities!$A$2:$A$201,0))="","",INDEX(Activities!$B$2:$B$201,MATCH($A183,Activities!$A$2:$A$201,0))),""))</f>
        <v/>
      </c>
      <c r="I183" s="24" t="str">
        <f aca="false">IF($B183="","",IFERROR(IF(INDEX(Students!$C$2:$C$301,MATCH($B183,Students!$A$2:$A$301,0))="","",INDEX(Students!$C$2:$C$301,MATCH($B183,Students!$A$2:$A$301,0))),""))</f>
        <v/>
      </c>
      <c r="J183" s="24" t="str">
        <f aca="false">IF($B183="","",IFERROR(IF(INDEX(Students!$B$2:$B$301,MATCH($B183,Students!$A$2:$A$301,0))="","",INDEX(Students!$B$2:$B$301,MATCH($B183,Students!$A$2:$A$301,0))),""))</f>
        <v/>
      </c>
      <c r="K183" s="25" t="str">
        <f aca="false">IF($A183="","",IF(D183="Withdrawn",0,IF(E183&lt;&gt;"",N(E183),IFERROR(N(INDEX(Activities!$I$2:$I$201,MATCH($A183,Activities!$A$2:$A$201,0))),0))))</f>
        <v/>
      </c>
      <c r="L183" s="24" t="str">
        <f aca="false">IF(AND($A183="",$B183=""),"",IF(ISNA(MATCH($A183,Activities!$A$2:$A$201,0)),"Unknown activity",IF(ISNA(MATCH($B183,Students!$A$2:$A$301,0)),"Unknown student",IF(D183="","No status",IF(COUNTIFS($A$2:$A$1001,$A183,$B$2:$B$1001,$B183)&gt;1,"Duplicate",IF(AND(D183&lt;&gt;"Withdrawn",G183&lt;&gt;"",COUNTIFS($B$2:$B$1001,$B183,$G$2:$G$1001,G183,$D$2:$D$1001,"&lt;&gt;Withdrawn")&gt;1),"Same-day clash","OK"))))))</f>
        <v/>
      </c>
    </row>
    <row r="184" customFormat="false" ht="15" hidden="false" customHeight="false" outlineLevel="0" collapsed="false">
      <c r="E184" s="26"/>
      <c r="G184" s="23" t="str">
        <f aca="false">IF($A184="","",IFERROR(IF(INDEX(Activities!$C$2:$C$201,MATCH($A184,Activities!$A$2:$A$201,0))="","",INDEX(Activities!$C$2:$C$201,MATCH($A184,Activities!$A$2:$A$201,0))),""))</f>
        <v/>
      </c>
      <c r="H184" s="24" t="str">
        <f aca="false">IF($A184="","",IFERROR(IF(INDEX(Activities!$B$2:$B$201,MATCH($A184,Activities!$A$2:$A$201,0))="","",INDEX(Activities!$B$2:$B$201,MATCH($A184,Activities!$A$2:$A$201,0))),""))</f>
        <v/>
      </c>
      <c r="I184" s="24" t="str">
        <f aca="false">IF($B184="","",IFERROR(IF(INDEX(Students!$C$2:$C$301,MATCH($B184,Students!$A$2:$A$301,0))="","",INDEX(Students!$C$2:$C$301,MATCH($B184,Students!$A$2:$A$301,0))),""))</f>
        <v/>
      </c>
      <c r="J184" s="24" t="str">
        <f aca="false">IF($B184="","",IFERROR(IF(INDEX(Students!$B$2:$B$301,MATCH($B184,Students!$A$2:$A$301,0))="","",INDEX(Students!$B$2:$B$301,MATCH($B184,Students!$A$2:$A$301,0))),""))</f>
        <v/>
      </c>
      <c r="K184" s="25" t="str">
        <f aca="false">IF($A184="","",IF(D184="Withdrawn",0,IF(E184&lt;&gt;"",N(E184),IFERROR(N(INDEX(Activities!$I$2:$I$201,MATCH($A184,Activities!$A$2:$A$201,0))),0))))</f>
        <v/>
      </c>
      <c r="L184" s="24" t="str">
        <f aca="false">IF(AND($A184="",$B184=""),"",IF(ISNA(MATCH($A184,Activities!$A$2:$A$201,0)),"Unknown activity",IF(ISNA(MATCH($B184,Students!$A$2:$A$301,0)),"Unknown student",IF(D184="","No status",IF(COUNTIFS($A$2:$A$1001,$A184,$B$2:$B$1001,$B184)&gt;1,"Duplicate",IF(AND(D184&lt;&gt;"Withdrawn",G184&lt;&gt;"",COUNTIFS($B$2:$B$1001,$B184,$G$2:$G$1001,G184,$D$2:$D$1001,"&lt;&gt;Withdrawn")&gt;1),"Same-day clash","OK"))))))</f>
        <v/>
      </c>
    </row>
    <row r="185" customFormat="false" ht="15" hidden="false" customHeight="false" outlineLevel="0" collapsed="false">
      <c r="E185" s="26"/>
      <c r="G185" s="23" t="str">
        <f aca="false">IF($A185="","",IFERROR(IF(INDEX(Activities!$C$2:$C$201,MATCH($A185,Activities!$A$2:$A$201,0))="","",INDEX(Activities!$C$2:$C$201,MATCH($A185,Activities!$A$2:$A$201,0))),""))</f>
        <v/>
      </c>
      <c r="H185" s="24" t="str">
        <f aca="false">IF($A185="","",IFERROR(IF(INDEX(Activities!$B$2:$B$201,MATCH($A185,Activities!$A$2:$A$201,0))="","",INDEX(Activities!$B$2:$B$201,MATCH($A185,Activities!$A$2:$A$201,0))),""))</f>
        <v/>
      </c>
      <c r="I185" s="24" t="str">
        <f aca="false">IF($B185="","",IFERROR(IF(INDEX(Students!$C$2:$C$301,MATCH($B185,Students!$A$2:$A$301,0))="","",INDEX(Students!$C$2:$C$301,MATCH($B185,Students!$A$2:$A$301,0))),""))</f>
        <v/>
      </c>
      <c r="J185" s="24" t="str">
        <f aca="false">IF($B185="","",IFERROR(IF(INDEX(Students!$B$2:$B$301,MATCH($B185,Students!$A$2:$A$301,0))="","",INDEX(Students!$B$2:$B$301,MATCH($B185,Students!$A$2:$A$301,0))),""))</f>
        <v/>
      </c>
      <c r="K185" s="25" t="str">
        <f aca="false">IF($A185="","",IF(D185="Withdrawn",0,IF(E185&lt;&gt;"",N(E185),IFERROR(N(INDEX(Activities!$I$2:$I$201,MATCH($A185,Activities!$A$2:$A$201,0))),0))))</f>
        <v/>
      </c>
      <c r="L185" s="24" t="str">
        <f aca="false">IF(AND($A185="",$B185=""),"",IF(ISNA(MATCH($A185,Activities!$A$2:$A$201,0)),"Unknown activity",IF(ISNA(MATCH($B185,Students!$A$2:$A$301,0)),"Unknown student",IF(D185="","No status",IF(COUNTIFS($A$2:$A$1001,$A185,$B$2:$B$1001,$B185)&gt;1,"Duplicate",IF(AND(D185&lt;&gt;"Withdrawn",G185&lt;&gt;"",COUNTIFS($B$2:$B$1001,$B185,$G$2:$G$1001,G185,$D$2:$D$1001,"&lt;&gt;Withdrawn")&gt;1),"Same-day clash","OK"))))))</f>
        <v/>
      </c>
    </row>
    <row r="186" customFormat="false" ht="15" hidden="false" customHeight="false" outlineLevel="0" collapsed="false">
      <c r="E186" s="26"/>
      <c r="G186" s="23" t="str">
        <f aca="false">IF($A186="","",IFERROR(IF(INDEX(Activities!$C$2:$C$201,MATCH($A186,Activities!$A$2:$A$201,0))="","",INDEX(Activities!$C$2:$C$201,MATCH($A186,Activities!$A$2:$A$201,0))),""))</f>
        <v/>
      </c>
      <c r="H186" s="24" t="str">
        <f aca="false">IF($A186="","",IFERROR(IF(INDEX(Activities!$B$2:$B$201,MATCH($A186,Activities!$A$2:$A$201,0))="","",INDEX(Activities!$B$2:$B$201,MATCH($A186,Activities!$A$2:$A$201,0))),""))</f>
        <v/>
      </c>
      <c r="I186" s="24" t="str">
        <f aca="false">IF($B186="","",IFERROR(IF(INDEX(Students!$C$2:$C$301,MATCH($B186,Students!$A$2:$A$301,0))="","",INDEX(Students!$C$2:$C$301,MATCH($B186,Students!$A$2:$A$301,0))),""))</f>
        <v/>
      </c>
      <c r="J186" s="24" t="str">
        <f aca="false">IF($B186="","",IFERROR(IF(INDEX(Students!$B$2:$B$301,MATCH($B186,Students!$A$2:$A$301,0))="","",INDEX(Students!$B$2:$B$301,MATCH($B186,Students!$A$2:$A$301,0))),""))</f>
        <v/>
      </c>
      <c r="K186" s="25" t="str">
        <f aca="false">IF($A186="","",IF(D186="Withdrawn",0,IF(E186&lt;&gt;"",N(E186),IFERROR(N(INDEX(Activities!$I$2:$I$201,MATCH($A186,Activities!$A$2:$A$201,0))),0))))</f>
        <v/>
      </c>
      <c r="L186" s="24" t="str">
        <f aca="false">IF(AND($A186="",$B186=""),"",IF(ISNA(MATCH($A186,Activities!$A$2:$A$201,0)),"Unknown activity",IF(ISNA(MATCH($B186,Students!$A$2:$A$301,0)),"Unknown student",IF(D186="","No status",IF(COUNTIFS($A$2:$A$1001,$A186,$B$2:$B$1001,$B186)&gt;1,"Duplicate",IF(AND(D186&lt;&gt;"Withdrawn",G186&lt;&gt;"",COUNTIFS($B$2:$B$1001,$B186,$G$2:$G$1001,G186,$D$2:$D$1001,"&lt;&gt;Withdrawn")&gt;1),"Same-day clash","OK"))))))</f>
        <v/>
      </c>
    </row>
    <row r="187" customFormat="false" ht="15" hidden="false" customHeight="false" outlineLevel="0" collapsed="false">
      <c r="E187" s="26"/>
      <c r="G187" s="23" t="str">
        <f aca="false">IF($A187="","",IFERROR(IF(INDEX(Activities!$C$2:$C$201,MATCH($A187,Activities!$A$2:$A$201,0))="","",INDEX(Activities!$C$2:$C$201,MATCH($A187,Activities!$A$2:$A$201,0))),""))</f>
        <v/>
      </c>
      <c r="H187" s="24" t="str">
        <f aca="false">IF($A187="","",IFERROR(IF(INDEX(Activities!$B$2:$B$201,MATCH($A187,Activities!$A$2:$A$201,0))="","",INDEX(Activities!$B$2:$B$201,MATCH($A187,Activities!$A$2:$A$201,0))),""))</f>
        <v/>
      </c>
      <c r="I187" s="24" t="str">
        <f aca="false">IF($B187="","",IFERROR(IF(INDEX(Students!$C$2:$C$301,MATCH($B187,Students!$A$2:$A$301,0))="","",INDEX(Students!$C$2:$C$301,MATCH($B187,Students!$A$2:$A$301,0))),""))</f>
        <v/>
      </c>
      <c r="J187" s="24" t="str">
        <f aca="false">IF($B187="","",IFERROR(IF(INDEX(Students!$B$2:$B$301,MATCH($B187,Students!$A$2:$A$301,0))="","",INDEX(Students!$B$2:$B$301,MATCH($B187,Students!$A$2:$A$301,0))),""))</f>
        <v/>
      </c>
      <c r="K187" s="25" t="str">
        <f aca="false">IF($A187="","",IF(D187="Withdrawn",0,IF(E187&lt;&gt;"",N(E187),IFERROR(N(INDEX(Activities!$I$2:$I$201,MATCH($A187,Activities!$A$2:$A$201,0))),0))))</f>
        <v/>
      </c>
      <c r="L187" s="24" t="str">
        <f aca="false">IF(AND($A187="",$B187=""),"",IF(ISNA(MATCH($A187,Activities!$A$2:$A$201,0)),"Unknown activity",IF(ISNA(MATCH($B187,Students!$A$2:$A$301,0)),"Unknown student",IF(D187="","No status",IF(COUNTIFS($A$2:$A$1001,$A187,$B$2:$B$1001,$B187)&gt;1,"Duplicate",IF(AND(D187&lt;&gt;"Withdrawn",G187&lt;&gt;"",COUNTIFS($B$2:$B$1001,$B187,$G$2:$G$1001,G187,$D$2:$D$1001,"&lt;&gt;Withdrawn")&gt;1),"Same-day clash","OK"))))))</f>
        <v/>
      </c>
    </row>
    <row r="188" customFormat="false" ht="15" hidden="false" customHeight="false" outlineLevel="0" collapsed="false">
      <c r="E188" s="26"/>
      <c r="G188" s="23" t="str">
        <f aca="false">IF($A188="","",IFERROR(IF(INDEX(Activities!$C$2:$C$201,MATCH($A188,Activities!$A$2:$A$201,0))="","",INDEX(Activities!$C$2:$C$201,MATCH($A188,Activities!$A$2:$A$201,0))),""))</f>
        <v/>
      </c>
      <c r="H188" s="24" t="str">
        <f aca="false">IF($A188="","",IFERROR(IF(INDEX(Activities!$B$2:$B$201,MATCH($A188,Activities!$A$2:$A$201,0))="","",INDEX(Activities!$B$2:$B$201,MATCH($A188,Activities!$A$2:$A$201,0))),""))</f>
        <v/>
      </c>
      <c r="I188" s="24" t="str">
        <f aca="false">IF($B188="","",IFERROR(IF(INDEX(Students!$C$2:$C$301,MATCH($B188,Students!$A$2:$A$301,0))="","",INDEX(Students!$C$2:$C$301,MATCH($B188,Students!$A$2:$A$301,0))),""))</f>
        <v/>
      </c>
      <c r="J188" s="24" t="str">
        <f aca="false">IF($B188="","",IFERROR(IF(INDEX(Students!$B$2:$B$301,MATCH($B188,Students!$A$2:$A$301,0))="","",INDEX(Students!$B$2:$B$301,MATCH($B188,Students!$A$2:$A$301,0))),""))</f>
        <v/>
      </c>
      <c r="K188" s="25" t="str">
        <f aca="false">IF($A188="","",IF(D188="Withdrawn",0,IF(E188&lt;&gt;"",N(E188),IFERROR(N(INDEX(Activities!$I$2:$I$201,MATCH($A188,Activities!$A$2:$A$201,0))),0))))</f>
        <v/>
      </c>
      <c r="L188" s="24" t="str">
        <f aca="false">IF(AND($A188="",$B188=""),"",IF(ISNA(MATCH($A188,Activities!$A$2:$A$201,0)),"Unknown activity",IF(ISNA(MATCH($B188,Students!$A$2:$A$301,0)),"Unknown student",IF(D188="","No status",IF(COUNTIFS($A$2:$A$1001,$A188,$B$2:$B$1001,$B188)&gt;1,"Duplicate",IF(AND(D188&lt;&gt;"Withdrawn",G188&lt;&gt;"",COUNTIFS($B$2:$B$1001,$B188,$G$2:$G$1001,G188,$D$2:$D$1001,"&lt;&gt;Withdrawn")&gt;1),"Same-day clash","OK"))))))</f>
        <v/>
      </c>
    </row>
    <row r="189" customFormat="false" ht="15" hidden="false" customHeight="false" outlineLevel="0" collapsed="false">
      <c r="E189" s="26"/>
      <c r="G189" s="23" t="str">
        <f aca="false">IF($A189="","",IFERROR(IF(INDEX(Activities!$C$2:$C$201,MATCH($A189,Activities!$A$2:$A$201,0))="","",INDEX(Activities!$C$2:$C$201,MATCH($A189,Activities!$A$2:$A$201,0))),""))</f>
        <v/>
      </c>
      <c r="H189" s="24" t="str">
        <f aca="false">IF($A189="","",IFERROR(IF(INDEX(Activities!$B$2:$B$201,MATCH($A189,Activities!$A$2:$A$201,0))="","",INDEX(Activities!$B$2:$B$201,MATCH($A189,Activities!$A$2:$A$201,0))),""))</f>
        <v/>
      </c>
      <c r="I189" s="24" t="str">
        <f aca="false">IF($B189="","",IFERROR(IF(INDEX(Students!$C$2:$C$301,MATCH($B189,Students!$A$2:$A$301,0))="","",INDEX(Students!$C$2:$C$301,MATCH($B189,Students!$A$2:$A$301,0))),""))</f>
        <v/>
      </c>
      <c r="J189" s="24" t="str">
        <f aca="false">IF($B189="","",IFERROR(IF(INDEX(Students!$B$2:$B$301,MATCH($B189,Students!$A$2:$A$301,0))="","",INDEX(Students!$B$2:$B$301,MATCH($B189,Students!$A$2:$A$301,0))),""))</f>
        <v/>
      </c>
      <c r="K189" s="25" t="str">
        <f aca="false">IF($A189="","",IF(D189="Withdrawn",0,IF(E189&lt;&gt;"",N(E189),IFERROR(N(INDEX(Activities!$I$2:$I$201,MATCH($A189,Activities!$A$2:$A$201,0))),0))))</f>
        <v/>
      </c>
      <c r="L189" s="24" t="str">
        <f aca="false">IF(AND($A189="",$B189=""),"",IF(ISNA(MATCH($A189,Activities!$A$2:$A$201,0)),"Unknown activity",IF(ISNA(MATCH($B189,Students!$A$2:$A$301,0)),"Unknown student",IF(D189="","No status",IF(COUNTIFS($A$2:$A$1001,$A189,$B$2:$B$1001,$B189)&gt;1,"Duplicate",IF(AND(D189&lt;&gt;"Withdrawn",G189&lt;&gt;"",COUNTIFS($B$2:$B$1001,$B189,$G$2:$G$1001,G189,$D$2:$D$1001,"&lt;&gt;Withdrawn")&gt;1),"Same-day clash","OK"))))))</f>
        <v/>
      </c>
    </row>
    <row r="190" customFormat="false" ht="15" hidden="false" customHeight="false" outlineLevel="0" collapsed="false">
      <c r="E190" s="26"/>
      <c r="G190" s="23" t="str">
        <f aca="false">IF($A190="","",IFERROR(IF(INDEX(Activities!$C$2:$C$201,MATCH($A190,Activities!$A$2:$A$201,0))="","",INDEX(Activities!$C$2:$C$201,MATCH($A190,Activities!$A$2:$A$201,0))),""))</f>
        <v/>
      </c>
      <c r="H190" s="24" t="str">
        <f aca="false">IF($A190="","",IFERROR(IF(INDEX(Activities!$B$2:$B$201,MATCH($A190,Activities!$A$2:$A$201,0))="","",INDEX(Activities!$B$2:$B$201,MATCH($A190,Activities!$A$2:$A$201,0))),""))</f>
        <v/>
      </c>
      <c r="I190" s="24" t="str">
        <f aca="false">IF($B190="","",IFERROR(IF(INDEX(Students!$C$2:$C$301,MATCH($B190,Students!$A$2:$A$301,0))="","",INDEX(Students!$C$2:$C$301,MATCH($B190,Students!$A$2:$A$301,0))),""))</f>
        <v/>
      </c>
      <c r="J190" s="24" t="str">
        <f aca="false">IF($B190="","",IFERROR(IF(INDEX(Students!$B$2:$B$301,MATCH($B190,Students!$A$2:$A$301,0))="","",INDEX(Students!$B$2:$B$301,MATCH($B190,Students!$A$2:$A$301,0))),""))</f>
        <v/>
      </c>
      <c r="K190" s="25" t="str">
        <f aca="false">IF($A190="","",IF(D190="Withdrawn",0,IF(E190&lt;&gt;"",N(E190),IFERROR(N(INDEX(Activities!$I$2:$I$201,MATCH($A190,Activities!$A$2:$A$201,0))),0))))</f>
        <v/>
      </c>
      <c r="L190" s="24" t="str">
        <f aca="false">IF(AND($A190="",$B190=""),"",IF(ISNA(MATCH($A190,Activities!$A$2:$A$201,0)),"Unknown activity",IF(ISNA(MATCH($B190,Students!$A$2:$A$301,0)),"Unknown student",IF(D190="","No status",IF(COUNTIFS($A$2:$A$1001,$A190,$B$2:$B$1001,$B190)&gt;1,"Duplicate",IF(AND(D190&lt;&gt;"Withdrawn",G190&lt;&gt;"",COUNTIFS($B$2:$B$1001,$B190,$G$2:$G$1001,G190,$D$2:$D$1001,"&lt;&gt;Withdrawn")&gt;1),"Same-day clash","OK"))))))</f>
        <v/>
      </c>
    </row>
    <row r="191" customFormat="false" ht="15" hidden="false" customHeight="false" outlineLevel="0" collapsed="false">
      <c r="E191" s="26"/>
      <c r="G191" s="23" t="str">
        <f aca="false">IF($A191="","",IFERROR(IF(INDEX(Activities!$C$2:$C$201,MATCH($A191,Activities!$A$2:$A$201,0))="","",INDEX(Activities!$C$2:$C$201,MATCH($A191,Activities!$A$2:$A$201,0))),""))</f>
        <v/>
      </c>
      <c r="H191" s="24" t="str">
        <f aca="false">IF($A191="","",IFERROR(IF(INDEX(Activities!$B$2:$B$201,MATCH($A191,Activities!$A$2:$A$201,0))="","",INDEX(Activities!$B$2:$B$201,MATCH($A191,Activities!$A$2:$A$201,0))),""))</f>
        <v/>
      </c>
      <c r="I191" s="24" t="str">
        <f aca="false">IF($B191="","",IFERROR(IF(INDEX(Students!$C$2:$C$301,MATCH($B191,Students!$A$2:$A$301,0))="","",INDEX(Students!$C$2:$C$301,MATCH($B191,Students!$A$2:$A$301,0))),""))</f>
        <v/>
      </c>
      <c r="J191" s="24" t="str">
        <f aca="false">IF($B191="","",IFERROR(IF(INDEX(Students!$B$2:$B$301,MATCH($B191,Students!$A$2:$A$301,0))="","",INDEX(Students!$B$2:$B$301,MATCH($B191,Students!$A$2:$A$301,0))),""))</f>
        <v/>
      </c>
      <c r="K191" s="25" t="str">
        <f aca="false">IF($A191="","",IF(D191="Withdrawn",0,IF(E191&lt;&gt;"",N(E191),IFERROR(N(INDEX(Activities!$I$2:$I$201,MATCH($A191,Activities!$A$2:$A$201,0))),0))))</f>
        <v/>
      </c>
      <c r="L191" s="24" t="str">
        <f aca="false">IF(AND($A191="",$B191=""),"",IF(ISNA(MATCH($A191,Activities!$A$2:$A$201,0)),"Unknown activity",IF(ISNA(MATCH($B191,Students!$A$2:$A$301,0)),"Unknown student",IF(D191="","No status",IF(COUNTIFS($A$2:$A$1001,$A191,$B$2:$B$1001,$B191)&gt;1,"Duplicate",IF(AND(D191&lt;&gt;"Withdrawn",G191&lt;&gt;"",COUNTIFS($B$2:$B$1001,$B191,$G$2:$G$1001,G191,$D$2:$D$1001,"&lt;&gt;Withdrawn")&gt;1),"Same-day clash","OK"))))))</f>
        <v/>
      </c>
    </row>
    <row r="192" customFormat="false" ht="15" hidden="false" customHeight="false" outlineLevel="0" collapsed="false">
      <c r="E192" s="26"/>
      <c r="G192" s="23" t="str">
        <f aca="false">IF($A192="","",IFERROR(IF(INDEX(Activities!$C$2:$C$201,MATCH($A192,Activities!$A$2:$A$201,0))="","",INDEX(Activities!$C$2:$C$201,MATCH($A192,Activities!$A$2:$A$201,0))),""))</f>
        <v/>
      </c>
      <c r="H192" s="24" t="str">
        <f aca="false">IF($A192="","",IFERROR(IF(INDEX(Activities!$B$2:$B$201,MATCH($A192,Activities!$A$2:$A$201,0))="","",INDEX(Activities!$B$2:$B$201,MATCH($A192,Activities!$A$2:$A$201,0))),""))</f>
        <v/>
      </c>
      <c r="I192" s="24" t="str">
        <f aca="false">IF($B192="","",IFERROR(IF(INDEX(Students!$C$2:$C$301,MATCH($B192,Students!$A$2:$A$301,0))="","",INDEX(Students!$C$2:$C$301,MATCH($B192,Students!$A$2:$A$301,0))),""))</f>
        <v/>
      </c>
      <c r="J192" s="24" t="str">
        <f aca="false">IF($B192="","",IFERROR(IF(INDEX(Students!$B$2:$B$301,MATCH($B192,Students!$A$2:$A$301,0))="","",INDEX(Students!$B$2:$B$301,MATCH($B192,Students!$A$2:$A$301,0))),""))</f>
        <v/>
      </c>
      <c r="K192" s="25" t="str">
        <f aca="false">IF($A192="","",IF(D192="Withdrawn",0,IF(E192&lt;&gt;"",N(E192),IFERROR(N(INDEX(Activities!$I$2:$I$201,MATCH($A192,Activities!$A$2:$A$201,0))),0))))</f>
        <v/>
      </c>
      <c r="L192" s="24" t="str">
        <f aca="false">IF(AND($A192="",$B192=""),"",IF(ISNA(MATCH($A192,Activities!$A$2:$A$201,0)),"Unknown activity",IF(ISNA(MATCH($B192,Students!$A$2:$A$301,0)),"Unknown student",IF(D192="","No status",IF(COUNTIFS($A$2:$A$1001,$A192,$B$2:$B$1001,$B192)&gt;1,"Duplicate",IF(AND(D192&lt;&gt;"Withdrawn",G192&lt;&gt;"",COUNTIFS($B$2:$B$1001,$B192,$G$2:$G$1001,G192,$D$2:$D$1001,"&lt;&gt;Withdrawn")&gt;1),"Same-day clash","OK"))))))</f>
        <v/>
      </c>
    </row>
    <row r="193" customFormat="false" ht="15" hidden="false" customHeight="false" outlineLevel="0" collapsed="false">
      <c r="E193" s="26"/>
      <c r="G193" s="23" t="str">
        <f aca="false">IF($A193="","",IFERROR(IF(INDEX(Activities!$C$2:$C$201,MATCH($A193,Activities!$A$2:$A$201,0))="","",INDEX(Activities!$C$2:$C$201,MATCH($A193,Activities!$A$2:$A$201,0))),""))</f>
        <v/>
      </c>
      <c r="H193" s="24" t="str">
        <f aca="false">IF($A193="","",IFERROR(IF(INDEX(Activities!$B$2:$B$201,MATCH($A193,Activities!$A$2:$A$201,0))="","",INDEX(Activities!$B$2:$B$201,MATCH($A193,Activities!$A$2:$A$201,0))),""))</f>
        <v/>
      </c>
      <c r="I193" s="24" t="str">
        <f aca="false">IF($B193="","",IFERROR(IF(INDEX(Students!$C$2:$C$301,MATCH($B193,Students!$A$2:$A$301,0))="","",INDEX(Students!$C$2:$C$301,MATCH($B193,Students!$A$2:$A$301,0))),""))</f>
        <v/>
      </c>
      <c r="J193" s="24" t="str">
        <f aca="false">IF($B193="","",IFERROR(IF(INDEX(Students!$B$2:$B$301,MATCH($B193,Students!$A$2:$A$301,0))="","",INDEX(Students!$B$2:$B$301,MATCH($B193,Students!$A$2:$A$301,0))),""))</f>
        <v/>
      </c>
      <c r="K193" s="25" t="str">
        <f aca="false">IF($A193="","",IF(D193="Withdrawn",0,IF(E193&lt;&gt;"",N(E193),IFERROR(N(INDEX(Activities!$I$2:$I$201,MATCH($A193,Activities!$A$2:$A$201,0))),0))))</f>
        <v/>
      </c>
      <c r="L193" s="24" t="str">
        <f aca="false">IF(AND($A193="",$B193=""),"",IF(ISNA(MATCH($A193,Activities!$A$2:$A$201,0)),"Unknown activity",IF(ISNA(MATCH($B193,Students!$A$2:$A$301,0)),"Unknown student",IF(D193="","No status",IF(COUNTIFS($A$2:$A$1001,$A193,$B$2:$B$1001,$B193)&gt;1,"Duplicate",IF(AND(D193&lt;&gt;"Withdrawn",G193&lt;&gt;"",COUNTIFS($B$2:$B$1001,$B193,$G$2:$G$1001,G193,$D$2:$D$1001,"&lt;&gt;Withdrawn")&gt;1),"Same-day clash","OK"))))))</f>
        <v/>
      </c>
    </row>
    <row r="194" customFormat="false" ht="15" hidden="false" customHeight="false" outlineLevel="0" collapsed="false">
      <c r="E194" s="26"/>
      <c r="G194" s="23" t="str">
        <f aca="false">IF($A194="","",IFERROR(IF(INDEX(Activities!$C$2:$C$201,MATCH($A194,Activities!$A$2:$A$201,0))="","",INDEX(Activities!$C$2:$C$201,MATCH($A194,Activities!$A$2:$A$201,0))),""))</f>
        <v/>
      </c>
      <c r="H194" s="24" t="str">
        <f aca="false">IF($A194="","",IFERROR(IF(INDEX(Activities!$B$2:$B$201,MATCH($A194,Activities!$A$2:$A$201,0))="","",INDEX(Activities!$B$2:$B$201,MATCH($A194,Activities!$A$2:$A$201,0))),""))</f>
        <v/>
      </c>
      <c r="I194" s="24" t="str">
        <f aca="false">IF($B194="","",IFERROR(IF(INDEX(Students!$C$2:$C$301,MATCH($B194,Students!$A$2:$A$301,0))="","",INDEX(Students!$C$2:$C$301,MATCH($B194,Students!$A$2:$A$301,0))),""))</f>
        <v/>
      </c>
      <c r="J194" s="24" t="str">
        <f aca="false">IF($B194="","",IFERROR(IF(INDEX(Students!$B$2:$B$301,MATCH($B194,Students!$A$2:$A$301,0))="","",INDEX(Students!$B$2:$B$301,MATCH($B194,Students!$A$2:$A$301,0))),""))</f>
        <v/>
      </c>
      <c r="K194" s="25" t="str">
        <f aca="false">IF($A194="","",IF(D194="Withdrawn",0,IF(E194&lt;&gt;"",N(E194),IFERROR(N(INDEX(Activities!$I$2:$I$201,MATCH($A194,Activities!$A$2:$A$201,0))),0))))</f>
        <v/>
      </c>
      <c r="L194" s="24" t="str">
        <f aca="false">IF(AND($A194="",$B194=""),"",IF(ISNA(MATCH($A194,Activities!$A$2:$A$201,0)),"Unknown activity",IF(ISNA(MATCH($B194,Students!$A$2:$A$301,0)),"Unknown student",IF(D194="","No status",IF(COUNTIFS($A$2:$A$1001,$A194,$B$2:$B$1001,$B194)&gt;1,"Duplicate",IF(AND(D194&lt;&gt;"Withdrawn",G194&lt;&gt;"",COUNTIFS($B$2:$B$1001,$B194,$G$2:$G$1001,G194,$D$2:$D$1001,"&lt;&gt;Withdrawn")&gt;1),"Same-day clash","OK"))))))</f>
        <v/>
      </c>
    </row>
    <row r="195" customFormat="false" ht="15" hidden="false" customHeight="false" outlineLevel="0" collapsed="false">
      <c r="E195" s="26"/>
      <c r="G195" s="23" t="str">
        <f aca="false">IF($A195="","",IFERROR(IF(INDEX(Activities!$C$2:$C$201,MATCH($A195,Activities!$A$2:$A$201,0))="","",INDEX(Activities!$C$2:$C$201,MATCH($A195,Activities!$A$2:$A$201,0))),""))</f>
        <v/>
      </c>
      <c r="H195" s="24" t="str">
        <f aca="false">IF($A195="","",IFERROR(IF(INDEX(Activities!$B$2:$B$201,MATCH($A195,Activities!$A$2:$A$201,0))="","",INDEX(Activities!$B$2:$B$201,MATCH($A195,Activities!$A$2:$A$201,0))),""))</f>
        <v/>
      </c>
      <c r="I195" s="24" t="str">
        <f aca="false">IF($B195="","",IFERROR(IF(INDEX(Students!$C$2:$C$301,MATCH($B195,Students!$A$2:$A$301,0))="","",INDEX(Students!$C$2:$C$301,MATCH($B195,Students!$A$2:$A$301,0))),""))</f>
        <v/>
      </c>
      <c r="J195" s="24" t="str">
        <f aca="false">IF($B195="","",IFERROR(IF(INDEX(Students!$B$2:$B$301,MATCH($B195,Students!$A$2:$A$301,0))="","",INDEX(Students!$B$2:$B$301,MATCH($B195,Students!$A$2:$A$301,0))),""))</f>
        <v/>
      </c>
      <c r="K195" s="25" t="str">
        <f aca="false">IF($A195="","",IF(D195="Withdrawn",0,IF(E195&lt;&gt;"",N(E195),IFERROR(N(INDEX(Activities!$I$2:$I$201,MATCH($A195,Activities!$A$2:$A$201,0))),0))))</f>
        <v/>
      </c>
      <c r="L195" s="24" t="str">
        <f aca="false">IF(AND($A195="",$B195=""),"",IF(ISNA(MATCH($A195,Activities!$A$2:$A$201,0)),"Unknown activity",IF(ISNA(MATCH($B195,Students!$A$2:$A$301,0)),"Unknown student",IF(D195="","No status",IF(COUNTIFS($A$2:$A$1001,$A195,$B$2:$B$1001,$B195)&gt;1,"Duplicate",IF(AND(D195&lt;&gt;"Withdrawn",G195&lt;&gt;"",COUNTIFS($B$2:$B$1001,$B195,$G$2:$G$1001,G195,$D$2:$D$1001,"&lt;&gt;Withdrawn")&gt;1),"Same-day clash","OK"))))))</f>
        <v/>
      </c>
    </row>
    <row r="196" customFormat="false" ht="15" hidden="false" customHeight="false" outlineLevel="0" collapsed="false">
      <c r="E196" s="26"/>
      <c r="G196" s="23" t="str">
        <f aca="false">IF($A196="","",IFERROR(IF(INDEX(Activities!$C$2:$C$201,MATCH($A196,Activities!$A$2:$A$201,0))="","",INDEX(Activities!$C$2:$C$201,MATCH($A196,Activities!$A$2:$A$201,0))),""))</f>
        <v/>
      </c>
      <c r="H196" s="24" t="str">
        <f aca="false">IF($A196="","",IFERROR(IF(INDEX(Activities!$B$2:$B$201,MATCH($A196,Activities!$A$2:$A$201,0))="","",INDEX(Activities!$B$2:$B$201,MATCH($A196,Activities!$A$2:$A$201,0))),""))</f>
        <v/>
      </c>
      <c r="I196" s="24" t="str">
        <f aca="false">IF($B196="","",IFERROR(IF(INDEX(Students!$C$2:$C$301,MATCH($B196,Students!$A$2:$A$301,0))="","",INDEX(Students!$C$2:$C$301,MATCH($B196,Students!$A$2:$A$301,0))),""))</f>
        <v/>
      </c>
      <c r="J196" s="24" t="str">
        <f aca="false">IF($B196="","",IFERROR(IF(INDEX(Students!$B$2:$B$301,MATCH($B196,Students!$A$2:$A$301,0))="","",INDEX(Students!$B$2:$B$301,MATCH($B196,Students!$A$2:$A$301,0))),""))</f>
        <v/>
      </c>
      <c r="K196" s="25" t="str">
        <f aca="false">IF($A196="","",IF(D196="Withdrawn",0,IF(E196&lt;&gt;"",N(E196),IFERROR(N(INDEX(Activities!$I$2:$I$201,MATCH($A196,Activities!$A$2:$A$201,0))),0))))</f>
        <v/>
      </c>
      <c r="L196" s="24" t="str">
        <f aca="false">IF(AND($A196="",$B196=""),"",IF(ISNA(MATCH($A196,Activities!$A$2:$A$201,0)),"Unknown activity",IF(ISNA(MATCH($B196,Students!$A$2:$A$301,0)),"Unknown student",IF(D196="","No status",IF(COUNTIFS($A$2:$A$1001,$A196,$B$2:$B$1001,$B196)&gt;1,"Duplicate",IF(AND(D196&lt;&gt;"Withdrawn",G196&lt;&gt;"",COUNTIFS($B$2:$B$1001,$B196,$G$2:$G$1001,G196,$D$2:$D$1001,"&lt;&gt;Withdrawn")&gt;1),"Same-day clash","OK"))))))</f>
        <v/>
      </c>
    </row>
    <row r="197" customFormat="false" ht="15" hidden="false" customHeight="false" outlineLevel="0" collapsed="false">
      <c r="E197" s="26"/>
      <c r="G197" s="23" t="str">
        <f aca="false">IF($A197="","",IFERROR(IF(INDEX(Activities!$C$2:$C$201,MATCH($A197,Activities!$A$2:$A$201,0))="","",INDEX(Activities!$C$2:$C$201,MATCH($A197,Activities!$A$2:$A$201,0))),""))</f>
        <v/>
      </c>
      <c r="H197" s="24" t="str">
        <f aca="false">IF($A197="","",IFERROR(IF(INDEX(Activities!$B$2:$B$201,MATCH($A197,Activities!$A$2:$A$201,0))="","",INDEX(Activities!$B$2:$B$201,MATCH($A197,Activities!$A$2:$A$201,0))),""))</f>
        <v/>
      </c>
      <c r="I197" s="24" t="str">
        <f aca="false">IF($B197="","",IFERROR(IF(INDEX(Students!$C$2:$C$301,MATCH($B197,Students!$A$2:$A$301,0))="","",INDEX(Students!$C$2:$C$301,MATCH($B197,Students!$A$2:$A$301,0))),""))</f>
        <v/>
      </c>
      <c r="J197" s="24" t="str">
        <f aca="false">IF($B197="","",IFERROR(IF(INDEX(Students!$B$2:$B$301,MATCH($B197,Students!$A$2:$A$301,0))="","",INDEX(Students!$B$2:$B$301,MATCH($B197,Students!$A$2:$A$301,0))),""))</f>
        <v/>
      </c>
      <c r="K197" s="25" t="str">
        <f aca="false">IF($A197="","",IF(D197="Withdrawn",0,IF(E197&lt;&gt;"",N(E197),IFERROR(N(INDEX(Activities!$I$2:$I$201,MATCH($A197,Activities!$A$2:$A$201,0))),0))))</f>
        <v/>
      </c>
      <c r="L197" s="24" t="str">
        <f aca="false">IF(AND($A197="",$B197=""),"",IF(ISNA(MATCH($A197,Activities!$A$2:$A$201,0)),"Unknown activity",IF(ISNA(MATCH($B197,Students!$A$2:$A$301,0)),"Unknown student",IF(D197="","No status",IF(COUNTIFS($A$2:$A$1001,$A197,$B$2:$B$1001,$B197)&gt;1,"Duplicate",IF(AND(D197&lt;&gt;"Withdrawn",G197&lt;&gt;"",COUNTIFS($B$2:$B$1001,$B197,$G$2:$G$1001,G197,$D$2:$D$1001,"&lt;&gt;Withdrawn")&gt;1),"Same-day clash","OK"))))))</f>
        <v/>
      </c>
    </row>
    <row r="198" customFormat="false" ht="15" hidden="false" customHeight="false" outlineLevel="0" collapsed="false">
      <c r="E198" s="26"/>
      <c r="G198" s="23" t="str">
        <f aca="false">IF($A198="","",IFERROR(IF(INDEX(Activities!$C$2:$C$201,MATCH($A198,Activities!$A$2:$A$201,0))="","",INDEX(Activities!$C$2:$C$201,MATCH($A198,Activities!$A$2:$A$201,0))),""))</f>
        <v/>
      </c>
      <c r="H198" s="24" t="str">
        <f aca="false">IF($A198="","",IFERROR(IF(INDEX(Activities!$B$2:$B$201,MATCH($A198,Activities!$A$2:$A$201,0))="","",INDEX(Activities!$B$2:$B$201,MATCH($A198,Activities!$A$2:$A$201,0))),""))</f>
        <v/>
      </c>
      <c r="I198" s="24" t="str">
        <f aca="false">IF($B198="","",IFERROR(IF(INDEX(Students!$C$2:$C$301,MATCH($B198,Students!$A$2:$A$301,0))="","",INDEX(Students!$C$2:$C$301,MATCH($B198,Students!$A$2:$A$301,0))),""))</f>
        <v/>
      </c>
      <c r="J198" s="24" t="str">
        <f aca="false">IF($B198="","",IFERROR(IF(INDEX(Students!$B$2:$B$301,MATCH($B198,Students!$A$2:$A$301,0))="","",INDEX(Students!$B$2:$B$301,MATCH($B198,Students!$A$2:$A$301,0))),""))</f>
        <v/>
      </c>
      <c r="K198" s="25" t="str">
        <f aca="false">IF($A198="","",IF(D198="Withdrawn",0,IF(E198&lt;&gt;"",N(E198),IFERROR(N(INDEX(Activities!$I$2:$I$201,MATCH($A198,Activities!$A$2:$A$201,0))),0))))</f>
        <v/>
      </c>
      <c r="L198" s="24" t="str">
        <f aca="false">IF(AND($A198="",$B198=""),"",IF(ISNA(MATCH($A198,Activities!$A$2:$A$201,0)),"Unknown activity",IF(ISNA(MATCH($B198,Students!$A$2:$A$301,0)),"Unknown student",IF(D198="","No status",IF(COUNTIFS($A$2:$A$1001,$A198,$B$2:$B$1001,$B198)&gt;1,"Duplicate",IF(AND(D198&lt;&gt;"Withdrawn",G198&lt;&gt;"",COUNTIFS($B$2:$B$1001,$B198,$G$2:$G$1001,G198,$D$2:$D$1001,"&lt;&gt;Withdrawn")&gt;1),"Same-day clash","OK"))))))</f>
        <v/>
      </c>
    </row>
    <row r="199" customFormat="false" ht="15" hidden="false" customHeight="false" outlineLevel="0" collapsed="false">
      <c r="E199" s="26"/>
      <c r="G199" s="23" t="str">
        <f aca="false">IF($A199="","",IFERROR(IF(INDEX(Activities!$C$2:$C$201,MATCH($A199,Activities!$A$2:$A$201,0))="","",INDEX(Activities!$C$2:$C$201,MATCH($A199,Activities!$A$2:$A$201,0))),""))</f>
        <v/>
      </c>
      <c r="H199" s="24" t="str">
        <f aca="false">IF($A199="","",IFERROR(IF(INDEX(Activities!$B$2:$B$201,MATCH($A199,Activities!$A$2:$A$201,0))="","",INDEX(Activities!$B$2:$B$201,MATCH($A199,Activities!$A$2:$A$201,0))),""))</f>
        <v/>
      </c>
      <c r="I199" s="24" t="str">
        <f aca="false">IF($B199="","",IFERROR(IF(INDEX(Students!$C$2:$C$301,MATCH($B199,Students!$A$2:$A$301,0))="","",INDEX(Students!$C$2:$C$301,MATCH($B199,Students!$A$2:$A$301,0))),""))</f>
        <v/>
      </c>
      <c r="J199" s="24" t="str">
        <f aca="false">IF($B199="","",IFERROR(IF(INDEX(Students!$B$2:$B$301,MATCH($B199,Students!$A$2:$A$301,0))="","",INDEX(Students!$B$2:$B$301,MATCH($B199,Students!$A$2:$A$301,0))),""))</f>
        <v/>
      </c>
      <c r="K199" s="25" t="str">
        <f aca="false">IF($A199="","",IF(D199="Withdrawn",0,IF(E199&lt;&gt;"",N(E199),IFERROR(N(INDEX(Activities!$I$2:$I$201,MATCH($A199,Activities!$A$2:$A$201,0))),0))))</f>
        <v/>
      </c>
      <c r="L199" s="24" t="str">
        <f aca="false">IF(AND($A199="",$B199=""),"",IF(ISNA(MATCH($A199,Activities!$A$2:$A$201,0)),"Unknown activity",IF(ISNA(MATCH($B199,Students!$A$2:$A$301,0)),"Unknown student",IF(D199="","No status",IF(COUNTIFS($A$2:$A$1001,$A199,$B$2:$B$1001,$B199)&gt;1,"Duplicate",IF(AND(D199&lt;&gt;"Withdrawn",G199&lt;&gt;"",COUNTIFS($B$2:$B$1001,$B199,$G$2:$G$1001,G199,$D$2:$D$1001,"&lt;&gt;Withdrawn")&gt;1),"Same-day clash","OK"))))))</f>
        <v/>
      </c>
    </row>
    <row r="200" customFormat="false" ht="15" hidden="false" customHeight="false" outlineLevel="0" collapsed="false">
      <c r="E200" s="26"/>
      <c r="G200" s="23" t="str">
        <f aca="false">IF($A200="","",IFERROR(IF(INDEX(Activities!$C$2:$C$201,MATCH($A200,Activities!$A$2:$A$201,0))="","",INDEX(Activities!$C$2:$C$201,MATCH($A200,Activities!$A$2:$A$201,0))),""))</f>
        <v/>
      </c>
      <c r="H200" s="24" t="str">
        <f aca="false">IF($A200="","",IFERROR(IF(INDEX(Activities!$B$2:$B$201,MATCH($A200,Activities!$A$2:$A$201,0))="","",INDEX(Activities!$B$2:$B$201,MATCH($A200,Activities!$A$2:$A$201,0))),""))</f>
        <v/>
      </c>
      <c r="I200" s="24" t="str">
        <f aca="false">IF($B200="","",IFERROR(IF(INDEX(Students!$C$2:$C$301,MATCH($B200,Students!$A$2:$A$301,0))="","",INDEX(Students!$C$2:$C$301,MATCH($B200,Students!$A$2:$A$301,0))),""))</f>
        <v/>
      </c>
      <c r="J200" s="24" t="str">
        <f aca="false">IF($B200="","",IFERROR(IF(INDEX(Students!$B$2:$B$301,MATCH($B200,Students!$A$2:$A$301,0))="","",INDEX(Students!$B$2:$B$301,MATCH($B200,Students!$A$2:$A$301,0))),""))</f>
        <v/>
      </c>
      <c r="K200" s="25" t="str">
        <f aca="false">IF($A200="","",IF(D200="Withdrawn",0,IF(E200&lt;&gt;"",N(E200),IFERROR(N(INDEX(Activities!$I$2:$I$201,MATCH($A200,Activities!$A$2:$A$201,0))),0))))</f>
        <v/>
      </c>
      <c r="L200" s="24" t="str">
        <f aca="false">IF(AND($A200="",$B200=""),"",IF(ISNA(MATCH($A200,Activities!$A$2:$A$201,0)),"Unknown activity",IF(ISNA(MATCH($B200,Students!$A$2:$A$301,0)),"Unknown student",IF(D200="","No status",IF(COUNTIFS($A$2:$A$1001,$A200,$B$2:$B$1001,$B200)&gt;1,"Duplicate",IF(AND(D200&lt;&gt;"Withdrawn",G200&lt;&gt;"",COUNTIFS($B$2:$B$1001,$B200,$G$2:$G$1001,G200,$D$2:$D$1001,"&lt;&gt;Withdrawn")&gt;1),"Same-day clash","OK"))))))</f>
        <v/>
      </c>
    </row>
    <row r="201" customFormat="false" ht="15" hidden="false" customHeight="false" outlineLevel="0" collapsed="false">
      <c r="E201" s="26"/>
      <c r="G201" s="23" t="str">
        <f aca="false">IF($A201="","",IFERROR(IF(INDEX(Activities!$C$2:$C$201,MATCH($A201,Activities!$A$2:$A$201,0))="","",INDEX(Activities!$C$2:$C$201,MATCH($A201,Activities!$A$2:$A$201,0))),""))</f>
        <v/>
      </c>
      <c r="H201" s="24" t="str">
        <f aca="false">IF($A201="","",IFERROR(IF(INDEX(Activities!$B$2:$B$201,MATCH($A201,Activities!$A$2:$A$201,0))="","",INDEX(Activities!$B$2:$B$201,MATCH($A201,Activities!$A$2:$A$201,0))),""))</f>
        <v/>
      </c>
      <c r="I201" s="24" t="str">
        <f aca="false">IF($B201="","",IFERROR(IF(INDEX(Students!$C$2:$C$301,MATCH($B201,Students!$A$2:$A$301,0))="","",INDEX(Students!$C$2:$C$301,MATCH($B201,Students!$A$2:$A$301,0))),""))</f>
        <v/>
      </c>
      <c r="J201" s="24" t="str">
        <f aca="false">IF($B201="","",IFERROR(IF(INDEX(Students!$B$2:$B$301,MATCH($B201,Students!$A$2:$A$301,0))="","",INDEX(Students!$B$2:$B$301,MATCH($B201,Students!$A$2:$A$301,0))),""))</f>
        <v/>
      </c>
      <c r="K201" s="25" t="str">
        <f aca="false">IF($A201="","",IF(D201="Withdrawn",0,IF(E201&lt;&gt;"",N(E201),IFERROR(N(INDEX(Activities!$I$2:$I$201,MATCH($A201,Activities!$A$2:$A$201,0))),0))))</f>
        <v/>
      </c>
      <c r="L201" s="24" t="str">
        <f aca="false">IF(AND($A201="",$B201=""),"",IF(ISNA(MATCH($A201,Activities!$A$2:$A$201,0)),"Unknown activity",IF(ISNA(MATCH($B201,Students!$A$2:$A$301,0)),"Unknown student",IF(D201="","No status",IF(COUNTIFS($A$2:$A$1001,$A201,$B$2:$B$1001,$B201)&gt;1,"Duplicate",IF(AND(D201&lt;&gt;"Withdrawn",G201&lt;&gt;"",COUNTIFS($B$2:$B$1001,$B201,$G$2:$G$1001,G201,$D$2:$D$1001,"&lt;&gt;Withdrawn")&gt;1),"Same-day clash","OK"))))))</f>
        <v/>
      </c>
    </row>
    <row r="202" customFormat="false" ht="15" hidden="false" customHeight="false" outlineLevel="0" collapsed="false">
      <c r="E202" s="26"/>
      <c r="G202" s="23" t="str">
        <f aca="false">IF($A202="","",IFERROR(IF(INDEX(Activities!$C$2:$C$201,MATCH($A202,Activities!$A$2:$A$201,0))="","",INDEX(Activities!$C$2:$C$201,MATCH($A202,Activities!$A$2:$A$201,0))),""))</f>
        <v/>
      </c>
      <c r="H202" s="24" t="str">
        <f aca="false">IF($A202="","",IFERROR(IF(INDEX(Activities!$B$2:$B$201,MATCH($A202,Activities!$A$2:$A$201,0))="","",INDEX(Activities!$B$2:$B$201,MATCH($A202,Activities!$A$2:$A$201,0))),""))</f>
        <v/>
      </c>
      <c r="I202" s="24" t="str">
        <f aca="false">IF($B202="","",IFERROR(IF(INDEX(Students!$C$2:$C$301,MATCH($B202,Students!$A$2:$A$301,0))="","",INDEX(Students!$C$2:$C$301,MATCH($B202,Students!$A$2:$A$301,0))),""))</f>
        <v/>
      </c>
      <c r="J202" s="24" t="str">
        <f aca="false">IF($B202="","",IFERROR(IF(INDEX(Students!$B$2:$B$301,MATCH($B202,Students!$A$2:$A$301,0))="","",INDEX(Students!$B$2:$B$301,MATCH($B202,Students!$A$2:$A$301,0))),""))</f>
        <v/>
      </c>
      <c r="K202" s="25" t="str">
        <f aca="false">IF($A202="","",IF(D202="Withdrawn",0,IF(E202&lt;&gt;"",N(E202),IFERROR(N(INDEX(Activities!$I$2:$I$201,MATCH($A202,Activities!$A$2:$A$201,0))),0))))</f>
        <v/>
      </c>
      <c r="L202" s="24" t="str">
        <f aca="false">IF(AND($A202="",$B202=""),"",IF(ISNA(MATCH($A202,Activities!$A$2:$A$201,0)),"Unknown activity",IF(ISNA(MATCH($B202,Students!$A$2:$A$301,0)),"Unknown student",IF(D202="","No status",IF(COUNTIFS($A$2:$A$1001,$A202,$B$2:$B$1001,$B202)&gt;1,"Duplicate",IF(AND(D202&lt;&gt;"Withdrawn",G202&lt;&gt;"",COUNTIFS($B$2:$B$1001,$B202,$G$2:$G$1001,G202,$D$2:$D$1001,"&lt;&gt;Withdrawn")&gt;1),"Same-day clash","OK"))))))</f>
        <v/>
      </c>
    </row>
    <row r="203" customFormat="false" ht="15" hidden="false" customHeight="false" outlineLevel="0" collapsed="false">
      <c r="E203" s="26"/>
      <c r="G203" s="23" t="str">
        <f aca="false">IF($A203="","",IFERROR(IF(INDEX(Activities!$C$2:$C$201,MATCH($A203,Activities!$A$2:$A$201,0))="","",INDEX(Activities!$C$2:$C$201,MATCH($A203,Activities!$A$2:$A$201,0))),""))</f>
        <v/>
      </c>
      <c r="H203" s="24" t="str">
        <f aca="false">IF($A203="","",IFERROR(IF(INDEX(Activities!$B$2:$B$201,MATCH($A203,Activities!$A$2:$A$201,0))="","",INDEX(Activities!$B$2:$B$201,MATCH($A203,Activities!$A$2:$A$201,0))),""))</f>
        <v/>
      </c>
      <c r="I203" s="24" t="str">
        <f aca="false">IF($B203="","",IFERROR(IF(INDEX(Students!$C$2:$C$301,MATCH($B203,Students!$A$2:$A$301,0))="","",INDEX(Students!$C$2:$C$301,MATCH($B203,Students!$A$2:$A$301,0))),""))</f>
        <v/>
      </c>
      <c r="J203" s="24" t="str">
        <f aca="false">IF($B203="","",IFERROR(IF(INDEX(Students!$B$2:$B$301,MATCH($B203,Students!$A$2:$A$301,0))="","",INDEX(Students!$B$2:$B$301,MATCH($B203,Students!$A$2:$A$301,0))),""))</f>
        <v/>
      </c>
      <c r="K203" s="25" t="str">
        <f aca="false">IF($A203="","",IF(D203="Withdrawn",0,IF(E203&lt;&gt;"",N(E203),IFERROR(N(INDEX(Activities!$I$2:$I$201,MATCH($A203,Activities!$A$2:$A$201,0))),0))))</f>
        <v/>
      </c>
      <c r="L203" s="24" t="str">
        <f aca="false">IF(AND($A203="",$B203=""),"",IF(ISNA(MATCH($A203,Activities!$A$2:$A$201,0)),"Unknown activity",IF(ISNA(MATCH($B203,Students!$A$2:$A$301,0)),"Unknown student",IF(D203="","No status",IF(COUNTIFS($A$2:$A$1001,$A203,$B$2:$B$1001,$B203)&gt;1,"Duplicate",IF(AND(D203&lt;&gt;"Withdrawn",G203&lt;&gt;"",COUNTIFS($B$2:$B$1001,$B203,$G$2:$G$1001,G203,$D$2:$D$1001,"&lt;&gt;Withdrawn")&gt;1),"Same-day clash","OK"))))))</f>
        <v/>
      </c>
    </row>
    <row r="204" customFormat="false" ht="15" hidden="false" customHeight="false" outlineLevel="0" collapsed="false">
      <c r="E204" s="26"/>
      <c r="G204" s="23" t="str">
        <f aca="false">IF($A204="","",IFERROR(IF(INDEX(Activities!$C$2:$C$201,MATCH($A204,Activities!$A$2:$A$201,0))="","",INDEX(Activities!$C$2:$C$201,MATCH($A204,Activities!$A$2:$A$201,0))),""))</f>
        <v/>
      </c>
      <c r="H204" s="24" t="str">
        <f aca="false">IF($A204="","",IFERROR(IF(INDEX(Activities!$B$2:$B$201,MATCH($A204,Activities!$A$2:$A$201,0))="","",INDEX(Activities!$B$2:$B$201,MATCH($A204,Activities!$A$2:$A$201,0))),""))</f>
        <v/>
      </c>
      <c r="I204" s="24" t="str">
        <f aca="false">IF($B204="","",IFERROR(IF(INDEX(Students!$C$2:$C$301,MATCH($B204,Students!$A$2:$A$301,0))="","",INDEX(Students!$C$2:$C$301,MATCH($B204,Students!$A$2:$A$301,0))),""))</f>
        <v/>
      </c>
      <c r="J204" s="24" t="str">
        <f aca="false">IF($B204="","",IFERROR(IF(INDEX(Students!$B$2:$B$301,MATCH($B204,Students!$A$2:$A$301,0))="","",INDEX(Students!$B$2:$B$301,MATCH($B204,Students!$A$2:$A$301,0))),""))</f>
        <v/>
      </c>
      <c r="K204" s="25" t="str">
        <f aca="false">IF($A204="","",IF(D204="Withdrawn",0,IF(E204&lt;&gt;"",N(E204),IFERROR(N(INDEX(Activities!$I$2:$I$201,MATCH($A204,Activities!$A$2:$A$201,0))),0))))</f>
        <v/>
      </c>
      <c r="L204" s="24" t="str">
        <f aca="false">IF(AND($A204="",$B204=""),"",IF(ISNA(MATCH($A204,Activities!$A$2:$A$201,0)),"Unknown activity",IF(ISNA(MATCH($B204,Students!$A$2:$A$301,0)),"Unknown student",IF(D204="","No status",IF(COUNTIFS($A$2:$A$1001,$A204,$B$2:$B$1001,$B204)&gt;1,"Duplicate",IF(AND(D204&lt;&gt;"Withdrawn",G204&lt;&gt;"",COUNTIFS($B$2:$B$1001,$B204,$G$2:$G$1001,G204,$D$2:$D$1001,"&lt;&gt;Withdrawn")&gt;1),"Same-day clash","OK"))))))</f>
        <v/>
      </c>
    </row>
    <row r="205" customFormat="false" ht="15" hidden="false" customHeight="false" outlineLevel="0" collapsed="false">
      <c r="E205" s="26"/>
      <c r="G205" s="23" t="str">
        <f aca="false">IF($A205="","",IFERROR(IF(INDEX(Activities!$C$2:$C$201,MATCH($A205,Activities!$A$2:$A$201,0))="","",INDEX(Activities!$C$2:$C$201,MATCH($A205,Activities!$A$2:$A$201,0))),""))</f>
        <v/>
      </c>
      <c r="H205" s="24" t="str">
        <f aca="false">IF($A205="","",IFERROR(IF(INDEX(Activities!$B$2:$B$201,MATCH($A205,Activities!$A$2:$A$201,0))="","",INDEX(Activities!$B$2:$B$201,MATCH($A205,Activities!$A$2:$A$201,0))),""))</f>
        <v/>
      </c>
      <c r="I205" s="24" t="str">
        <f aca="false">IF($B205="","",IFERROR(IF(INDEX(Students!$C$2:$C$301,MATCH($B205,Students!$A$2:$A$301,0))="","",INDEX(Students!$C$2:$C$301,MATCH($B205,Students!$A$2:$A$301,0))),""))</f>
        <v/>
      </c>
      <c r="J205" s="24" t="str">
        <f aca="false">IF($B205="","",IFERROR(IF(INDEX(Students!$B$2:$B$301,MATCH($B205,Students!$A$2:$A$301,0))="","",INDEX(Students!$B$2:$B$301,MATCH($B205,Students!$A$2:$A$301,0))),""))</f>
        <v/>
      </c>
      <c r="K205" s="25" t="str">
        <f aca="false">IF($A205="","",IF(D205="Withdrawn",0,IF(E205&lt;&gt;"",N(E205),IFERROR(N(INDEX(Activities!$I$2:$I$201,MATCH($A205,Activities!$A$2:$A$201,0))),0))))</f>
        <v/>
      </c>
      <c r="L205" s="24" t="str">
        <f aca="false">IF(AND($A205="",$B205=""),"",IF(ISNA(MATCH($A205,Activities!$A$2:$A$201,0)),"Unknown activity",IF(ISNA(MATCH($B205,Students!$A$2:$A$301,0)),"Unknown student",IF(D205="","No status",IF(COUNTIFS($A$2:$A$1001,$A205,$B$2:$B$1001,$B205)&gt;1,"Duplicate",IF(AND(D205&lt;&gt;"Withdrawn",G205&lt;&gt;"",COUNTIFS($B$2:$B$1001,$B205,$G$2:$G$1001,G205,$D$2:$D$1001,"&lt;&gt;Withdrawn")&gt;1),"Same-day clash","OK"))))))</f>
        <v/>
      </c>
    </row>
    <row r="206" customFormat="false" ht="15" hidden="false" customHeight="false" outlineLevel="0" collapsed="false">
      <c r="E206" s="26"/>
      <c r="G206" s="23" t="str">
        <f aca="false">IF($A206="","",IFERROR(IF(INDEX(Activities!$C$2:$C$201,MATCH($A206,Activities!$A$2:$A$201,0))="","",INDEX(Activities!$C$2:$C$201,MATCH($A206,Activities!$A$2:$A$201,0))),""))</f>
        <v/>
      </c>
      <c r="H206" s="24" t="str">
        <f aca="false">IF($A206="","",IFERROR(IF(INDEX(Activities!$B$2:$B$201,MATCH($A206,Activities!$A$2:$A$201,0))="","",INDEX(Activities!$B$2:$B$201,MATCH($A206,Activities!$A$2:$A$201,0))),""))</f>
        <v/>
      </c>
      <c r="I206" s="24" t="str">
        <f aca="false">IF($B206="","",IFERROR(IF(INDEX(Students!$C$2:$C$301,MATCH($B206,Students!$A$2:$A$301,0))="","",INDEX(Students!$C$2:$C$301,MATCH($B206,Students!$A$2:$A$301,0))),""))</f>
        <v/>
      </c>
      <c r="J206" s="24" t="str">
        <f aca="false">IF($B206="","",IFERROR(IF(INDEX(Students!$B$2:$B$301,MATCH($B206,Students!$A$2:$A$301,0))="","",INDEX(Students!$B$2:$B$301,MATCH($B206,Students!$A$2:$A$301,0))),""))</f>
        <v/>
      </c>
      <c r="K206" s="25" t="str">
        <f aca="false">IF($A206="","",IF(D206="Withdrawn",0,IF(E206&lt;&gt;"",N(E206),IFERROR(N(INDEX(Activities!$I$2:$I$201,MATCH($A206,Activities!$A$2:$A$201,0))),0))))</f>
        <v/>
      </c>
      <c r="L206" s="24" t="str">
        <f aca="false">IF(AND($A206="",$B206=""),"",IF(ISNA(MATCH($A206,Activities!$A$2:$A$201,0)),"Unknown activity",IF(ISNA(MATCH($B206,Students!$A$2:$A$301,0)),"Unknown student",IF(D206="","No status",IF(COUNTIFS($A$2:$A$1001,$A206,$B$2:$B$1001,$B206)&gt;1,"Duplicate",IF(AND(D206&lt;&gt;"Withdrawn",G206&lt;&gt;"",COUNTIFS($B$2:$B$1001,$B206,$G$2:$G$1001,G206,$D$2:$D$1001,"&lt;&gt;Withdrawn")&gt;1),"Same-day clash","OK"))))))</f>
        <v/>
      </c>
    </row>
    <row r="207" customFormat="false" ht="15" hidden="false" customHeight="false" outlineLevel="0" collapsed="false">
      <c r="E207" s="26"/>
      <c r="G207" s="23" t="str">
        <f aca="false">IF($A207="","",IFERROR(IF(INDEX(Activities!$C$2:$C$201,MATCH($A207,Activities!$A$2:$A$201,0))="","",INDEX(Activities!$C$2:$C$201,MATCH($A207,Activities!$A$2:$A$201,0))),""))</f>
        <v/>
      </c>
      <c r="H207" s="24" t="str">
        <f aca="false">IF($A207="","",IFERROR(IF(INDEX(Activities!$B$2:$B$201,MATCH($A207,Activities!$A$2:$A$201,0))="","",INDEX(Activities!$B$2:$B$201,MATCH($A207,Activities!$A$2:$A$201,0))),""))</f>
        <v/>
      </c>
      <c r="I207" s="24" t="str">
        <f aca="false">IF($B207="","",IFERROR(IF(INDEX(Students!$C$2:$C$301,MATCH($B207,Students!$A$2:$A$301,0))="","",INDEX(Students!$C$2:$C$301,MATCH($B207,Students!$A$2:$A$301,0))),""))</f>
        <v/>
      </c>
      <c r="J207" s="24" t="str">
        <f aca="false">IF($B207="","",IFERROR(IF(INDEX(Students!$B$2:$B$301,MATCH($B207,Students!$A$2:$A$301,0))="","",INDEX(Students!$B$2:$B$301,MATCH($B207,Students!$A$2:$A$301,0))),""))</f>
        <v/>
      </c>
      <c r="K207" s="25" t="str">
        <f aca="false">IF($A207="","",IF(D207="Withdrawn",0,IF(E207&lt;&gt;"",N(E207),IFERROR(N(INDEX(Activities!$I$2:$I$201,MATCH($A207,Activities!$A$2:$A$201,0))),0))))</f>
        <v/>
      </c>
      <c r="L207" s="24" t="str">
        <f aca="false">IF(AND($A207="",$B207=""),"",IF(ISNA(MATCH($A207,Activities!$A$2:$A$201,0)),"Unknown activity",IF(ISNA(MATCH($B207,Students!$A$2:$A$301,0)),"Unknown student",IF(D207="","No status",IF(COUNTIFS($A$2:$A$1001,$A207,$B$2:$B$1001,$B207)&gt;1,"Duplicate",IF(AND(D207&lt;&gt;"Withdrawn",G207&lt;&gt;"",COUNTIFS($B$2:$B$1001,$B207,$G$2:$G$1001,G207,$D$2:$D$1001,"&lt;&gt;Withdrawn")&gt;1),"Same-day clash","OK"))))))</f>
        <v/>
      </c>
    </row>
    <row r="208" customFormat="false" ht="15" hidden="false" customHeight="false" outlineLevel="0" collapsed="false">
      <c r="E208" s="26"/>
      <c r="G208" s="23" t="str">
        <f aca="false">IF($A208="","",IFERROR(IF(INDEX(Activities!$C$2:$C$201,MATCH($A208,Activities!$A$2:$A$201,0))="","",INDEX(Activities!$C$2:$C$201,MATCH($A208,Activities!$A$2:$A$201,0))),""))</f>
        <v/>
      </c>
      <c r="H208" s="24" t="str">
        <f aca="false">IF($A208="","",IFERROR(IF(INDEX(Activities!$B$2:$B$201,MATCH($A208,Activities!$A$2:$A$201,0))="","",INDEX(Activities!$B$2:$B$201,MATCH($A208,Activities!$A$2:$A$201,0))),""))</f>
        <v/>
      </c>
      <c r="I208" s="24" t="str">
        <f aca="false">IF($B208="","",IFERROR(IF(INDEX(Students!$C$2:$C$301,MATCH($B208,Students!$A$2:$A$301,0))="","",INDEX(Students!$C$2:$C$301,MATCH($B208,Students!$A$2:$A$301,0))),""))</f>
        <v/>
      </c>
      <c r="J208" s="24" t="str">
        <f aca="false">IF($B208="","",IFERROR(IF(INDEX(Students!$B$2:$B$301,MATCH($B208,Students!$A$2:$A$301,0))="","",INDEX(Students!$B$2:$B$301,MATCH($B208,Students!$A$2:$A$301,0))),""))</f>
        <v/>
      </c>
      <c r="K208" s="25" t="str">
        <f aca="false">IF($A208="","",IF(D208="Withdrawn",0,IF(E208&lt;&gt;"",N(E208),IFERROR(N(INDEX(Activities!$I$2:$I$201,MATCH($A208,Activities!$A$2:$A$201,0))),0))))</f>
        <v/>
      </c>
      <c r="L208" s="24" t="str">
        <f aca="false">IF(AND($A208="",$B208=""),"",IF(ISNA(MATCH($A208,Activities!$A$2:$A$201,0)),"Unknown activity",IF(ISNA(MATCH($B208,Students!$A$2:$A$301,0)),"Unknown student",IF(D208="","No status",IF(COUNTIFS($A$2:$A$1001,$A208,$B$2:$B$1001,$B208)&gt;1,"Duplicate",IF(AND(D208&lt;&gt;"Withdrawn",G208&lt;&gt;"",COUNTIFS($B$2:$B$1001,$B208,$G$2:$G$1001,G208,$D$2:$D$1001,"&lt;&gt;Withdrawn")&gt;1),"Same-day clash","OK"))))))</f>
        <v/>
      </c>
    </row>
    <row r="209" customFormat="false" ht="15" hidden="false" customHeight="false" outlineLevel="0" collapsed="false">
      <c r="E209" s="26"/>
      <c r="G209" s="23" t="str">
        <f aca="false">IF($A209="","",IFERROR(IF(INDEX(Activities!$C$2:$C$201,MATCH($A209,Activities!$A$2:$A$201,0))="","",INDEX(Activities!$C$2:$C$201,MATCH($A209,Activities!$A$2:$A$201,0))),""))</f>
        <v/>
      </c>
      <c r="H209" s="24" t="str">
        <f aca="false">IF($A209="","",IFERROR(IF(INDEX(Activities!$B$2:$B$201,MATCH($A209,Activities!$A$2:$A$201,0))="","",INDEX(Activities!$B$2:$B$201,MATCH($A209,Activities!$A$2:$A$201,0))),""))</f>
        <v/>
      </c>
      <c r="I209" s="24" t="str">
        <f aca="false">IF($B209="","",IFERROR(IF(INDEX(Students!$C$2:$C$301,MATCH($B209,Students!$A$2:$A$301,0))="","",INDEX(Students!$C$2:$C$301,MATCH($B209,Students!$A$2:$A$301,0))),""))</f>
        <v/>
      </c>
      <c r="J209" s="24" t="str">
        <f aca="false">IF($B209="","",IFERROR(IF(INDEX(Students!$B$2:$B$301,MATCH($B209,Students!$A$2:$A$301,0))="","",INDEX(Students!$B$2:$B$301,MATCH($B209,Students!$A$2:$A$301,0))),""))</f>
        <v/>
      </c>
      <c r="K209" s="25" t="str">
        <f aca="false">IF($A209="","",IF(D209="Withdrawn",0,IF(E209&lt;&gt;"",N(E209),IFERROR(N(INDEX(Activities!$I$2:$I$201,MATCH($A209,Activities!$A$2:$A$201,0))),0))))</f>
        <v/>
      </c>
      <c r="L209" s="24" t="str">
        <f aca="false">IF(AND($A209="",$B209=""),"",IF(ISNA(MATCH($A209,Activities!$A$2:$A$201,0)),"Unknown activity",IF(ISNA(MATCH($B209,Students!$A$2:$A$301,0)),"Unknown student",IF(D209="","No status",IF(COUNTIFS($A$2:$A$1001,$A209,$B$2:$B$1001,$B209)&gt;1,"Duplicate",IF(AND(D209&lt;&gt;"Withdrawn",G209&lt;&gt;"",COUNTIFS($B$2:$B$1001,$B209,$G$2:$G$1001,G209,$D$2:$D$1001,"&lt;&gt;Withdrawn")&gt;1),"Same-day clash","OK"))))))</f>
        <v/>
      </c>
    </row>
    <row r="210" customFormat="false" ht="15" hidden="false" customHeight="false" outlineLevel="0" collapsed="false">
      <c r="E210" s="26"/>
      <c r="G210" s="23" t="str">
        <f aca="false">IF($A210="","",IFERROR(IF(INDEX(Activities!$C$2:$C$201,MATCH($A210,Activities!$A$2:$A$201,0))="","",INDEX(Activities!$C$2:$C$201,MATCH($A210,Activities!$A$2:$A$201,0))),""))</f>
        <v/>
      </c>
      <c r="H210" s="24" t="str">
        <f aca="false">IF($A210="","",IFERROR(IF(INDEX(Activities!$B$2:$B$201,MATCH($A210,Activities!$A$2:$A$201,0))="","",INDEX(Activities!$B$2:$B$201,MATCH($A210,Activities!$A$2:$A$201,0))),""))</f>
        <v/>
      </c>
      <c r="I210" s="24" t="str">
        <f aca="false">IF($B210="","",IFERROR(IF(INDEX(Students!$C$2:$C$301,MATCH($B210,Students!$A$2:$A$301,0))="","",INDEX(Students!$C$2:$C$301,MATCH($B210,Students!$A$2:$A$301,0))),""))</f>
        <v/>
      </c>
      <c r="J210" s="24" t="str">
        <f aca="false">IF($B210="","",IFERROR(IF(INDEX(Students!$B$2:$B$301,MATCH($B210,Students!$A$2:$A$301,0))="","",INDEX(Students!$B$2:$B$301,MATCH($B210,Students!$A$2:$A$301,0))),""))</f>
        <v/>
      </c>
      <c r="K210" s="25" t="str">
        <f aca="false">IF($A210="","",IF(D210="Withdrawn",0,IF(E210&lt;&gt;"",N(E210),IFERROR(N(INDEX(Activities!$I$2:$I$201,MATCH($A210,Activities!$A$2:$A$201,0))),0))))</f>
        <v/>
      </c>
      <c r="L210" s="24" t="str">
        <f aca="false">IF(AND($A210="",$B210=""),"",IF(ISNA(MATCH($A210,Activities!$A$2:$A$201,0)),"Unknown activity",IF(ISNA(MATCH($B210,Students!$A$2:$A$301,0)),"Unknown student",IF(D210="","No status",IF(COUNTIFS($A$2:$A$1001,$A210,$B$2:$B$1001,$B210)&gt;1,"Duplicate",IF(AND(D210&lt;&gt;"Withdrawn",G210&lt;&gt;"",COUNTIFS($B$2:$B$1001,$B210,$G$2:$G$1001,G210,$D$2:$D$1001,"&lt;&gt;Withdrawn")&gt;1),"Same-day clash","OK"))))))</f>
        <v/>
      </c>
    </row>
    <row r="211" customFormat="false" ht="15" hidden="false" customHeight="false" outlineLevel="0" collapsed="false">
      <c r="E211" s="26"/>
      <c r="G211" s="23" t="str">
        <f aca="false">IF($A211="","",IFERROR(IF(INDEX(Activities!$C$2:$C$201,MATCH($A211,Activities!$A$2:$A$201,0))="","",INDEX(Activities!$C$2:$C$201,MATCH($A211,Activities!$A$2:$A$201,0))),""))</f>
        <v/>
      </c>
      <c r="H211" s="24" t="str">
        <f aca="false">IF($A211="","",IFERROR(IF(INDEX(Activities!$B$2:$B$201,MATCH($A211,Activities!$A$2:$A$201,0))="","",INDEX(Activities!$B$2:$B$201,MATCH($A211,Activities!$A$2:$A$201,0))),""))</f>
        <v/>
      </c>
      <c r="I211" s="24" t="str">
        <f aca="false">IF($B211="","",IFERROR(IF(INDEX(Students!$C$2:$C$301,MATCH($B211,Students!$A$2:$A$301,0))="","",INDEX(Students!$C$2:$C$301,MATCH($B211,Students!$A$2:$A$301,0))),""))</f>
        <v/>
      </c>
      <c r="J211" s="24" t="str">
        <f aca="false">IF($B211="","",IFERROR(IF(INDEX(Students!$B$2:$B$301,MATCH($B211,Students!$A$2:$A$301,0))="","",INDEX(Students!$B$2:$B$301,MATCH($B211,Students!$A$2:$A$301,0))),""))</f>
        <v/>
      </c>
      <c r="K211" s="25" t="str">
        <f aca="false">IF($A211="","",IF(D211="Withdrawn",0,IF(E211&lt;&gt;"",N(E211),IFERROR(N(INDEX(Activities!$I$2:$I$201,MATCH($A211,Activities!$A$2:$A$201,0))),0))))</f>
        <v/>
      </c>
      <c r="L211" s="24" t="str">
        <f aca="false">IF(AND($A211="",$B211=""),"",IF(ISNA(MATCH($A211,Activities!$A$2:$A$201,0)),"Unknown activity",IF(ISNA(MATCH($B211,Students!$A$2:$A$301,0)),"Unknown student",IF(D211="","No status",IF(COUNTIFS($A$2:$A$1001,$A211,$B$2:$B$1001,$B211)&gt;1,"Duplicate",IF(AND(D211&lt;&gt;"Withdrawn",G211&lt;&gt;"",COUNTIFS($B$2:$B$1001,$B211,$G$2:$G$1001,G211,$D$2:$D$1001,"&lt;&gt;Withdrawn")&gt;1),"Same-day clash","OK"))))))</f>
        <v/>
      </c>
    </row>
    <row r="212" customFormat="false" ht="15" hidden="false" customHeight="false" outlineLevel="0" collapsed="false">
      <c r="E212" s="26"/>
      <c r="G212" s="23" t="str">
        <f aca="false">IF($A212="","",IFERROR(IF(INDEX(Activities!$C$2:$C$201,MATCH($A212,Activities!$A$2:$A$201,0))="","",INDEX(Activities!$C$2:$C$201,MATCH($A212,Activities!$A$2:$A$201,0))),""))</f>
        <v/>
      </c>
      <c r="H212" s="24" t="str">
        <f aca="false">IF($A212="","",IFERROR(IF(INDEX(Activities!$B$2:$B$201,MATCH($A212,Activities!$A$2:$A$201,0))="","",INDEX(Activities!$B$2:$B$201,MATCH($A212,Activities!$A$2:$A$201,0))),""))</f>
        <v/>
      </c>
      <c r="I212" s="24" t="str">
        <f aca="false">IF($B212="","",IFERROR(IF(INDEX(Students!$C$2:$C$301,MATCH($B212,Students!$A$2:$A$301,0))="","",INDEX(Students!$C$2:$C$301,MATCH($B212,Students!$A$2:$A$301,0))),""))</f>
        <v/>
      </c>
      <c r="J212" s="24" t="str">
        <f aca="false">IF($B212="","",IFERROR(IF(INDEX(Students!$B$2:$B$301,MATCH($B212,Students!$A$2:$A$301,0))="","",INDEX(Students!$B$2:$B$301,MATCH($B212,Students!$A$2:$A$301,0))),""))</f>
        <v/>
      </c>
      <c r="K212" s="25" t="str">
        <f aca="false">IF($A212="","",IF(D212="Withdrawn",0,IF(E212&lt;&gt;"",N(E212),IFERROR(N(INDEX(Activities!$I$2:$I$201,MATCH($A212,Activities!$A$2:$A$201,0))),0))))</f>
        <v/>
      </c>
      <c r="L212" s="24" t="str">
        <f aca="false">IF(AND($A212="",$B212=""),"",IF(ISNA(MATCH($A212,Activities!$A$2:$A$201,0)),"Unknown activity",IF(ISNA(MATCH($B212,Students!$A$2:$A$301,0)),"Unknown student",IF(D212="","No status",IF(COUNTIFS($A$2:$A$1001,$A212,$B$2:$B$1001,$B212)&gt;1,"Duplicate",IF(AND(D212&lt;&gt;"Withdrawn",G212&lt;&gt;"",COUNTIFS($B$2:$B$1001,$B212,$G$2:$G$1001,G212,$D$2:$D$1001,"&lt;&gt;Withdrawn")&gt;1),"Same-day clash","OK"))))))</f>
        <v/>
      </c>
    </row>
    <row r="213" customFormat="false" ht="15" hidden="false" customHeight="false" outlineLevel="0" collapsed="false">
      <c r="E213" s="26"/>
      <c r="G213" s="23" t="str">
        <f aca="false">IF($A213="","",IFERROR(IF(INDEX(Activities!$C$2:$C$201,MATCH($A213,Activities!$A$2:$A$201,0))="","",INDEX(Activities!$C$2:$C$201,MATCH($A213,Activities!$A$2:$A$201,0))),""))</f>
        <v/>
      </c>
      <c r="H213" s="24" t="str">
        <f aca="false">IF($A213="","",IFERROR(IF(INDEX(Activities!$B$2:$B$201,MATCH($A213,Activities!$A$2:$A$201,0))="","",INDEX(Activities!$B$2:$B$201,MATCH($A213,Activities!$A$2:$A$201,0))),""))</f>
        <v/>
      </c>
      <c r="I213" s="24" t="str">
        <f aca="false">IF($B213="","",IFERROR(IF(INDEX(Students!$C$2:$C$301,MATCH($B213,Students!$A$2:$A$301,0))="","",INDEX(Students!$C$2:$C$301,MATCH($B213,Students!$A$2:$A$301,0))),""))</f>
        <v/>
      </c>
      <c r="J213" s="24" t="str">
        <f aca="false">IF($B213="","",IFERROR(IF(INDEX(Students!$B$2:$B$301,MATCH($B213,Students!$A$2:$A$301,0))="","",INDEX(Students!$B$2:$B$301,MATCH($B213,Students!$A$2:$A$301,0))),""))</f>
        <v/>
      </c>
      <c r="K213" s="25" t="str">
        <f aca="false">IF($A213="","",IF(D213="Withdrawn",0,IF(E213&lt;&gt;"",N(E213),IFERROR(N(INDEX(Activities!$I$2:$I$201,MATCH($A213,Activities!$A$2:$A$201,0))),0))))</f>
        <v/>
      </c>
      <c r="L213" s="24" t="str">
        <f aca="false">IF(AND($A213="",$B213=""),"",IF(ISNA(MATCH($A213,Activities!$A$2:$A$201,0)),"Unknown activity",IF(ISNA(MATCH($B213,Students!$A$2:$A$301,0)),"Unknown student",IF(D213="","No status",IF(COUNTIFS($A$2:$A$1001,$A213,$B$2:$B$1001,$B213)&gt;1,"Duplicate",IF(AND(D213&lt;&gt;"Withdrawn",G213&lt;&gt;"",COUNTIFS($B$2:$B$1001,$B213,$G$2:$G$1001,G213,$D$2:$D$1001,"&lt;&gt;Withdrawn")&gt;1),"Same-day clash","OK"))))))</f>
        <v/>
      </c>
    </row>
    <row r="214" customFormat="false" ht="15" hidden="false" customHeight="false" outlineLevel="0" collapsed="false">
      <c r="E214" s="26"/>
      <c r="G214" s="23" t="str">
        <f aca="false">IF($A214="","",IFERROR(IF(INDEX(Activities!$C$2:$C$201,MATCH($A214,Activities!$A$2:$A$201,0))="","",INDEX(Activities!$C$2:$C$201,MATCH($A214,Activities!$A$2:$A$201,0))),""))</f>
        <v/>
      </c>
      <c r="H214" s="24" t="str">
        <f aca="false">IF($A214="","",IFERROR(IF(INDEX(Activities!$B$2:$B$201,MATCH($A214,Activities!$A$2:$A$201,0))="","",INDEX(Activities!$B$2:$B$201,MATCH($A214,Activities!$A$2:$A$201,0))),""))</f>
        <v/>
      </c>
      <c r="I214" s="24" t="str">
        <f aca="false">IF($B214="","",IFERROR(IF(INDEX(Students!$C$2:$C$301,MATCH($B214,Students!$A$2:$A$301,0))="","",INDEX(Students!$C$2:$C$301,MATCH($B214,Students!$A$2:$A$301,0))),""))</f>
        <v/>
      </c>
      <c r="J214" s="24" t="str">
        <f aca="false">IF($B214="","",IFERROR(IF(INDEX(Students!$B$2:$B$301,MATCH($B214,Students!$A$2:$A$301,0))="","",INDEX(Students!$B$2:$B$301,MATCH($B214,Students!$A$2:$A$301,0))),""))</f>
        <v/>
      </c>
      <c r="K214" s="25" t="str">
        <f aca="false">IF($A214="","",IF(D214="Withdrawn",0,IF(E214&lt;&gt;"",N(E214),IFERROR(N(INDEX(Activities!$I$2:$I$201,MATCH($A214,Activities!$A$2:$A$201,0))),0))))</f>
        <v/>
      </c>
      <c r="L214" s="24" t="str">
        <f aca="false">IF(AND($A214="",$B214=""),"",IF(ISNA(MATCH($A214,Activities!$A$2:$A$201,0)),"Unknown activity",IF(ISNA(MATCH($B214,Students!$A$2:$A$301,0)),"Unknown student",IF(D214="","No status",IF(COUNTIFS($A$2:$A$1001,$A214,$B$2:$B$1001,$B214)&gt;1,"Duplicate",IF(AND(D214&lt;&gt;"Withdrawn",G214&lt;&gt;"",COUNTIFS($B$2:$B$1001,$B214,$G$2:$G$1001,G214,$D$2:$D$1001,"&lt;&gt;Withdrawn")&gt;1),"Same-day clash","OK"))))))</f>
        <v/>
      </c>
    </row>
    <row r="215" customFormat="false" ht="15" hidden="false" customHeight="false" outlineLevel="0" collapsed="false">
      <c r="E215" s="26"/>
      <c r="G215" s="23" t="str">
        <f aca="false">IF($A215="","",IFERROR(IF(INDEX(Activities!$C$2:$C$201,MATCH($A215,Activities!$A$2:$A$201,0))="","",INDEX(Activities!$C$2:$C$201,MATCH($A215,Activities!$A$2:$A$201,0))),""))</f>
        <v/>
      </c>
      <c r="H215" s="24" t="str">
        <f aca="false">IF($A215="","",IFERROR(IF(INDEX(Activities!$B$2:$B$201,MATCH($A215,Activities!$A$2:$A$201,0))="","",INDEX(Activities!$B$2:$B$201,MATCH($A215,Activities!$A$2:$A$201,0))),""))</f>
        <v/>
      </c>
      <c r="I215" s="24" t="str">
        <f aca="false">IF($B215="","",IFERROR(IF(INDEX(Students!$C$2:$C$301,MATCH($B215,Students!$A$2:$A$301,0))="","",INDEX(Students!$C$2:$C$301,MATCH($B215,Students!$A$2:$A$301,0))),""))</f>
        <v/>
      </c>
      <c r="J215" s="24" t="str">
        <f aca="false">IF($B215="","",IFERROR(IF(INDEX(Students!$B$2:$B$301,MATCH($B215,Students!$A$2:$A$301,0))="","",INDEX(Students!$B$2:$B$301,MATCH($B215,Students!$A$2:$A$301,0))),""))</f>
        <v/>
      </c>
      <c r="K215" s="25" t="str">
        <f aca="false">IF($A215="","",IF(D215="Withdrawn",0,IF(E215&lt;&gt;"",N(E215),IFERROR(N(INDEX(Activities!$I$2:$I$201,MATCH($A215,Activities!$A$2:$A$201,0))),0))))</f>
        <v/>
      </c>
      <c r="L215" s="24" t="str">
        <f aca="false">IF(AND($A215="",$B215=""),"",IF(ISNA(MATCH($A215,Activities!$A$2:$A$201,0)),"Unknown activity",IF(ISNA(MATCH($B215,Students!$A$2:$A$301,0)),"Unknown student",IF(D215="","No status",IF(COUNTIFS($A$2:$A$1001,$A215,$B$2:$B$1001,$B215)&gt;1,"Duplicate",IF(AND(D215&lt;&gt;"Withdrawn",G215&lt;&gt;"",COUNTIFS($B$2:$B$1001,$B215,$G$2:$G$1001,G215,$D$2:$D$1001,"&lt;&gt;Withdrawn")&gt;1),"Same-day clash","OK"))))))</f>
        <v/>
      </c>
    </row>
    <row r="216" customFormat="false" ht="15" hidden="false" customHeight="false" outlineLevel="0" collapsed="false">
      <c r="E216" s="26"/>
      <c r="G216" s="23" t="str">
        <f aca="false">IF($A216="","",IFERROR(IF(INDEX(Activities!$C$2:$C$201,MATCH($A216,Activities!$A$2:$A$201,0))="","",INDEX(Activities!$C$2:$C$201,MATCH($A216,Activities!$A$2:$A$201,0))),""))</f>
        <v/>
      </c>
      <c r="H216" s="24" t="str">
        <f aca="false">IF($A216="","",IFERROR(IF(INDEX(Activities!$B$2:$B$201,MATCH($A216,Activities!$A$2:$A$201,0))="","",INDEX(Activities!$B$2:$B$201,MATCH($A216,Activities!$A$2:$A$201,0))),""))</f>
        <v/>
      </c>
      <c r="I216" s="24" t="str">
        <f aca="false">IF($B216="","",IFERROR(IF(INDEX(Students!$C$2:$C$301,MATCH($B216,Students!$A$2:$A$301,0))="","",INDEX(Students!$C$2:$C$301,MATCH($B216,Students!$A$2:$A$301,0))),""))</f>
        <v/>
      </c>
      <c r="J216" s="24" t="str">
        <f aca="false">IF($B216="","",IFERROR(IF(INDEX(Students!$B$2:$B$301,MATCH($B216,Students!$A$2:$A$301,0))="","",INDEX(Students!$B$2:$B$301,MATCH($B216,Students!$A$2:$A$301,0))),""))</f>
        <v/>
      </c>
      <c r="K216" s="25" t="str">
        <f aca="false">IF($A216="","",IF(D216="Withdrawn",0,IF(E216&lt;&gt;"",N(E216),IFERROR(N(INDEX(Activities!$I$2:$I$201,MATCH($A216,Activities!$A$2:$A$201,0))),0))))</f>
        <v/>
      </c>
      <c r="L216" s="24" t="str">
        <f aca="false">IF(AND($A216="",$B216=""),"",IF(ISNA(MATCH($A216,Activities!$A$2:$A$201,0)),"Unknown activity",IF(ISNA(MATCH($B216,Students!$A$2:$A$301,0)),"Unknown student",IF(D216="","No status",IF(COUNTIFS($A$2:$A$1001,$A216,$B$2:$B$1001,$B216)&gt;1,"Duplicate",IF(AND(D216&lt;&gt;"Withdrawn",G216&lt;&gt;"",COUNTIFS($B$2:$B$1001,$B216,$G$2:$G$1001,G216,$D$2:$D$1001,"&lt;&gt;Withdrawn")&gt;1),"Same-day clash","OK"))))))</f>
        <v/>
      </c>
    </row>
    <row r="217" customFormat="false" ht="15" hidden="false" customHeight="false" outlineLevel="0" collapsed="false">
      <c r="E217" s="26"/>
      <c r="G217" s="23" t="str">
        <f aca="false">IF($A217="","",IFERROR(IF(INDEX(Activities!$C$2:$C$201,MATCH($A217,Activities!$A$2:$A$201,0))="","",INDEX(Activities!$C$2:$C$201,MATCH($A217,Activities!$A$2:$A$201,0))),""))</f>
        <v/>
      </c>
      <c r="H217" s="24" t="str">
        <f aca="false">IF($A217="","",IFERROR(IF(INDEX(Activities!$B$2:$B$201,MATCH($A217,Activities!$A$2:$A$201,0))="","",INDEX(Activities!$B$2:$B$201,MATCH($A217,Activities!$A$2:$A$201,0))),""))</f>
        <v/>
      </c>
      <c r="I217" s="24" t="str">
        <f aca="false">IF($B217="","",IFERROR(IF(INDEX(Students!$C$2:$C$301,MATCH($B217,Students!$A$2:$A$301,0))="","",INDEX(Students!$C$2:$C$301,MATCH($B217,Students!$A$2:$A$301,0))),""))</f>
        <v/>
      </c>
      <c r="J217" s="24" t="str">
        <f aca="false">IF($B217="","",IFERROR(IF(INDEX(Students!$B$2:$B$301,MATCH($B217,Students!$A$2:$A$301,0))="","",INDEX(Students!$B$2:$B$301,MATCH($B217,Students!$A$2:$A$301,0))),""))</f>
        <v/>
      </c>
      <c r="K217" s="25" t="str">
        <f aca="false">IF($A217="","",IF(D217="Withdrawn",0,IF(E217&lt;&gt;"",N(E217),IFERROR(N(INDEX(Activities!$I$2:$I$201,MATCH($A217,Activities!$A$2:$A$201,0))),0))))</f>
        <v/>
      </c>
      <c r="L217" s="24" t="str">
        <f aca="false">IF(AND($A217="",$B217=""),"",IF(ISNA(MATCH($A217,Activities!$A$2:$A$201,0)),"Unknown activity",IF(ISNA(MATCH($B217,Students!$A$2:$A$301,0)),"Unknown student",IF(D217="","No status",IF(COUNTIFS($A$2:$A$1001,$A217,$B$2:$B$1001,$B217)&gt;1,"Duplicate",IF(AND(D217&lt;&gt;"Withdrawn",G217&lt;&gt;"",COUNTIFS($B$2:$B$1001,$B217,$G$2:$G$1001,G217,$D$2:$D$1001,"&lt;&gt;Withdrawn")&gt;1),"Same-day clash","OK"))))))</f>
        <v/>
      </c>
    </row>
    <row r="218" customFormat="false" ht="15" hidden="false" customHeight="false" outlineLevel="0" collapsed="false">
      <c r="E218" s="26"/>
      <c r="G218" s="23" t="str">
        <f aca="false">IF($A218="","",IFERROR(IF(INDEX(Activities!$C$2:$C$201,MATCH($A218,Activities!$A$2:$A$201,0))="","",INDEX(Activities!$C$2:$C$201,MATCH($A218,Activities!$A$2:$A$201,0))),""))</f>
        <v/>
      </c>
      <c r="H218" s="24" t="str">
        <f aca="false">IF($A218="","",IFERROR(IF(INDEX(Activities!$B$2:$B$201,MATCH($A218,Activities!$A$2:$A$201,0))="","",INDEX(Activities!$B$2:$B$201,MATCH($A218,Activities!$A$2:$A$201,0))),""))</f>
        <v/>
      </c>
      <c r="I218" s="24" t="str">
        <f aca="false">IF($B218="","",IFERROR(IF(INDEX(Students!$C$2:$C$301,MATCH($B218,Students!$A$2:$A$301,0))="","",INDEX(Students!$C$2:$C$301,MATCH($B218,Students!$A$2:$A$301,0))),""))</f>
        <v/>
      </c>
      <c r="J218" s="24" t="str">
        <f aca="false">IF($B218="","",IFERROR(IF(INDEX(Students!$B$2:$B$301,MATCH($B218,Students!$A$2:$A$301,0))="","",INDEX(Students!$B$2:$B$301,MATCH($B218,Students!$A$2:$A$301,0))),""))</f>
        <v/>
      </c>
      <c r="K218" s="25" t="str">
        <f aca="false">IF($A218="","",IF(D218="Withdrawn",0,IF(E218&lt;&gt;"",N(E218),IFERROR(N(INDEX(Activities!$I$2:$I$201,MATCH($A218,Activities!$A$2:$A$201,0))),0))))</f>
        <v/>
      </c>
      <c r="L218" s="24" t="str">
        <f aca="false">IF(AND($A218="",$B218=""),"",IF(ISNA(MATCH($A218,Activities!$A$2:$A$201,0)),"Unknown activity",IF(ISNA(MATCH($B218,Students!$A$2:$A$301,0)),"Unknown student",IF(D218="","No status",IF(COUNTIFS($A$2:$A$1001,$A218,$B$2:$B$1001,$B218)&gt;1,"Duplicate",IF(AND(D218&lt;&gt;"Withdrawn",G218&lt;&gt;"",COUNTIFS($B$2:$B$1001,$B218,$G$2:$G$1001,G218,$D$2:$D$1001,"&lt;&gt;Withdrawn")&gt;1),"Same-day clash","OK"))))))</f>
        <v/>
      </c>
    </row>
    <row r="219" customFormat="false" ht="15" hidden="false" customHeight="false" outlineLevel="0" collapsed="false">
      <c r="E219" s="26"/>
      <c r="G219" s="23" t="str">
        <f aca="false">IF($A219="","",IFERROR(IF(INDEX(Activities!$C$2:$C$201,MATCH($A219,Activities!$A$2:$A$201,0))="","",INDEX(Activities!$C$2:$C$201,MATCH($A219,Activities!$A$2:$A$201,0))),""))</f>
        <v/>
      </c>
      <c r="H219" s="24" t="str">
        <f aca="false">IF($A219="","",IFERROR(IF(INDEX(Activities!$B$2:$B$201,MATCH($A219,Activities!$A$2:$A$201,0))="","",INDEX(Activities!$B$2:$B$201,MATCH($A219,Activities!$A$2:$A$201,0))),""))</f>
        <v/>
      </c>
      <c r="I219" s="24" t="str">
        <f aca="false">IF($B219="","",IFERROR(IF(INDEX(Students!$C$2:$C$301,MATCH($B219,Students!$A$2:$A$301,0))="","",INDEX(Students!$C$2:$C$301,MATCH($B219,Students!$A$2:$A$301,0))),""))</f>
        <v/>
      </c>
      <c r="J219" s="24" t="str">
        <f aca="false">IF($B219="","",IFERROR(IF(INDEX(Students!$B$2:$B$301,MATCH($B219,Students!$A$2:$A$301,0))="","",INDEX(Students!$B$2:$B$301,MATCH($B219,Students!$A$2:$A$301,0))),""))</f>
        <v/>
      </c>
      <c r="K219" s="25" t="str">
        <f aca="false">IF($A219="","",IF(D219="Withdrawn",0,IF(E219&lt;&gt;"",N(E219),IFERROR(N(INDEX(Activities!$I$2:$I$201,MATCH($A219,Activities!$A$2:$A$201,0))),0))))</f>
        <v/>
      </c>
      <c r="L219" s="24" t="str">
        <f aca="false">IF(AND($A219="",$B219=""),"",IF(ISNA(MATCH($A219,Activities!$A$2:$A$201,0)),"Unknown activity",IF(ISNA(MATCH($B219,Students!$A$2:$A$301,0)),"Unknown student",IF(D219="","No status",IF(COUNTIFS($A$2:$A$1001,$A219,$B$2:$B$1001,$B219)&gt;1,"Duplicate",IF(AND(D219&lt;&gt;"Withdrawn",G219&lt;&gt;"",COUNTIFS($B$2:$B$1001,$B219,$G$2:$G$1001,G219,$D$2:$D$1001,"&lt;&gt;Withdrawn")&gt;1),"Same-day clash","OK"))))))</f>
        <v/>
      </c>
    </row>
    <row r="220" customFormat="false" ht="15" hidden="false" customHeight="false" outlineLevel="0" collapsed="false">
      <c r="E220" s="26"/>
      <c r="G220" s="23" t="str">
        <f aca="false">IF($A220="","",IFERROR(IF(INDEX(Activities!$C$2:$C$201,MATCH($A220,Activities!$A$2:$A$201,0))="","",INDEX(Activities!$C$2:$C$201,MATCH($A220,Activities!$A$2:$A$201,0))),""))</f>
        <v/>
      </c>
      <c r="H220" s="24" t="str">
        <f aca="false">IF($A220="","",IFERROR(IF(INDEX(Activities!$B$2:$B$201,MATCH($A220,Activities!$A$2:$A$201,0))="","",INDEX(Activities!$B$2:$B$201,MATCH($A220,Activities!$A$2:$A$201,0))),""))</f>
        <v/>
      </c>
      <c r="I220" s="24" t="str">
        <f aca="false">IF($B220="","",IFERROR(IF(INDEX(Students!$C$2:$C$301,MATCH($B220,Students!$A$2:$A$301,0))="","",INDEX(Students!$C$2:$C$301,MATCH($B220,Students!$A$2:$A$301,0))),""))</f>
        <v/>
      </c>
      <c r="J220" s="24" t="str">
        <f aca="false">IF($B220="","",IFERROR(IF(INDEX(Students!$B$2:$B$301,MATCH($B220,Students!$A$2:$A$301,0))="","",INDEX(Students!$B$2:$B$301,MATCH($B220,Students!$A$2:$A$301,0))),""))</f>
        <v/>
      </c>
      <c r="K220" s="25" t="str">
        <f aca="false">IF($A220="","",IF(D220="Withdrawn",0,IF(E220&lt;&gt;"",N(E220),IFERROR(N(INDEX(Activities!$I$2:$I$201,MATCH($A220,Activities!$A$2:$A$201,0))),0))))</f>
        <v/>
      </c>
      <c r="L220" s="24" t="str">
        <f aca="false">IF(AND($A220="",$B220=""),"",IF(ISNA(MATCH($A220,Activities!$A$2:$A$201,0)),"Unknown activity",IF(ISNA(MATCH($B220,Students!$A$2:$A$301,0)),"Unknown student",IF(D220="","No status",IF(COUNTIFS($A$2:$A$1001,$A220,$B$2:$B$1001,$B220)&gt;1,"Duplicate",IF(AND(D220&lt;&gt;"Withdrawn",G220&lt;&gt;"",COUNTIFS($B$2:$B$1001,$B220,$G$2:$G$1001,G220,$D$2:$D$1001,"&lt;&gt;Withdrawn")&gt;1),"Same-day clash","OK"))))))</f>
        <v/>
      </c>
    </row>
    <row r="221" customFormat="false" ht="15" hidden="false" customHeight="false" outlineLevel="0" collapsed="false">
      <c r="E221" s="26"/>
      <c r="G221" s="23" t="str">
        <f aca="false">IF($A221="","",IFERROR(IF(INDEX(Activities!$C$2:$C$201,MATCH($A221,Activities!$A$2:$A$201,0))="","",INDEX(Activities!$C$2:$C$201,MATCH($A221,Activities!$A$2:$A$201,0))),""))</f>
        <v/>
      </c>
      <c r="H221" s="24" t="str">
        <f aca="false">IF($A221="","",IFERROR(IF(INDEX(Activities!$B$2:$B$201,MATCH($A221,Activities!$A$2:$A$201,0))="","",INDEX(Activities!$B$2:$B$201,MATCH($A221,Activities!$A$2:$A$201,0))),""))</f>
        <v/>
      </c>
      <c r="I221" s="24" t="str">
        <f aca="false">IF($B221="","",IFERROR(IF(INDEX(Students!$C$2:$C$301,MATCH($B221,Students!$A$2:$A$301,0))="","",INDEX(Students!$C$2:$C$301,MATCH($B221,Students!$A$2:$A$301,0))),""))</f>
        <v/>
      </c>
      <c r="J221" s="24" t="str">
        <f aca="false">IF($B221="","",IFERROR(IF(INDEX(Students!$B$2:$B$301,MATCH($B221,Students!$A$2:$A$301,0))="","",INDEX(Students!$B$2:$B$301,MATCH($B221,Students!$A$2:$A$301,0))),""))</f>
        <v/>
      </c>
      <c r="K221" s="25" t="str">
        <f aca="false">IF($A221="","",IF(D221="Withdrawn",0,IF(E221&lt;&gt;"",N(E221),IFERROR(N(INDEX(Activities!$I$2:$I$201,MATCH($A221,Activities!$A$2:$A$201,0))),0))))</f>
        <v/>
      </c>
      <c r="L221" s="24" t="str">
        <f aca="false">IF(AND($A221="",$B221=""),"",IF(ISNA(MATCH($A221,Activities!$A$2:$A$201,0)),"Unknown activity",IF(ISNA(MATCH($B221,Students!$A$2:$A$301,0)),"Unknown student",IF(D221="","No status",IF(COUNTIFS($A$2:$A$1001,$A221,$B$2:$B$1001,$B221)&gt;1,"Duplicate",IF(AND(D221&lt;&gt;"Withdrawn",G221&lt;&gt;"",COUNTIFS($B$2:$B$1001,$B221,$G$2:$G$1001,G221,$D$2:$D$1001,"&lt;&gt;Withdrawn")&gt;1),"Same-day clash","OK"))))))</f>
        <v/>
      </c>
    </row>
    <row r="222" customFormat="false" ht="15" hidden="false" customHeight="false" outlineLevel="0" collapsed="false">
      <c r="E222" s="26"/>
      <c r="G222" s="23" t="str">
        <f aca="false">IF($A222="","",IFERROR(IF(INDEX(Activities!$C$2:$C$201,MATCH($A222,Activities!$A$2:$A$201,0))="","",INDEX(Activities!$C$2:$C$201,MATCH($A222,Activities!$A$2:$A$201,0))),""))</f>
        <v/>
      </c>
      <c r="H222" s="24" t="str">
        <f aca="false">IF($A222="","",IFERROR(IF(INDEX(Activities!$B$2:$B$201,MATCH($A222,Activities!$A$2:$A$201,0))="","",INDEX(Activities!$B$2:$B$201,MATCH($A222,Activities!$A$2:$A$201,0))),""))</f>
        <v/>
      </c>
      <c r="I222" s="24" t="str">
        <f aca="false">IF($B222="","",IFERROR(IF(INDEX(Students!$C$2:$C$301,MATCH($B222,Students!$A$2:$A$301,0))="","",INDEX(Students!$C$2:$C$301,MATCH($B222,Students!$A$2:$A$301,0))),""))</f>
        <v/>
      </c>
      <c r="J222" s="24" t="str">
        <f aca="false">IF($B222="","",IFERROR(IF(INDEX(Students!$B$2:$B$301,MATCH($B222,Students!$A$2:$A$301,0))="","",INDEX(Students!$B$2:$B$301,MATCH($B222,Students!$A$2:$A$301,0))),""))</f>
        <v/>
      </c>
      <c r="K222" s="25" t="str">
        <f aca="false">IF($A222="","",IF(D222="Withdrawn",0,IF(E222&lt;&gt;"",N(E222),IFERROR(N(INDEX(Activities!$I$2:$I$201,MATCH($A222,Activities!$A$2:$A$201,0))),0))))</f>
        <v/>
      </c>
      <c r="L222" s="24" t="str">
        <f aca="false">IF(AND($A222="",$B222=""),"",IF(ISNA(MATCH($A222,Activities!$A$2:$A$201,0)),"Unknown activity",IF(ISNA(MATCH($B222,Students!$A$2:$A$301,0)),"Unknown student",IF(D222="","No status",IF(COUNTIFS($A$2:$A$1001,$A222,$B$2:$B$1001,$B222)&gt;1,"Duplicate",IF(AND(D222&lt;&gt;"Withdrawn",G222&lt;&gt;"",COUNTIFS($B$2:$B$1001,$B222,$G$2:$G$1001,G222,$D$2:$D$1001,"&lt;&gt;Withdrawn")&gt;1),"Same-day clash","OK"))))))</f>
        <v/>
      </c>
    </row>
    <row r="223" customFormat="false" ht="15" hidden="false" customHeight="false" outlineLevel="0" collapsed="false">
      <c r="E223" s="26"/>
      <c r="G223" s="23" t="str">
        <f aca="false">IF($A223="","",IFERROR(IF(INDEX(Activities!$C$2:$C$201,MATCH($A223,Activities!$A$2:$A$201,0))="","",INDEX(Activities!$C$2:$C$201,MATCH($A223,Activities!$A$2:$A$201,0))),""))</f>
        <v/>
      </c>
      <c r="H223" s="24" t="str">
        <f aca="false">IF($A223="","",IFERROR(IF(INDEX(Activities!$B$2:$B$201,MATCH($A223,Activities!$A$2:$A$201,0))="","",INDEX(Activities!$B$2:$B$201,MATCH($A223,Activities!$A$2:$A$201,0))),""))</f>
        <v/>
      </c>
      <c r="I223" s="24" t="str">
        <f aca="false">IF($B223="","",IFERROR(IF(INDEX(Students!$C$2:$C$301,MATCH($B223,Students!$A$2:$A$301,0))="","",INDEX(Students!$C$2:$C$301,MATCH($B223,Students!$A$2:$A$301,0))),""))</f>
        <v/>
      </c>
      <c r="J223" s="24" t="str">
        <f aca="false">IF($B223="","",IFERROR(IF(INDEX(Students!$B$2:$B$301,MATCH($B223,Students!$A$2:$A$301,0))="","",INDEX(Students!$B$2:$B$301,MATCH($B223,Students!$A$2:$A$301,0))),""))</f>
        <v/>
      </c>
      <c r="K223" s="25" t="str">
        <f aca="false">IF($A223="","",IF(D223="Withdrawn",0,IF(E223&lt;&gt;"",N(E223),IFERROR(N(INDEX(Activities!$I$2:$I$201,MATCH($A223,Activities!$A$2:$A$201,0))),0))))</f>
        <v/>
      </c>
      <c r="L223" s="24" t="str">
        <f aca="false">IF(AND($A223="",$B223=""),"",IF(ISNA(MATCH($A223,Activities!$A$2:$A$201,0)),"Unknown activity",IF(ISNA(MATCH($B223,Students!$A$2:$A$301,0)),"Unknown student",IF(D223="","No status",IF(COUNTIFS($A$2:$A$1001,$A223,$B$2:$B$1001,$B223)&gt;1,"Duplicate",IF(AND(D223&lt;&gt;"Withdrawn",G223&lt;&gt;"",COUNTIFS($B$2:$B$1001,$B223,$G$2:$G$1001,G223,$D$2:$D$1001,"&lt;&gt;Withdrawn")&gt;1),"Same-day clash","OK"))))))</f>
        <v/>
      </c>
    </row>
    <row r="224" customFormat="false" ht="15" hidden="false" customHeight="false" outlineLevel="0" collapsed="false">
      <c r="E224" s="26"/>
      <c r="G224" s="23" t="str">
        <f aca="false">IF($A224="","",IFERROR(IF(INDEX(Activities!$C$2:$C$201,MATCH($A224,Activities!$A$2:$A$201,0))="","",INDEX(Activities!$C$2:$C$201,MATCH($A224,Activities!$A$2:$A$201,0))),""))</f>
        <v/>
      </c>
      <c r="H224" s="24" t="str">
        <f aca="false">IF($A224="","",IFERROR(IF(INDEX(Activities!$B$2:$B$201,MATCH($A224,Activities!$A$2:$A$201,0))="","",INDEX(Activities!$B$2:$B$201,MATCH($A224,Activities!$A$2:$A$201,0))),""))</f>
        <v/>
      </c>
      <c r="I224" s="24" t="str">
        <f aca="false">IF($B224="","",IFERROR(IF(INDEX(Students!$C$2:$C$301,MATCH($B224,Students!$A$2:$A$301,0))="","",INDEX(Students!$C$2:$C$301,MATCH($B224,Students!$A$2:$A$301,0))),""))</f>
        <v/>
      </c>
      <c r="J224" s="24" t="str">
        <f aca="false">IF($B224="","",IFERROR(IF(INDEX(Students!$B$2:$B$301,MATCH($B224,Students!$A$2:$A$301,0))="","",INDEX(Students!$B$2:$B$301,MATCH($B224,Students!$A$2:$A$301,0))),""))</f>
        <v/>
      </c>
      <c r="K224" s="25" t="str">
        <f aca="false">IF($A224="","",IF(D224="Withdrawn",0,IF(E224&lt;&gt;"",N(E224),IFERROR(N(INDEX(Activities!$I$2:$I$201,MATCH($A224,Activities!$A$2:$A$201,0))),0))))</f>
        <v/>
      </c>
      <c r="L224" s="24" t="str">
        <f aca="false">IF(AND($A224="",$B224=""),"",IF(ISNA(MATCH($A224,Activities!$A$2:$A$201,0)),"Unknown activity",IF(ISNA(MATCH($B224,Students!$A$2:$A$301,0)),"Unknown student",IF(D224="","No status",IF(COUNTIFS($A$2:$A$1001,$A224,$B$2:$B$1001,$B224)&gt;1,"Duplicate",IF(AND(D224&lt;&gt;"Withdrawn",G224&lt;&gt;"",COUNTIFS($B$2:$B$1001,$B224,$G$2:$G$1001,G224,$D$2:$D$1001,"&lt;&gt;Withdrawn")&gt;1),"Same-day clash","OK"))))))</f>
        <v/>
      </c>
    </row>
    <row r="225" customFormat="false" ht="15" hidden="false" customHeight="false" outlineLevel="0" collapsed="false">
      <c r="E225" s="26"/>
      <c r="G225" s="23" t="str">
        <f aca="false">IF($A225="","",IFERROR(IF(INDEX(Activities!$C$2:$C$201,MATCH($A225,Activities!$A$2:$A$201,0))="","",INDEX(Activities!$C$2:$C$201,MATCH($A225,Activities!$A$2:$A$201,0))),""))</f>
        <v/>
      </c>
      <c r="H225" s="24" t="str">
        <f aca="false">IF($A225="","",IFERROR(IF(INDEX(Activities!$B$2:$B$201,MATCH($A225,Activities!$A$2:$A$201,0))="","",INDEX(Activities!$B$2:$B$201,MATCH($A225,Activities!$A$2:$A$201,0))),""))</f>
        <v/>
      </c>
      <c r="I225" s="24" t="str">
        <f aca="false">IF($B225="","",IFERROR(IF(INDEX(Students!$C$2:$C$301,MATCH($B225,Students!$A$2:$A$301,0))="","",INDEX(Students!$C$2:$C$301,MATCH($B225,Students!$A$2:$A$301,0))),""))</f>
        <v/>
      </c>
      <c r="J225" s="24" t="str">
        <f aca="false">IF($B225="","",IFERROR(IF(INDEX(Students!$B$2:$B$301,MATCH($B225,Students!$A$2:$A$301,0))="","",INDEX(Students!$B$2:$B$301,MATCH($B225,Students!$A$2:$A$301,0))),""))</f>
        <v/>
      </c>
      <c r="K225" s="25" t="str">
        <f aca="false">IF($A225="","",IF(D225="Withdrawn",0,IF(E225&lt;&gt;"",N(E225),IFERROR(N(INDEX(Activities!$I$2:$I$201,MATCH($A225,Activities!$A$2:$A$201,0))),0))))</f>
        <v/>
      </c>
      <c r="L225" s="24" t="str">
        <f aca="false">IF(AND($A225="",$B225=""),"",IF(ISNA(MATCH($A225,Activities!$A$2:$A$201,0)),"Unknown activity",IF(ISNA(MATCH($B225,Students!$A$2:$A$301,0)),"Unknown student",IF(D225="","No status",IF(COUNTIFS($A$2:$A$1001,$A225,$B$2:$B$1001,$B225)&gt;1,"Duplicate",IF(AND(D225&lt;&gt;"Withdrawn",G225&lt;&gt;"",COUNTIFS($B$2:$B$1001,$B225,$G$2:$G$1001,G225,$D$2:$D$1001,"&lt;&gt;Withdrawn")&gt;1),"Same-day clash","OK"))))))</f>
        <v/>
      </c>
    </row>
    <row r="226" customFormat="false" ht="15" hidden="false" customHeight="false" outlineLevel="0" collapsed="false">
      <c r="E226" s="26"/>
      <c r="G226" s="23" t="str">
        <f aca="false">IF($A226="","",IFERROR(IF(INDEX(Activities!$C$2:$C$201,MATCH($A226,Activities!$A$2:$A$201,0))="","",INDEX(Activities!$C$2:$C$201,MATCH($A226,Activities!$A$2:$A$201,0))),""))</f>
        <v/>
      </c>
      <c r="H226" s="24" t="str">
        <f aca="false">IF($A226="","",IFERROR(IF(INDEX(Activities!$B$2:$B$201,MATCH($A226,Activities!$A$2:$A$201,0))="","",INDEX(Activities!$B$2:$B$201,MATCH($A226,Activities!$A$2:$A$201,0))),""))</f>
        <v/>
      </c>
      <c r="I226" s="24" t="str">
        <f aca="false">IF($B226="","",IFERROR(IF(INDEX(Students!$C$2:$C$301,MATCH($B226,Students!$A$2:$A$301,0))="","",INDEX(Students!$C$2:$C$301,MATCH($B226,Students!$A$2:$A$301,0))),""))</f>
        <v/>
      </c>
      <c r="J226" s="24" t="str">
        <f aca="false">IF($B226="","",IFERROR(IF(INDEX(Students!$B$2:$B$301,MATCH($B226,Students!$A$2:$A$301,0))="","",INDEX(Students!$B$2:$B$301,MATCH($B226,Students!$A$2:$A$301,0))),""))</f>
        <v/>
      </c>
      <c r="K226" s="25" t="str">
        <f aca="false">IF($A226="","",IF(D226="Withdrawn",0,IF(E226&lt;&gt;"",N(E226),IFERROR(N(INDEX(Activities!$I$2:$I$201,MATCH($A226,Activities!$A$2:$A$201,0))),0))))</f>
        <v/>
      </c>
      <c r="L226" s="24" t="str">
        <f aca="false">IF(AND($A226="",$B226=""),"",IF(ISNA(MATCH($A226,Activities!$A$2:$A$201,0)),"Unknown activity",IF(ISNA(MATCH($B226,Students!$A$2:$A$301,0)),"Unknown student",IF(D226="","No status",IF(COUNTIFS($A$2:$A$1001,$A226,$B$2:$B$1001,$B226)&gt;1,"Duplicate",IF(AND(D226&lt;&gt;"Withdrawn",G226&lt;&gt;"",COUNTIFS($B$2:$B$1001,$B226,$G$2:$G$1001,G226,$D$2:$D$1001,"&lt;&gt;Withdrawn")&gt;1),"Same-day clash","OK"))))))</f>
        <v/>
      </c>
    </row>
    <row r="227" customFormat="false" ht="15" hidden="false" customHeight="false" outlineLevel="0" collapsed="false">
      <c r="E227" s="26"/>
      <c r="G227" s="23" t="str">
        <f aca="false">IF($A227="","",IFERROR(IF(INDEX(Activities!$C$2:$C$201,MATCH($A227,Activities!$A$2:$A$201,0))="","",INDEX(Activities!$C$2:$C$201,MATCH($A227,Activities!$A$2:$A$201,0))),""))</f>
        <v/>
      </c>
      <c r="H227" s="24" t="str">
        <f aca="false">IF($A227="","",IFERROR(IF(INDEX(Activities!$B$2:$B$201,MATCH($A227,Activities!$A$2:$A$201,0))="","",INDEX(Activities!$B$2:$B$201,MATCH($A227,Activities!$A$2:$A$201,0))),""))</f>
        <v/>
      </c>
      <c r="I227" s="24" t="str">
        <f aca="false">IF($B227="","",IFERROR(IF(INDEX(Students!$C$2:$C$301,MATCH($B227,Students!$A$2:$A$301,0))="","",INDEX(Students!$C$2:$C$301,MATCH($B227,Students!$A$2:$A$301,0))),""))</f>
        <v/>
      </c>
      <c r="J227" s="24" t="str">
        <f aca="false">IF($B227="","",IFERROR(IF(INDEX(Students!$B$2:$B$301,MATCH($B227,Students!$A$2:$A$301,0))="","",INDEX(Students!$B$2:$B$301,MATCH($B227,Students!$A$2:$A$301,0))),""))</f>
        <v/>
      </c>
      <c r="K227" s="25" t="str">
        <f aca="false">IF($A227="","",IF(D227="Withdrawn",0,IF(E227&lt;&gt;"",N(E227),IFERROR(N(INDEX(Activities!$I$2:$I$201,MATCH($A227,Activities!$A$2:$A$201,0))),0))))</f>
        <v/>
      </c>
      <c r="L227" s="24" t="str">
        <f aca="false">IF(AND($A227="",$B227=""),"",IF(ISNA(MATCH($A227,Activities!$A$2:$A$201,0)),"Unknown activity",IF(ISNA(MATCH($B227,Students!$A$2:$A$301,0)),"Unknown student",IF(D227="","No status",IF(COUNTIFS($A$2:$A$1001,$A227,$B$2:$B$1001,$B227)&gt;1,"Duplicate",IF(AND(D227&lt;&gt;"Withdrawn",G227&lt;&gt;"",COUNTIFS($B$2:$B$1001,$B227,$G$2:$G$1001,G227,$D$2:$D$1001,"&lt;&gt;Withdrawn")&gt;1),"Same-day clash","OK"))))))</f>
        <v/>
      </c>
    </row>
    <row r="228" customFormat="false" ht="15" hidden="false" customHeight="false" outlineLevel="0" collapsed="false">
      <c r="E228" s="26"/>
      <c r="G228" s="23" t="str">
        <f aca="false">IF($A228="","",IFERROR(IF(INDEX(Activities!$C$2:$C$201,MATCH($A228,Activities!$A$2:$A$201,0))="","",INDEX(Activities!$C$2:$C$201,MATCH($A228,Activities!$A$2:$A$201,0))),""))</f>
        <v/>
      </c>
      <c r="H228" s="24" t="str">
        <f aca="false">IF($A228="","",IFERROR(IF(INDEX(Activities!$B$2:$B$201,MATCH($A228,Activities!$A$2:$A$201,0))="","",INDEX(Activities!$B$2:$B$201,MATCH($A228,Activities!$A$2:$A$201,0))),""))</f>
        <v/>
      </c>
      <c r="I228" s="24" t="str">
        <f aca="false">IF($B228="","",IFERROR(IF(INDEX(Students!$C$2:$C$301,MATCH($B228,Students!$A$2:$A$301,0))="","",INDEX(Students!$C$2:$C$301,MATCH($B228,Students!$A$2:$A$301,0))),""))</f>
        <v/>
      </c>
      <c r="J228" s="24" t="str">
        <f aca="false">IF($B228="","",IFERROR(IF(INDEX(Students!$B$2:$B$301,MATCH($B228,Students!$A$2:$A$301,0))="","",INDEX(Students!$B$2:$B$301,MATCH($B228,Students!$A$2:$A$301,0))),""))</f>
        <v/>
      </c>
      <c r="K228" s="25" t="str">
        <f aca="false">IF($A228="","",IF(D228="Withdrawn",0,IF(E228&lt;&gt;"",N(E228),IFERROR(N(INDEX(Activities!$I$2:$I$201,MATCH($A228,Activities!$A$2:$A$201,0))),0))))</f>
        <v/>
      </c>
      <c r="L228" s="24" t="str">
        <f aca="false">IF(AND($A228="",$B228=""),"",IF(ISNA(MATCH($A228,Activities!$A$2:$A$201,0)),"Unknown activity",IF(ISNA(MATCH($B228,Students!$A$2:$A$301,0)),"Unknown student",IF(D228="","No status",IF(COUNTIFS($A$2:$A$1001,$A228,$B$2:$B$1001,$B228)&gt;1,"Duplicate",IF(AND(D228&lt;&gt;"Withdrawn",G228&lt;&gt;"",COUNTIFS($B$2:$B$1001,$B228,$G$2:$G$1001,G228,$D$2:$D$1001,"&lt;&gt;Withdrawn")&gt;1),"Same-day clash","OK"))))))</f>
        <v/>
      </c>
    </row>
    <row r="229" customFormat="false" ht="15" hidden="false" customHeight="false" outlineLevel="0" collapsed="false">
      <c r="E229" s="26"/>
      <c r="G229" s="23" t="str">
        <f aca="false">IF($A229="","",IFERROR(IF(INDEX(Activities!$C$2:$C$201,MATCH($A229,Activities!$A$2:$A$201,0))="","",INDEX(Activities!$C$2:$C$201,MATCH($A229,Activities!$A$2:$A$201,0))),""))</f>
        <v/>
      </c>
      <c r="H229" s="24" t="str">
        <f aca="false">IF($A229="","",IFERROR(IF(INDEX(Activities!$B$2:$B$201,MATCH($A229,Activities!$A$2:$A$201,0))="","",INDEX(Activities!$B$2:$B$201,MATCH($A229,Activities!$A$2:$A$201,0))),""))</f>
        <v/>
      </c>
      <c r="I229" s="24" t="str">
        <f aca="false">IF($B229="","",IFERROR(IF(INDEX(Students!$C$2:$C$301,MATCH($B229,Students!$A$2:$A$301,0))="","",INDEX(Students!$C$2:$C$301,MATCH($B229,Students!$A$2:$A$301,0))),""))</f>
        <v/>
      </c>
      <c r="J229" s="24" t="str">
        <f aca="false">IF($B229="","",IFERROR(IF(INDEX(Students!$B$2:$B$301,MATCH($B229,Students!$A$2:$A$301,0))="","",INDEX(Students!$B$2:$B$301,MATCH($B229,Students!$A$2:$A$301,0))),""))</f>
        <v/>
      </c>
      <c r="K229" s="25" t="str">
        <f aca="false">IF($A229="","",IF(D229="Withdrawn",0,IF(E229&lt;&gt;"",N(E229),IFERROR(N(INDEX(Activities!$I$2:$I$201,MATCH($A229,Activities!$A$2:$A$201,0))),0))))</f>
        <v/>
      </c>
      <c r="L229" s="24" t="str">
        <f aca="false">IF(AND($A229="",$B229=""),"",IF(ISNA(MATCH($A229,Activities!$A$2:$A$201,0)),"Unknown activity",IF(ISNA(MATCH($B229,Students!$A$2:$A$301,0)),"Unknown student",IF(D229="","No status",IF(COUNTIFS($A$2:$A$1001,$A229,$B$2:$B$1001,$B229)&gt;1,"Duplicate",IF(AND(D229&lt;&gt;"Withdrawn",G229&lt;&gt;"",COUNTIFS($B$2:$B$1001,$B229,$G$2:$G$1001,G229,$D$2:$D$1001,"&lt;&gt;Withdrawn")&gt;1),"Same-day clash","OK"))))))</f>
        <v/>
      </c>
    </row>
    <row r="230" customFormat="false" ht="15" hidden="false" customHeight="false" outlineLevel="0" collapsed="false">
      <c r="E230" s="26"/>
      <c r="G230" s="23" t="str">
        <f aca="false">IF($A230="","",IFERROR(IF(INDEX(Activities!$C$2:$C$201,MATCH($A230,Activities!$A$2:$A$201,0))="","",INDEX(Activities!$C$2:$C$201,MATCH($A230,Activities!$A$2:$A$201,0))),""))</f>
        <v/>
      </c>
      <c r="H230" s="24" t="str">
        <f aca="false">IF($A230="","",IFERROR(IF(INDEX(Activities!$B$2:$B$201,MATCH($A230,Activities!$A$2:$A$201,0))="","",INDEX(Activities!$B$2:$B$201,MATCH($A230,Activities!$A$2:$A$201,0))),""))</f>
        <v/>
      </c>
      <c r="I230" s="24" t="str">
        <f aca="false">IF($B230="","",IFERROR(IF(INDEX(Students!$C$2:$C$301,MATCH($B230,Students!$A$2:$A$301,0))="","",INDEX(Students!$C$2:$C$301,MATCH($B230,Students!$A$2:$A$301,0))),""))</f>
        <v/>
      </c>
      <c r="J230" s="24" t="str">
        <f aca="false">IF($B230="","",IFERROR(IF(INDEX(Students!$B$2:$B$301,MATCH($B230,Students!$A$2:$A$301,0))="","",INDEX(Students!$B$2:$B$301,MATCH($B230,Students!$A$2:$A$301,0))),""))</f>
        <v/>
      </c>
      <c r="K230" s="25" t="str">
        <f aca="false">IF($A230="","",IF(D230="Withdrawn",0,IF(E230&lt;&gt;"",N(E230),IFERROR(N(INDEX(Activities!$I$2:$I$201,MATCH($A230,Activities!$A$2:$A$201,0))),0))))</f>
        <v/>
      </c>
      <c r="L230" s="24" t="str">
        <f aca="false">IF(AND($A230="",$B230=""),"",IF(ISNA(MATCH($A230,Activities!$A$2:$A$201,0)),"Unknown activity",IF(ISNA(MATCH($B230,Students!$A$2:$A$301,0)),"Unknown student",IF(D230="","No status",IF(COUNTIFS($A$2:$A$1001,$A230,$B$2:$B$1001,$B230)&gt;1,"Duplicate",IF(AND(D230&lt;&gt;"Withdrawn",G230&lt;&gt;"",COUNTIFS($B$2:$B$1001,$B230,$G$2:$G$1001,G230,$D$2:$D$1001,"&lt;&gt;Withdrawn")&gt;1),"Same-day clash","OK"))))))</f>
        <v/>
      </c>
    </row>
    <row r="231" customFormat="false" ht="15" hidden="false" customHeight="false" outlineLevel="0" collapsed="false">
      <c r="E231" s="26"/>
      <c r="G231" s="23" t="str">
        <f aca="false">IF($A231="","",IFERROR(IF(INDEX(Activities!$C$2:$C$201,MATCH($A231,Activities!$A$2:$A$201,0))="","",INDEX(Activities!$C$2:$C$201,MATCH($A231,Activities!$A$2:$A$201,0))),""))</f>
        <v/>
      </c>
      <c r="H231" s="24" t="str">
        <f aca="false">IF($A231="","",IFERROR(IF(INDEX(Activities!$B$2:$B$201,MATCH($A231,Activities!$A$2:$A$201,0))="","",INDEX(Activities!$B$2:$B$201,MATCH($A231,Activities!$A$2:$A$201,0))),""))</f>
        <v/>
      </c>
      <c r="I231" s="24" t="str">
        <f aca="false">IF($B231="","",IFERROR(IF(INDEX(Students!$C$2:$C$301,MATCH($B231,Students!$A$2:$A$301,0))="","",INDEX(Students!$C$2:$C$301,MATCH($B231,Students!$A$2:$A$301,0))),""))</f>
        <v/>
      </c>
      <c r="J231" s="24" t="str">
        <f aca="false">IF($B231="","",IFERROR(IF(INDEX(Students!$B$2:$B$301,MATCH($B231,Students!$A$2:$A$301,0))="","",INDEX(Students!$B$2:$B$301,MATCH($B231,Students!$A$2:$A$301,0))),""))</f>
        <v/>
      </c>
      <c r="K231" s="25" t="str">
        <f aca="false">IF($A231="","",IF(D231="Withdrawn",0,IF(E231&lt;&gt;"",N(E231),IFERROR(N(INDEX(Activities!$I$2:$I$201,MATCH($A231,Activities!$A$2:$A$201,0))),0))))</f>
        <v/>
      </c>
      <c r="L231" s="24" t="str">
        <f aca="false">IF(AND($A231="",$B231=""),"",IF(ISNA(MATCH($A231,Activities!$A$2:$A$201,0)),"Unknown activity",IF(ISNA(MATCH($B231,Students!$A$2:$A$301,0)),"Unknown student",IF(D231="","No status",IF(COUNTIFS($A$2:$A$1001,$A231,$B$2:$B$1001,$B231)&gt;1,"Duplicate",IF(AND(D231&lt;&gt;"Withdrawn",G231&lt;&gt;"",COUNTIFS($B$2:$B$1001,$B231,$G$2:$G$1001,G231,$D$2:$D$1001,"&lt;&gt;Withdrawn")&gt;1),"Same-day clash","OK"))))))</f>
        <v/>
      </c>
    </row>
    <row r="232" customFormat="false" ht="15" hidden="false" customHeight="false" outlineLevel="0" collapsed="false">
      <c r="E232" s="26"/>
      <c r="G232" s="23" t="str">
        <f aca="false">IF($A232="","",IFERROR(IF(INDEX(Activities!$C$2:$C$201,MATCH($A232,Activities!$A$2:$A$201,0))="","",INDEX(Activities!$C$2:$C$201,MATCH($A232,Activities!$A$2:$A$201,0))),""))</f>
        <v/>
      </c>
      <c r="H232" s="24" t="str">
        <f aca="false">IF($A232="","",IFERROR(IF(INDEX(Activities!$B$2:$B$201,MATCH($A232,Activities!$A$2:$A$201,0))="","",INDEX(Activities!$B$2:$B$201,MATCH($A232,Activities!$A$2:$A$201,0))),""))</f>
        <v/>
      </c>
      <c r="I232" s="24" t="str">
        <f aca="false">IF($B232="","",IFERROR(IF(INDEX(Students!$C$2:$C$301,MATCH($B232,Students!$A$2:$A$301,0))="","",INDEX(Students!$C$2:$C$301,MATCH($B232,Students!$A$2:$A$301,0))),""))</f>
        <v/>
      </c>
      <c r="J232" s="24" t="str">
        <f aca="false">IF($B232="","",IFERROR(IF(INDEX(Students!$B$2:$B$301,MATCH($B232,Students!$A$2:$A$301,0))="","",INDEX(Students!$B$2:$B$301,MATCH($B232,Students!$A$2:$A$301,0))),""))</f>
        <v/>
      </c>
      <c r="K232" s="25" t="str">
        <f aca="false">IF($A232="","",IF(D232="Withdrawn",0,IF(E232&lt;&gt;"",N(E232),IFERROR(N(INDEX(Activities!$I$2:$I$201,MATCH($A232,Activities!$A$2:$A$201,0))),0))))</f>
        <v/>
      </c>
      <c r="L232" s="24" t="str">
        <f aca="false">IF(AND($A232="",$B232=""),"",IF(ISNA(MATCH($A232,Activities!$A$2:$A$201,0)),"Unknown activity",IF(ISNA(MATCH($B232,Students!$A$2:$A$301,0)),"Unknown student",IF(D232="","No status",IF(COUNTIFS($A$2:$A$1001,$A232,$B$2:$B$1001,$B232)&gt;1,"Duplicate",IF(AND(D232&lt;&gt;"Withdrawn",G232&lt;&gt;"",COUNTIFS($B$2:$B$1001,$B232,$G$2:$G$1001,G232,$D$2:$D$1001,"&lt;&gt;Withdrawn")&gt;1),"Same-day clash","OK"))))))</f>
        <v/>
      </c>
    </row>
    <row r="233" customFormat="false" ht="15" hidden="false" customHeight="false" outlineLevel="0" collapsed="false">
      <c r="E233" s="26"/>
      <c r="G233" s="23" t="str">
        <f aca="false">IF($A233="","",IFERROR(IF(INDEX(Activities!$C$2:$C$201,MATCH($A233,Activities!$A$2:$A$201,0))="","",INDEX(Activities!$C$2:$C$201,MATCH($A233,Activities!$A$2:$A$201,0))),""))</f>
        <v/>
      </c>
      <c r="H233" s="24" t="str">
        <f aca="false">IF($A233="","",IFERROR(IF(INDEX(Activities!$B$2:$B$201,MATCH($A233,Activities!$A$2:$A$201,0))="","",INDEX(Activities!$B$2:$B$201,MATCH($A233,Activities!$A$2:$A$201,0))),""))</f>
        <v/>
      </c>
      <c r="I233" s="24" t="str">
        <f aca="false">IF($B233="","",IFERROR(IF(INDEX(Students!$C$2:$C$301,MATCH($B233,Students!$A$2:$A$301,0))="","",INDEX(Students!$C$2:$C$301,MATCH($B233,Students!$A$2:$A$301,0))),""))</f>
        <v/>
      </c>
      <c r="J233" s="24" t="str">
        <f aca="false">IF($B233="","",IFERROR(IF(INDEX(Students!$B$2:$B$301,MATCH($B233,Students!$A$2:$A$301,0))="","",INDEX(Students!$B$2:$B$301,MATCH($B233,Students!$A$2:$A$301,0))),""))</f>
        <v/>
      </c>
      <c r="K233" s="25" t="str">
        <f aca="false">IF($A233="","",IF(D233="Withdrawn",0,IF(E233&lt;&gt;"",N(E233),IFERROR(N(INDEX(Activities!$I$2:$I$201,MATCH($A233,Activities!$A$2:$A$201,0))),0))))</f>
        <v/>
      </c>
      <c r="L233" s="24" t="str">
        <f aca="false">IF(AND($A233="",$B233=""),"",IF(ISNA(MATCH($A233,Activities!$A$2:$A$201,0)),"Unknown activity",IF(ISNA(MATCH($B233,Students!$A$2:$A$301,0)),"Unknown student",IF(D233="","No status",IF(COUNTIFS($A$2:$A$1001,$A233,$B$2:$B$1001,$B233)&gt;1,"Duplicate",IF(AND(D233&lt;&gt;"Withdrawn",G233&lt;&gt;"",COUNTIFS($B$2:$B$1001,$B233,$G$2:$G$1001,G233,$D$2:$D$1001,"&lt;&gt;Withdrawn")&gt;1),"Same-day clash","OK"))))))</f>
        <v/>
      </c>
    </row>
    <row r="234" customFormat="false" ht="15" hidden="false" customHeight="false" outlineLevel="0" collapsed="false">
      <c r="E234" s="26"/>
      <c r="G234" s="23" t="str">
        <f aca="false">IF($A234="","",IFERROR(IF(INDEX(Activities!$C$2:$C$201,MATCH($A234,Activities!$A$2:$A$201,0))="","",INDEX(Activities!$C$2:$C$201,MATCH($A234,Activities!$A$2:$A$201,0))),""))</f>
        <v/>
      </c>
      <c r="H234" s="24" t="str">
        <f aca="false">IF($A234="","",IFERROR(IF(INDEX(Activities!$B$2:$B$201,MATCH($A234,Activities!$A$2:$A$201,0))="","",INDEX(Activities!$B$2:$B$201,MATCH($A234,Activities!$A$2:$A$201,0))),""))</f>
        <v/>
      </c>
      <c r="I234" s="24" t="str">
        <f aca="false">IF($B234="","",IFERROR(IF(INDEX(Students!$C$2:$C$301,MATCH($B234,Students!$A$2:$A$301,0))="","",INDEX(Students!$C$2:$C$301,MATCH($B234,Students!$A$2:$A$301,0))),""))</f>
        <v/>
      </c>
      <c r="J234" s="24" t="str">
        <f aca="false">IF($B234="","",IFERROR(IF(INDEX(Students!$B$2:$B$301,MATCH($B234,Students!$A$2:$A$301,0))="","",INDEX(Students!$B$2:$B$301,MATCH($B234,Students!$A$2:$A$301,0))),""))</f>
        <v/>
      </c>
      <c r="K234" s="25" t="str">
        <f aca="false">IF($A234="","",IF(D234="Withdrawn",0,IF(E234&lt;&gt;"",N(E234),IFERROR(N(INDEX(Activities!$I$2:$I$201,MATCH($A234,Activities!$A$2:$A$201,0))),0))))</f>
        <v/>
      </c>
      <c r="L234" s="24" t="str">
        <f aca="false">IF(AND($A234="",$B234=""),"",IF(ISNA(MATCH($A234,Activities!$A$2:$A$201,0)),"Unknown activity",IF(ISNA(MATCH($B234,Students!$A$2:$A$301,0)),"Unknown student",IF(D234="","No status",IF(COUNTIFS($A$2:$A$1001,$A234,$B$2:$B$1001,$B234)&gt;1,"Duplicate",IF(AND(D234&lt;&gt;"Withdrawn",G234&lt;&gt;"",COUNTIFS($B$2:$B$1001,$B234,$G$2:$G$1001,G234,$D$2:$D$1001,"&lt;&gt;Withdrawn")&gt;1),"Same-day clash","OK"))))))</f>
        <v/>
      </c>
    </row>
    <row r="235" customFormat="false" ht="15" hidden="false" customHeight="false" outlineLevel="0" collapsed="false">
      <c r="E235" s="26"/>
      <c r="G235" s="23" t="str">
        <f aca="false">IF($A235="","",IFERROR(IF(INDEX(Activities!$C$2:$C$201,MATCH($A235,Activities!$A$2:$A$201,0))="","",INDEX(Activities!$C$2:$C$201,MATCH($A235,Activities!$A$2:$A$201,0))),""))</f>
        <v/>
      </c>
      <c r="H235" s="24" t="str">
        <f aca="false">IF($A235="","",IFERROR(IF(INDEX(Activities!$B$2:$B$201,MATCH($A235,Activities!$A$2:$A$201,0))="","",INDEX(Activities!$B$2:$B$201,MATCH($A235,Activities!$A$2:$A$201,0))),""))</f>
        <v/>
      </c>
      <c r="I235" s="24" t="str">
        <f aca="false">IF($B235="","",IFERROR(IF(INDEX(Students!$C$2:$C$301,MATCH($B235,Students!$A$2:$A$301,0))="","",INDEX(Students!$C$2:$C$301,MATCH($B235,Students!$A$2:$A$301,0))),""))</f>
        <v/>
      </c>
      <c r="J235" s="24" t="str">
        <f aca="false">IF($B235="","",IFERROR(IF(INDEX(Students!$B$2:$B$301,MATCH($B235,Students!$A$2:$A$301,0))="","",INDEX(Students!$B$2:$B$301,MATCH($B235,Students!$A$2:$A$301,0))),""))</f>
        <v/>
      </c>
      <c r="K235" s="25" t="str">
        <f aca="false">IF($A235="","",IF(D235="Withdrawn",0,IF(E235&lt;&gt;"",N(E235),IFERROR(N(INDEX(Activities!$I$2:$I$201,MATCH($A235,Activities!$A$2:$A$201,0))),0))))</f>
        <v/>
      </c>
      <c r="L235" s="24" t="str">
        <f aca="false">IF(AND($A235="",$B235=""),"",IF(ISNA(MATCH($A235,Activities!$A$2:$A$201,0)),"Unknown activity",IF(ISNA(MATCH($B235,Students!$A$2:$A$301,0)),"Unknown student",IF(D235="","No status",IF(COUNTIFS($A$2:$A$1001,$A235,$B$2:$B$1001,$B235)&gt;1,"Duplicate",IF(AND(D235&lt;&gt;"Withdrawn",G235&lt;&gt;"",COUNTIFS($B$2:$B$1001,$B235,$G$2:$G$1001,G235,$D$2:$D$1001,"&lt;&gt;Withdrawn")&gt;1),"Same-day clash","OK"))))))</f>
        <v/>
      </c>
    </row>
    <row r="236" customFormat="false" ht="15" hidden="false" customHeight="false" outlineLevel="0" collapsed="false">
      <c r="E236" s="26"/>
      <c r="G236" s="23" t="str">
        <f aca="false">IF($A236="","",IFERROR(IF(INDEX(Activities!$C$2:$C$201,MATCH($A236,Activities!$A$2:$A$201,0))="","",INDEX(Activities!$C$2:$C$201,MATCH($A236,Activities!$A$2:$A$201,0))),""))</f>
        <v/>
      </c>
      <c r="H236" s="24" t="str">
        <f aca="false">IF($A236="","",IFERROR(IF(INDEX(Activities!$B$2:$B$201,MATCH($A236,Activities!$A$2:$A$201,0))="","",INDEX(Activities!$B$2:$B$201,MATCH($A236,Activities!$A$2:$A$201,0))),""))</f>
        <v/>
      </c>
      <c r="I236" s="24" t="str">
        <f aca="false">IF($B236="","",IFERROR(IF(INDEX(Students!$C$2:$C$301,MATCH($B236,Students!$A$2:$A$301,0))="","",INDEX(Students!$C$2:$C$301,MATCH($B236,Students!$A$2:$A$301,0))),""))</f>
        <v/>
      </c>
      <c r="J236" s="24" t="str">
        <f aca="false">IF($B236="","",IFERROR(IF(INDEX(Students!$B$2:$B$301,MATCH($B236,Students!$A$2:$A$301,0))="","",INDEX(Students!$B$2:$B$301,MATCH($B236,Students!$A$2:$A$301,0))),""))</f>
        <v/>
      </c>
      <c r="K236" s="25" t="str">
        <f aca="false">IF($A236="","",IF(D236="Withdrawn",0,IF(E236&lt;&gt;"",N(E236),IFERROR(N(INDEX(Activities!$I$2:$I$201,MATCH($A236,Activities!$A$2:$A$201,0))),0))))</f>
        <v/>
      </c>
      <c r="L236" s="24" t="str">
        <f aca="false">IF(AND($A236="",$B236=""),"",IF(ISNA(MATCH($A236,Activities!$A$2:$A$201,0)),"Unknown activity",IF(ISNA(MATCH($B236,Students!$A$2:$A$301,0)),"Unknown student",IF(D236="","No status",IF(COUNTIFS($A$2:$A$1001,$A236,$B$2:$B$1001,$B236)&gt;1,"Duplicate",IF(AND(D236&lt;&gt;"Withdrawn",G236&lt;&gt;"",COUNTIFS($B$2:$B$1001,$B236,$G$2:$G$1001,G236,$D$2:$D$1001,"&lt;&gt;Withdrawn")&gt;1),"Same-day clash","OK"))))))</f>
        <v/>
      </c>
    </row>
    <row r="237" customFormat="false" ht="15" hidden="false" customHeight="false" outlineLevel="0" collapsed="false">
      <c r="E237" s="26"/>
      <c r="G237" s="23" t="str">
        <f aca="false">IF($A237="","",IFERROR(IF(INDEX(Activities!$C$2:$C$201,MATCH($A237,Activities!$A$2:$A$201,0))="","",INDEX(Activities!$C$2:$C$201,MATCH($A237,Activities!$A$2:$A$201,0))),""))</f>
        <v/>
      </c>
      <c r="H237" s="24" t="str">
        <f aca="false">IF($A237="","",IFERROR(IF(INDEX(Activities!$B$2:$B$201,MATCH($A237,Activities!$A$2:$A$201,0))="","",INDEX(Activities!$B$2:$B$201,MATCH($A237,Activities!$A$2:$A$201,0))),""))</f>
        <v/>
      </c>
      <c r="I237" s="24" t="str">
        <f aca="false">IF($B237="","",IFERROR(IF(INDEX(Students!$C$2:$C$301,MATCH($B237,Students!$A$2:$A$301,0))="","",INDEX(Students!$C$2:$C$301,MATCH($B237,Students!$A$2:$A$301,0))),""))</f>
        <v/>
      </c>
      <c r="J237" s="24" t="str">
        <f aca="false">IF($B237="","",IFERROR(IF(INDEX(Students!$B$2:$B$301,MATCH($B237,Students!$A$2:$A$301,0))="","",INDEX(Students!$B$2:$B$301,MATCH($B237,Students!$A$2:$A$301,0))),""))</f>
        <v/>
      </c>
      <c r="K237" s="25" t="str">
        <f aca="false">IF($A237="","",IF(D237="Withdrawn",0,IF(E237&lt;&gt;"",N(E237),IFERROR(N(INDEX(Activities!$I$2:$I$201,MATCH($A237,Activities!$A$2:$A$201,0))),0))))</f>
        <v/>
      </c>
      <c r="L237" s="24" t="str">
        <f aca="false">IF(AND($A237="",$B237=""),"",IF(ISNA(MATCH($A237,Activities!$A$2:$A$201,0)),"Unknown activity",IF(ISNA(MATCH($B237,Students!$A$2:$A$301,0)),"Unknown student",IF(D237="","No status",IF(COUNTIFS($A$2:$A$1001,$A237,$B$2:$B$1001,$B237)&gt;1,"Duplicate",IF(AND(D237&lt;&gt;"Withdrawn",G237&lt;&gt;"",COUNTIFS($B$2:$B$1001,$B237,$G$2:$G$1001,G237,$D$2:$D$1001,"&lt;&gt;Withdrawn")&gt;1),"Same-day clash","OK"))))))</f>
        <v/>
      </c>
    </row>
    <row r="238" customFormat="false" ht="15" hidden="false" customHeight="false" outlineLevel="0" collapsed="false">
      <c r="E238" s="26"/>
      <c r="G238" s="23" t="str">
        <f aca="false">IF($A238="","",IFERROR(IF(INDEX(Activities!$C$2:$C$201,MATCH($A238,Activities!$A$2:$A$201,0))="","",INDEX(Activities!$C$2:$C$201,MATCH($A238,Activities!$A$2:$A$201,0))),""))</f>
        <v/>
      </c>
      <c r="H238" s="24" t="str">
        <f aca="false">IF($A238="","",IFERROR(IF(INDEX(Activities!$B$2:$B$201,MATCH($A238,Activities!$A$2:$A$201,0))="","",INDEX(Activities!$B$2:$B$201,MATCH($A238,Activities!$A$2:$A$201,0))),""))</f>
        <v/>
      </c>
      <c r="I238" s="24" t="str">
        <f aca="false">IF($B238="","",IFERROR(IF(INDEX(Students!$C$2:$C$301,MATCH($B238,Students!$A$2:$A$301,0))="","",INDEX(Students!$C$2:$C$301,MATCH($B238,Students!$A$2:$A$301,0))),""))</f>
        <v/>
      </c>
      <c r="J238" s="24" t="str">
        <f aca="false">IF($B238="","",IFERROR(IF(INDEX(Students!$B$2:$B$301,MATCH($B238,Students!$A$2:$A$301,0))="","",INDEX(Students!$B$2:$B$301,MATCH($B238,Students!$A$2:$A$301,0))),""))</f>
        <v/>
      </c>
      <c r="K238" s="25" t="str">
        <f aca="false">IF($A238="","",IF(D238="Withdrawn",0,IF(E238&lt;&gt;"",N(E238),IFERROR(N(INDEX(Activities!$I$2:$I$201,MATCH($A238,Activities!$A$2:$A$201,0))),0))))</f>
        <v/>
      </c>
      <c r="L238" s="24" t="str">
        <f aca="false">IF(AND($A238="",$B238=""),"",IF(ISNA(MATCH($A238,Activities!$A$2:$A$201,0)),"Unknown activity",IF(ISNA(MATCH($B238,Students!$A$2:$A$301,0)),"Unknown student",IF(D238="","No status",IF(COUNTIFS($A$2:$A$1001,$A238,$B$2:$B$1001,$B238)&gt;1,"Duplicate",IF(AND(D238&lt;&gt;"Withdrawn",G238&lt;&gt;"",COUNTIFS($B$2:$B$1001,$B238,$G$2:$G$1001,G238,$D$2:$D$1001,"&lt;&gt;Withdrawn")&gt;1),"Same-day clash","OK"))))))</f>
        <v/>
      </c>
    </row>
    <row r="239" customFormat="false" ht="15" hidden="false" customHeight="false" outlineLevel="0" collapsed="false">
      <c r="E239" s="26"/>
      <c r="G239" s="23" t="str">
        <f aca="false">IF($A239="","",IFERROR(IF(INDEX(Activities!$C$2:$C$201,MATCH($A239,Activities!$A$2:$A$201,0))="","",INDEX(Activities!$C$2:$C$201,MATCH($A239,Activities!$A$2:$A$201,0))),""))</f>
        <v/>
      </c>
      <c r="H239" s="24" t="str">
        <f aca="false">IF($A239="","",IFERROR(IF(INDEX(Activities!$B$2:$B$201,MATCH($A239,Activities!$A$2:$A$201,0))="","",INDEX(Activities!$B$2:$B$201,MATCH($A239,Activities!$A$2:$A$201,0))),""))</f>
        <v/>
      </c>
      <c r="I239" s="24" t="str">
        <f aca="false">IF($B239="","",IFERROR(IF(INDEX(Students!$C$2:$C$301,MATCH($B239,Students!$A$2:$A$301,0))="","",INDEX(Students!$C$2:$C$301,MATCH($B239,Students!$A$2:$A$301,0))),""))</f>
        <v/>
      </c>
      <c r="J239" s="24" t="str">
        <f aca="false">IF($B239="","",IFERROR(IF(INDEX(Students!$B$2:$B$301,MATCH($B239,Students!$A$2:$A$301,0))="","",INDEX(Students!$B$2:$B$301,MATCH($B239,Students!$A$2:$A$301,0))),""))</f>
        <v/>
      </c>
      <c r="K239" s="25" t="str">
        <f aca="false">IF($A239="","",IF(D239="Withdrawn",0,IF(E239&lt;&gt;"",N(E239),IFERROR(N(INDEX(Activities!$I$2:$I$201,MATCH($A239,Activities!$A$2:$A$201,0))),0))))</f>
        <v/>
      </c>
      <c r="L239" s="24" t="str">
        <f aca="false">IF(AND($A239="",$B239=""),"",IF(ISNA(MATCH($A239,Activities!$A$2:$A$201,0)),"Unknown activity",IF(ISNA(MATCH($B239,Students!$A$2:$A$301,0)),"Unknown student",IF(D239="","No status",IF(COUNTIFS($A$2:$A$1001,$A239,$B$2:$B$1001,$B239)&gt;1,"Duplicate",IF(AND(D239&lt;&gt;"Withdrawn",G239&lt;&gt;"",COUNTIFS($B$2:$B$1001,$B239,$G$2:$G$1001,G239,$D$2:$D$1001,"&lt;&gt;Withdrawn")&gt;1),"Same-day clash","OK"))))))</f>
        <v/>
      </c>
    </row>
    <row r="240" customFormat="false" ht="15" hidden="false" customHeight="false" outlineLevel="0" collapsed="false">
      <c r="E240" s="26"/>
      <c r="G240" s="23" t="str">
        <f aca="false">IF($A240="","",IFERROR(IF(INDEX(Activities!$C$2:$C$201,MATCH($A240,Activities!$A$2:$A$201,0))="","",INDEX(Activities!$C$2:$C$201,MATCH($A240,Activities!$A$2:$A$201,0))),""))</f>
        <v/>
      </c>
      <c r="H240" s="24" t="str">
        <f aca="false">IF($A240="","",IFERROR(IF(INDEX(Activities!$B$2:$B$201,MATCH($A240,Activities!$A$2:$A$201,0))="","",INDEX(Activities!$B$2:$B$201,MATCH($A240,Activities!$A$2:$A$201,0))),""))</f>
        <v/>
      </c>
      <c r="I240" s="24" t="str">
        <f aca="false">IF($B240="","",IFERROR(IF(INDEX(Students!$C$2:$C$301,MATCH($B240,Students!$A$2:$A$301,0))="","",INDEX(Students!$C$2:$C$301,MATCH($B240,Students!$A$2:$A$301,0))),""))</f>
        <v/>
      </c>
      <c r="J240" s="24" t="str">
        <f aca="false">IF($B240="","",IFERROR(IF(INDEX(Students!$B$2:$B$301,MATCH($B240,Students!$A$2:$A$301,0))="","",INDEX(Students!$B$2:$B$301,MATCH($B240,Students!$A$2:$A$301,0))),""))</f>
        <v/>
      </c>
      <c r="K240" s="25" t="str">
        <f aca="false">IF($A240="","",IF(D240="Withdrawn",0,IF(E240&lt;&gt;"",N(E240),IFERROR(N(INDEX(Activities!$I$2:$I$201,MATCH($A240,Activities!$A$2:$A$201,0))),0))))</f>
        <v/>
      </c>
      <c r="L240" s="24" t="str">
        <f aca="false">IF(AND($A240="",$B240=""),"",IF(ISNA(MATCH($A240,Activities!$A$2:$A$201,0)),"Unknown activity",IF(ISNA(MATCH($B240,Students!$A$2:$A$301,0)),"Unknown student",IF(D240="","No status",IF(COUNTIFS($A$2:$A$1001,$A240,$B$2:$B$1001,$B240)&gt;1,"Duplicate",IF(AND(D240&lt;&gt;"Withdrawn",G240&lt;&gt;"",COUNTIFS($B$2:$B$1001,$B240,$G$2:$G$1001,G240,$D$2:$D$1001,"&lt;&gt;Withdrawn")&gt;1),"Same-day clash","OK"))))))</f>
        <v/>
      </c>
    </row>
    <row r="241" customFormat="false" ht="15" hidden="false" customHeight="false" outlineLevel="0" collapsed="false">
      <c r="E241" s="26"/>
      <c r="G241" s="23" t="str">
        <f aca="false">IF($A241="","",IFERROR(IF(INDEX(Activities!$C$2:$C$201,MATCH($A241,Activities!$A$2:$A$201,0))="","",INDEX(Activities!$C$2:$C$201,MATCH($A241,Activities!$A$2:$A$201,0))),""))</f>
        <v/>
      </c>
      <c r="H241" s="24" t="str">
        <f aca="false">IF($A241="","",IFERROR(IF(INDEX(Activities!$B$2:$B$201,MATCH($A241,Activities!$A$2:$A$201,0))="","",INDEX(Activities!$B$2:$B$201,MATCH($A241,Activities!$A$2:$A$201,0))),""))</f>
        <v/>
      </c>
      <c r="I241" s="24" t="str">
        <f aca="false">IF($B241="","",IFERROR(IF(INDEX(Students!$C$2:$C$301,MATCH($B241,Students!$A$2:$A$301,0))="","",INDEX(Students!$C$2:$C$301,MATCH($B241,Students!$A$2:$A$301,0))),""))</f>
        <v/>
      </c>
      <c r="J241" s="24" t="str">
        <f aca="false">IF($B241="","",IFERROR(IF(INDEX(Students!$B$2:$B$301,MATCH($B241,Students!$A$2:$A$301,0))="","",INDEX(Students!$B$2:$B$301,MATCH($B241,Students!$A$2:$A$301,0))),""))</f>
        <v/>
      </c>
      <c r="K241" s="25" t="str">
        <f aca="false">IF($A241="","",IF(D241="Withdrawn",0,IF(E241&lt;&gt;"",N(E241),IFERROR(N(INDEX(Activities!$I$2:$I$201,MATCH($A241,Activities!$A$2:$A$201,0))),0))))</f>
        <v/>
      </c>
      <c r="L241" s="24" t="str">
        <f aca="false">IF(AND($A241="",$B241=""),"",IF(ISNA(MATCH($A241,Activities!$A$2:$A$201,0)),"Unknown activity",IF(ISNA(MATCH($B241,Students!$A$2:$A$301,0)),"Unknown student",IF(D241="","No status",IF(COUNTIFS($A$2:$A$1001,$A241,$B$2:$B$1001,$B241)&gt;1,"Duplicate",IF(AND(D241&lt;&gt;"Withdrawn",G241&lt;&gt;"",COUNTIFS($B$2:$B$1001,$B241,$G$2:$G$1001,G241,$D$2:$D$1001,"&lt;&gt;Withdrawn")&gt;1),"Same-day clash","OK"))))))</f>
        <v/>
      </c>
    </row>
    <row r="242" customFormat="false" ht="15" hidden="false" customHeight="false" outlineLevel="0" collapsed="false">
      <c r="E242" s="26"/>
      <c r="G242" s="23" t="str">
        <f aca="false">IF($A242="","",IFERROR(IF(INDEX(Activities!$C$2:$C$201,MATCH($A242,Activities!$A$2:$A$201,0))="","",INDEX(Activities!$C$2:$C$201,MATCH($A242,Activities!$A$2:$A$201,0))),""))</f>
        <v/>
      </c>
      <c r="H242" s="24" t="str">
        <f aca="false">IF($A242="","",IFERROR(IF(INDEX(Activities!$B$2:$B$201,MATCH($A242,Activities!$A$2:$A$201,0))="","",INDEX(Activities!$B$2:$B$201,MATCH($A242,Activities!$A$2:$A$201,0))),""))</f>
        <v/>
      </c>
      <c r="I242" s="24" t="str">
        <f aca="false">IF($B242="","",IFERROR(IF(INDEX(Students!$C$2:$C$301,MATCH($B242,Students!$A$2:$A$301,0))="","",INDEX(Students!$C$2:$C$301,MATCH($B242,Students!$A$2:$A$301,0))),""))</f>
        <v/>
      </c>
      <c r="J242" s="24" t="str">
        <f aca="false">IF($B242="","",IFERROR(IF(INDEX(Students!$B$2:$B$301,MATCH($B242,Students!$A$2:$A$301,0))="","",INDEX(Students!$B$2:$B$301,MATCH($B242,Students!$A$2:$A$301,0))),""))</f>
        <v/>
      </c>
      <c r="K242" s="25" t="str">
        <f aca="false">IF($A242="","",IF(D242="Withdrawn",0,IF(E242&lt;&gt;"",N(E242),IFERROR(N(INDEX(Activities!$I$2:$I$201,MATCH($A242,Activities!$A$2:$A$201,0))),0))))</f>
        <v/>
      </c>
      <c r="L242" s="24" t="str">
        <f aca="false">IF(AND($A242="",$B242=""),"",IF(ISNA(MATCH($A242,Activities!$A$2:$A$201,0)),"Unknown activity",IF(ISNA(MATCH($B242,Students!$A$2:$A$301,0)),"Unknown student",IF(D242="","No status",IF(COUNTIFS($A$2:$A$1001,$A242,$B$2:$B$1001,$B242)&gt;1,"Duplicate",IF(AND(D242&lt;&gt;"Withdrawn",G242&lt;&gt;"",COUNTIFS($B$2:$B$1001,$B242,$G$2:$G$1001,G242,$D$2:$D$1001,"&lt;&gt;Withdrawn")&gt;1),"Same-day clash","OK"))))))</f>
        <v/>
      </c>
    </row>
    <row r="243" customFormat="false" ht="15" hidden="false" customHeight="false" outlineLevel="0" collapsed="false">
      <c r="E243" s="26"/>
      <c r="G243" s="23" t="str">
        <f aca="false">IF($A243="","",IFERROR(IF(INDEX(Activities!$C$2:$C$201,MATCH($A243,Activities!$A$2:$A$201,0))="","",INDEX(Activities!$C$2:$C$201,MATCH($A243,Activities!$A$2:$A$201,0))),""))</f>
        <v/>
      </c>
      <c r="H243" s="24" t="str">
        <f aca="false">IF($A243="","",IFERROR(IF(INDEX(Activities!$B$2:$B$201,MATCH($A243,Activities!$A$2:$A$201,0))="","",INDEX(Activities!$B$2:$B$201,MATCH($A243,Activities!$A$2:$A$201,0))),""))</f>
        <v/>
      </c>
      <c r="I243" s="24" t="str">
        <f aca="false">IF($B243="","",IFERROR(IF(INDEX(Students!$C$2:$C$301,MATCH($B243,Students!$A$2:$A$301,0))="","",INDEX(Students!$C$2:$C$301,MATCH($B243,Students!$A$2:$A$301,0))),""))</f>
        <v/>
      </c>
      <c r="J243" s="24" t="str">
        <f aca="false">IF($B243="","",IFERROR(IF(INDEX(Students!$B$2:$B$301,MATCH($B243,Students!$A$2:$A$301,0))="","",INDEX(Students!$B$2:$B$301,MATCH($B243,Students!$A$2:$A$301,0))),""))</f>
        <v/>
      </c>
      <c r="K243" s="25" t="str">
        <f aca="false">IF($A243="","",IF(D243="Withdrawn",0,IF(E243&lt;&gt;"",N(E243),IFERROR(N(INDEX(Activities!$I$2:$I$201,MATCH($A243,Activities!$A$2:$A$201,0))),0))))</f>
        <v/>
      </c>
      <c r="L243" s="24" t="str">
        <f aca="false">IF(AND($A243="",$B243=""),"",IF(ISNA(MATCH($A243,Activities!$A$2:$A$201,0)),"Unknown activity",IF(ISNA(MATCH($B243,Students!$A$2:$A$301,0)),"Unknown student",IF(D243="","No status",IF(COUNTIFS($A$2:$A$1001,$A243,$B$2:$B$1001,$B243)&gt;1,"Duplicate",IF(AND(D243&lt;&gt;"Withdrawn",G243&lt;&gt;"",COUNTIFS($B$2:$B$1001,$B243,$G$2:$G$1001,G243,$D$2:$D$1001,"&lt;&gt;Withdrawn")&gt;1),"Same-day clash","OK"))))))</f>
        <v/>
      </c>
    </row>
    <row r="244" customFormat="false" ht="15" hidden="false" customHeight="false" outlineLevel="0" collapsed="false">
      <c r="E244" s="26"/>
      <c r="G244" s="23" t="str">
        <f aca="false">IF($A244="","",IFERROR(IF(INDEX(Activities!$C$2:$C$201,MATCH($A244,Activities!$A$2:$A$201,0))="","",INDEX(Activities!$C$2:$C$201,MATCH($A244,Activities!$A$2:$A$201,0))),""))</f>
        <v/>
      </c>
      <c r="H244" s="24" t="str">
        <f aca="false">IF($A244="","",IFERROR(IF(INDEX(Activities!$B$2:$B$201,MATCH($A244,Activities!$A$2:$A$201,0))="","",INDEX(Activities!$B$2:$B$201,MATCH($A244,Activities!$A$2:$A$201,0))),""))</f>
        <v/>
      </c>
      <c r="I244" s="24" t="str">
        <f aca="false">IF($B244="","",IFERROR(IF(INDEX(Students!$C$2:$C$301,MATCH($B244,Students!$A$2:$A$301,0))="","",INDEX(Students!$C$2:$C$301,MATCH($B244,Students!$A$2:$A$301,0))),""))</f>
        <v/>
      </c>
      <c r="J244" s="24" t="str">
        <f aca="false">IF($B244="","",IFERROR(IF(INDEX(Students!$B$2:$B$301,MATCH($B244,Students!$A$2:$A$301,0))="","",INDEX(Students!$B$2:$B$301,MATCH($B244,Students!$A$2:$A$301,0))),""))</f>
        <v/>
      </c>
      <c r="K244" s="25" t="str">
        <f aca="false">IF($A244="","",IF(D244="Withdrawn",0,IF(E244&lt;&gt;"",N(E244),IFERROR(N(INDEX(Activities!$I$2:$I$201,MATCH($A244,Activities!$A$2:$A$201,0))),0))))</f>
        <v/>
      </c>
      <c r="L244" s="24" t="str">
        <f aca="false">IF(AND($A244="",$B244=""),"",IF(ISNA(MATCH($A244,Activities!$A$2:$A$201,0)),"Unknown activity",IF(ISNA(MATCH($B244,Students!$A$2:$A$301,0)),"Unknown student",IF(D244="","No status",IF(COUNTIFS($A$2:$A$1001,$A244,$B$2:$B$1001,$B244)&gt;1,"Duplicate",IF(AND(D244&lt;&gt;"Withdrawn",G244&lt;&gt;"",COUNTIFS($B$2:$B$1001,$B244,$G$2:$G$1001,G244,$D$2:$D$1001,"&lt;&gt;Withdrawn")&gt;1),"Same-day clash","OK"))))))</f>
        <v/>
      </c>
    </row>
    <row r="245" customFormat="false" ht="15" hidden="false" customHeight="false" outlineLevel="0" collapsed="false">
      <c r="E245" s="26"/>
      <c r="G245" s="23" t="str">
        <f aca="false">IF($A245="","",IFERROR(IF(INDEX(Activities!$C$2:$C$201,MATCH($A245,Activities!$A$2:$A$201,0))="","",INDEX(Activities!$C$2:$C$201,MATCH($A245,Activities!$A$2:$A$201,0))),""))</f>
        <v/>
      </c>
      <c r="H245" s="24" t="str">
        <f aca="false">IF($A245="","",IFERROR(IF(INDEX(Activities!$B$2:$B$201,MATCH($A245,Activities!$A$2:$A$201,0))="","",INDEX(Activities!$B$2:$B$201,MATCH($A245,Activities!$A$2:$A$201,0))),""))</f>
        <v/>
      </c>
      <c r="I245" s="24" t="str">
        <f aca="false">IF($B245="","",IFERROR(IF(INDEX(Students!$C$2:$C$301,MATCH($B245,Students!$A$2:$A$301,0))="","",INDEX(Students!$C$2:$C$301,MATCH($B245,Students!$A$2:$A$301,0))),""))</f>
        <v/>
      </c>
      <c r="J245" s="24" t="str">
        <f aca="false">IF($B245="","",IFERROR(IF(INDEX(Students!$B$2:$B$301,MATCH($B245,Students!$A$2:$A$301,0))="","",INDEX(Students!$B$2:$B$301,MATCH($B245,Students!$A$2:$A$301,0))),""))</f>
        <v/>
      </c>
      <c r="K245" s="25" t="str">
        <f aca="false">IF($A245="","",IF(D245="Withdrawn",0,IF(E245&lt;&gt;"",N(E245),IFERROR(N(INDEX(Activities!$I$2:$I$201,MATCH($A245,Activities!$A$2:$A$201,0))),0))))</f>
        <v/>
      </c>
      <c r="L245" s="24" t="str">
        <f aca="false">IF(AND($A245="",$B245=""),"",IF(ISNA(MATCH($A245,Activities!$A$2:$A$201,0)),"Unknown activity",IF(ISNA(MATCH($B245,Students!$A$2:$A$301,0)),"Unknown student",IF(D245="","No status",IF(COUNTIFS($A$2:$A$1001,$A245,$B$2:$B$1001,$B245)&gt;1,"Duplicate",IF(AND(D245&lt;&gt;"Withdrawn",G245&lt;&gt;"",COUNTIFS($B$2:$B$1001,$B245,$G$2:$G$1001,G245,$D$2:$D$1001,"&lt;&gt;Withdrawn")&gt;1),"Same-day clash","OK"))))))</f>
        <v/>
      </c>
    </row>
    <row r="246" customFormat="false" ht="15" hidden="false" customHeight="false" outlineLevel="0" collapsed="false">
      <c r="E246" s="26"/>
      <c r="G246" s="23" t="str">
        <f aca="false">IF($A246="","",IFERROR(IF(INDEX(Activities!$C$2:$C$201,MATCH($A246,Activities!$A$2:$A$201,0))="","",INDEX(Activities!$C$2:$C$201,MATCH($A246,Activities!$A$2:$A$201,0))),""))</f>
        <v/>
      </c>
      <c r="H246" s="24" t="str">
        <f aca="false">IF($A246="","",IFERROR(IF(INDEX(Activities!$B$2:$B$201,MATCH($A246,Activities!$A$2:$A$201,0))="","",INDEX(Activities!$B$2:$B$201,MATCH($A246,Activities!$A$2:$A$201,0))),""))</f>
        <v/>
      </c>
      <c r="I246" s="24" t="str">
        <f aca="false">IF($B246="","",IFERROR(IF(INDEX(Students!$C$2:$C$301,MATCH($B246,Students!$A$2:$A$301,0))="","",INDEX(Students!$C$2:$C$301,MATCH($B246,Students!$A$2:$A$301,0))),""))</f>
        <v/>
      </c>
      <c r="J246" s="24" t="str">
        <f aca="false">IF($B246="","",IFERROR(IF(INDEX(Students!$B$2:$B$301,MATCH($B246,Students!$A$2:$A$301,0))="","",INDEX(Students!$B$2:$B$301,MATCH($B246,Students!$A$2:$A$301,0))),""))</f>
        <v/>
      </c>
      <c r="K246" s="25" t="str">
        <f aca="false">IF($A246="","",IF(D246="Withdrawn",0,IF(E246&lt;&gt;"",N(E246),IFERROR(N(INDEX(Activities!$I$2:$I$201,MATCH($A246,Activities!$A$2:$A$201,0))),0))))</f>
        <v/>
      </c>
      <c r="L246" s="24" t="str">
        <f aca="false">IF(AND($A246="",$B246=""),"",IF(ISNA(MATCH($A246,Activities!$A$2:$A$201,0)),"Unknown activity",IF(ISNA(MATCH($B246,Students!$A$2:$A$301,0)),"Unknown student",IF(D246="","No status",IF(COUNTIFS($A$2:$A$1001,$A246,$B$2:$B$1001,$B246)&gt;1,"Duplicate",IF(AND(D246&lt;&gt;"Withdrawn",G246&lt;&gt;"",COUNTIFS($B$2:$B$1001,$B246,$G$2:$G$1001,G246,$D$2:$D$1001,"&lt;&gt;Withdrawn")&gt;1),"Same-day clash","OK"))))))</f>
        <v/>
      </c>
    </row>
    <row r="247" customFormat="false" ht="15" hidden="false" customHeight="false" outlineLevel="0" collapsed="false">
      <c r="E247" s="26"/>
      <c r="G247" s="23" t="str">
        <f aca="false">IF($A247="","",IFERROR(IF(INDEX(Activities!$C$2:$C$201,MATCH($A247,Activities!$A$2:$A$201,0))="","",INDEX(Activities!$C$2:$C$201,MATCH($A247,Activities!$A$2:$A$201,0))),""))</f>
        <v/>
      </c>
      <c r="H247" s="24" t="str">
        <f aca="false">IF($A247="","",IFERROR(IF(INDEX(Activities!$B$2:$B$201,MATCH($A247,Activities!$A$2:$A$201,0))="","",INDEX(Activities!$B$2:$B$201,MATCH($A247,Activities!$A$2:$A$201,0))),""))</f>
        <v/>
      </c>
      <c r="I247" s="24" t="str">
        <f aca="false">IF($B247="","",IFERROR(IF(INDEX(Students!$C$2:$C$301,MATCH($B247,Students!$A$2:$A$301,0))="","",INDEX(Students!$C$2:$C$301,MATCH($B247,Students!$A$2:$A$301,0))),""))</f>
        <v/>
      </c>
      <c r="J247" s="24" t="str">
        <f aca="false">IF($B247="","",IFERROR(IF(INDEX(Students!$B$2:$B$301,MATCH($B247,Students!$A$2:$A$301,0))="","",INDEX(Students!$B$2:$B$301,MATCH($B247,Students!$A$2:$A$301,0))),""))</f>
        <v/>
      </c>
      <c r="K247" s="25" t="str">
        <f aca="false">IF($A247="","",IF(D247="Withdrawn",0,IF(E247&lt;&gt;"",N(E247),IFERROR(N(INDEX(Activities!$I$2:$I$201,MATCH($A247,Activities!$A$2:$A$201,0))),0))))</f>
        <v/>
      </c>
      <c r="L247" s="24" t="str">
        <f aca="false">IF(AND($A247="",$B247=""),"",IF(ISNA(MATCH($A247,Activities!$A$2:$A$201,0)),"Unknown activity",IF(ISNA(MATCH($B247,Students!$A$2:$A$301,0)),"Unknown student",IF(D247="","No status",IF(COUNTIFS($A$2:$A$1001,$A247,$B$2:$B$1001,$B247)&gt;1,"Duplicate",IF(AND(D247&lt;&gt;"Withdrawn",G247&lt;&gt;"",COUNTIFS($B$2:$B$1001,$B247,$G$2:$G$1001,G247,$D$2:$D$1001,"&lt;&gt;Withdrawn")&gt;1),"Same-day clash","OK"))))))</f>
        <v/>
      </c>
    </row>
    <row r="248" customFormat="false" ht="15" hidden="false" customHeight="false" outlineLevel="0" collapsed="false">
      <c r="E248" s="26"/>
      <c r="G248" s="23" t="str">
        <f aca="false">IF($A248="","",IFERROR(IF(INDEX(Activities!$C$2:$C$201,MATCH($A248,Activities!$A$2:$A$201,0))="","",INDEX(Activities!$C$2:$C$201,MATCH($A248,Activities!$A$2:$A$201,0))),""))</f>
        <v/>
      </c>
      <c r="H248" s="24" t="str">
        <f aca="false">IF($A248="","",IFERROR(IF(INDEX(Activities!$B$2:$B$201,MATCH($A248,Activities!$A$2:$A$201,0))="","",INDEX(Activities!$B$2:$B$201,MATCH($A248,Activities!$A$2:$A$201,0))),""))</f>
        <v/>
      </c>
      <c r="I248" s="24" t="str">
        <f aca="false">IF($B248="","",IFERROR(IF(INDEX(Students!$C$2:$C$301,MATCH($B248,Students!$A$2:$A$301,0))="","",INDEX(Students!$C$2:$C$301,MATCH($B248,Students!$A$2:$A$301,0))),""))</f>
        <v/>
      </c>
      <c r="J248" s="24" t="str">
        <f aca="false">IF($B248="","",IFERROR(IF(INDEX(Students!$B$2:$B$301,MATCH($B248,Students!$A$2:$A$301,0))="","",INDEX(Students!$B$2:$B$301,MATCH($B248,Students!$A$2:$A$301,0))),""))</f>
        <v/>
      </c>
      <c r="K248" s="25" t="str">
        <f aca="false">IF($A248="","",IF(D248="Withdrawn",0,IF(E248&lt;&gt;"",N(E248),IFERROR(N(INDEX(Activities!$I$2:$I$201,MATCH($A248,Activities!$A$2:$A$201,0))),0))))</f>
        <v/>
      </c>
      <c r="L248" s="24" t="str">
        <f aca="false">IF(AND($A248="",$B248=""),"",IF(ISNA(MATCH($A248,Activities!$A$2:$A$201,0)),"Unknown activity",IF(ISNA(MATCH($B248,Students!$A$2:$A$301,0)),"Unknown student",IF(D248="","No status",IF(COUNTIFS($A$2:$A$1001,$A248,$B$2:$B$1001,$B248)&gt;1,"Duplicate",IF(AND(D248&lt;&gt;"Withdrawn",G248&lt;&gt;"",COUNTIFS($B$2:$B$1001,$B248,$G$2:$G$1001,G248,$D$2:$D$1001,"&lt;&gt;Withdrawn")&gt;1),"Same-day clash","OK"))))))</f>
        <v/>
      </c>
    </row>
    <row r="249" customFormat="false" ht="15" hidden="false" customHeight="false" outlineLevel="0" collapsed="false">
      <c r="E249" s="26"/>
      <c r="G249" s="23" t="str">
        <f aca="false">IF($A249="","",IFERROR(IF(INDEX(Activities!$C$2:$C$201,MATCH($A249,Activities!$A$2:$A$201,0))="","",INDEX(Activities!$C$2:$C$201,MATCH($A249,Activities!$A$2:$A$201,0))),""))</f>
        <v/>
      </c>
      <c r="H249" s="24" t="str">
        <f aca="false">IF($A249="","",IFERROR(IF(INDEX(Activities!$B$2:$B$201,MATCH($A249,Activities!$A$2:$A$201,0))="","",INDEX(Activities!$B$2:$B$201,MATCH($A249,Activities!$A$2:$A$201,0))),""))</f>
        <v/>
      </c>
      <c r="I249" s="24" t="str">
        <f aca="false">IF($B249="","",IFERROR(IF(INDEX(Students!$C$2:$C$301,MATCH($B249,Students!$A$2:$A$301,0))="","",INDEX(Students!$C$2:$C$301,MATCH($B249,Students!$A$2:$A$301,0))),""))</f>
        <v/>
      </c>
      <c r="J249" s="24" t="str">
        <f aca="false">IF($B249="","",IFERROR(IF(INDEX(Students!$B$2:$B$301,MATCH($B249,Students!$A$2:$A$301,0))="","",INDEX(Students!$B$2:$B$301,MATCH($B249,Students!$A$2:$A$301,0))),""))</f>
        <v/>
      </c>
      <c r="K249" s="25" t="str">
        <f aca="false">IF($A249="","",IF(D249="Withdrawn",0,IF(E249&lt;&gt;"",N(E249),IFERROR(N(INDEX(Activities!$I$2:$I$201,MATCH($A249,Activities!$A$2:$A$201,0))),0))))</f>
        <v/>
      </c>
      <c r="L249" s="24" t="str">
        <f aca="false">IF(AND($A249="",$B249=""),"",IF(ISNA(MATCH($A249,Activities!$A$2:$A$201,0)),"Unknown activity",IF(ISNA(MATCH($B249,Students!$A$2:$A$301,0)),"Unknown student",IF(D249="","No status",IF(COUNTIFS($A$2:$A$1001,$A249,$B$2:$B$1001,$B249)&gt;1,"Duplicate",IF(AND(D249&lt;&gt;"Withdrawn",G249&lt;&gt;"",COUNTIFS($B$2:$B$1001,$B249,$G$2:$G$1001,G249,$D$2:$D$1001,"&lt;&gt;Withdrawn")&gt;1),"Same-day clash","OK"))))))</f>
        <v/>
      </c>
    </row>
    <row r="250" customFormat="false" ht="15" hidden="false" customHeight="false" outlineLevel="0" collapsed="false">
      <c r="E250" s="26"/>
      <c r="G250" s="23" t="str">
        <f aca="false">IF($A250="","",IFERROR(IF(INDEX(Activities!$C$2:$C$201,MATCH($A250,Activities!$A$2:$A$201,0))="","",INDEX(Activities!$C$2:$C$201,MATCH($A250,Activities!$A$2:$A$201,0))),""))</f>
        <v/>
      </c>
      <c r="H250" s="24" t="str">
        <f aca="false">IF($A250="","",IFERROR(IF(INDEX(Activities!$B$2:$B$201,MATCH($A250,Activities!$A$2:$A$201,0))="","",INDEX(Activities!$B$2:$B$201,MATCH($A250,Activities!$A$2:$A$201,0))),""))</f>
        <v/>
      </c>
      <c r="I250" s="24" t="str">
        <f aca="false">IF($B250="","",IFERROR(IF(INDEX(Students!$C$2:$C$301,MATCH($B250,Students!$A$2:$A$301,0))="","",INDEX(Students!$C$2:$C$301,MATCH($B250,Students!$A$2:$A$301,0))),""))</f>
        <v/>
      </c>
      <c r="J250" s="24" t="str">
        <f aca="false">IF($B250="","",IFERROR(IF(INDEX(Students!$B$2:$B$301,MATCH($B250,Students!$A$2:$A$301,0))="","",INDEX(Students!$B$2:$B$301,MATCH($B250,Students!$A$2:$A$301,0))),""))</f>
        <v/>
      </c>
      <c r="K250" s="25" t="str">
        <f aca="false">IF($A250="","",IF(D250="Withdrawn",0,IF(E250&lt;&gt;"",N(E250),IFERROR(N(INDEX(Activities!$I$2:$I$201,MATCH($A250,Activities!$A$2:$A$201,0))),0))))</f>
        <v/>
      </c>
      <c r="L250" s="24" t="str">
        <f aca="false">IF(AND($A250="",$B250=""),"",IF(ISNA(MATCH($A250,Activities!$A$2:$A$201,0)),"Unknown activity",IF(ISNA(MATCH($B250,Students!$A$2:$A$301,0)),"Unknown student",IF(D250="","No status",IF(COUNTIFS($A$2:$A$1001,$A250,$B$2:$B$1001,$B250)&gt;1,"Duplicate",IF(AND(D250&lt;&gt;"Withdrawn",G250&lt;&gt;"",COUNTIFS($B$2:$B$1001,$B250,$G$2:$G$1001,G250,$D$2:$D$1001,"&lt;&gt;Withdrawn")&gt;1),"Same-day clash","OK"))))))</f>
        <v/>
      </c>
    </row>
    <row r="251" customFormat="false" ht="15" hidden="false" customHeight="false" outlineLevel="0" collapsed="false">
      <c r="E251" s="26"/>
      <c r="G251" s="23" t="str">
        <f aca="false">IF($A251="","",IFERROR(IF(INDEX(Activities!$C$2:$C$201,MATCH($A251,Activities!$A$2:$A$201,0))="","",INDEX(Activities!$C$2:$C$201,MATCH($A251,Activities!$A$2:$A$201,0))),""))</f>
        <v/>
      </c>
      <c r="H251" s="24" t="str">
        <f aca="false">IF($A251="","",IFERROR(IF(INDEX(Activities!$B$2:$B$201,MATCH($A251,Activities!$A$2:$A$201,0))="","",INDEX(Activities!$B$2:$B$201,MATCH($A251,Activities!$A$2:$A$201,0))),""))</f>
        <v/>
      </c>
      <c r="I251" s="24" t="str">
        <f aca="false">IF($B251="","",IFERROR(IF(INDEX(Students!$C$2:$C$301,MATCH($B251,Students!$A$2:$A$301,0))="","",INDEX(Students!$C$2:$C$301,MATCH($B251,Students!$A$2:$A$301,0))),""))</f>
        <v/>
      </c>
      <c r="J251" s="24" t="str">
        <f aca="false">IF($B251="","",IFERROR(IF(INDEX(Students!$B$2:$B$301,MATCH($B251,Students!$A$2:$A$301,0))="","",INDEX(Students!$B$2:$B$301,MATCH($B251,Students!$A$2:$A$301,0))),""))</f>
        <v/>
      </c>
      <c r="K251" s="25" t="str">
        <f aca="false">IF($A251="","",IF(D251="Withdrawn",0,IF(E251&lt;&gt;"",N(E251),IFERROR(N(INDEX(Activities!$I$2:$I$201,MATCH($A251,Activities!$A$2:$A$201,0))),0))))</f>
        <v/>
      </c>
      <c r="L251" s="24" t="str">
        <f aca="false">IF(AND($A251="",$B251=""),"",IF(ISNA(MATCH($A251,Activities!$A$2:$A$201,0)),"Unknown activity",IF(ISNA(MATCH($B251,Students!$A$2:$A$301,0)),"Unknown student",IF(D251="","No status",IF(COUNTIFS($A$2:$A$1001,$A251,$B$2:$B$1001,$B251)&gt;1,"Duplicate",IF(AND(D251&lt;&gt;"Withdrawn",G251&lt;&gt;"",COUNTIFS($B$2:$B$1001,$B251,$G$2:$G$1001,G251,$D$2:$D$1001,"&lt;&gt;Withdrawn")&gt;1),"Same-day clash","OK"))))))</f>
        <v/>
      </c>
    </row>
    <row r="252" customFormat="false" ht="15" hidden="false" customHeight="false" outlineLevel="0" collapsed="false">
      <c r="E252" s="26"/>
      <c r="G252" s="23" t="str">
        <f aca="false">IF($A252="","",IFERROR(IF(INDEX(Activities!$C$2:$C$201,MATCH($A252,Activities!$A$2:$A$201,0))="","",INDEX(Activities!$C$2:$C$201,MATCH($A252,Activities!$A$2:$A$201,0))),""))</f>
        <v/>
      </c>
      <c r="H252" s="24" t="str">
        <f aca="false">IF($A252="","",IFERROR(IF(INDEX(Activities!$B$2:$B$201,MATCH($A252,Activities!$A$2:$A$201,0))="","",INDEX(Activities!$B$2:$B$201,MATCH($A252,Activities!$A$2:$A$201,0))),""))</f>
        <v/>
      </c>
      <c r="I252" s="24" t="str">
        <f aca="false">IF($B252="","",IFERROR(IF(INDEX(Students!$C$2:$C$301,MATCH($B252,Students!$A$2:$A$301,0))="","",INDEX(Students!$C$2:$C$301,MATCH($B252,Students!$A$2:$A$301,0))),""))</f>
        <v/>
      </c>
      <c r="J252" s="24" t="str">
        <f aca="false">IF($B252="","",IFERROR(IF(INDEX(Students!$B$2:$B$301,MATCH($B252,Students!$A$2:$A$301,0))="","",INDEX(Students!$B$2:$B$301,MATCH($B252,Students!$A$2:$A$301,0))),""))</f>
        <v/>
      </c>
      <c r="K252" s="25" t="str">
        <f aca="false">IF($A252="","",IF(D252="Withdrawn",0,IF(E252&lt;&gt;"",N(E252),IFERROR(N(INDEX(Activities!$I$2:$I$201,MATCH($A252,Activities!$A$2:$A$201,0))),0))))</f>
        <v/>
      </c>
      <c r="L252" s="24" t="str">
        <f aca="false">IF(AND($A252="",$B252=""),"",IF(ISNA(MATCH($A252,Activities!$A$2:$A$201,0)),"Unknown activity",IF(ISNA(MATCH($B252,Students!$A$2:$A$301,0)),"Unknown student",IF(D252="","No status",IF(COUNTIFS($A$2:$A$1001,$A252,$B$2:$B$1001,$B252)&gt;1,"Duplicate",IF(AND(D252&lt;&gt;"Withdrawn",G252&lt;&gt;"",COUNTIFS($B$2:$B$1001,$B252,$G$2:$G$1001,G252,$D$2:$D$1001,"&lt;&gt;Withdrawn")&gt;1),"Same-day clash","OK"))))))</f>
        <v/>
      </c>
    </row>
    <row r="253" customFormat="false" ht="15" hidden="false" customHeight="false" outlineLevel="0" collapsed="false">
      <c r="E253" s="26"/>
      <c r="G253" s="23" t="str">
        <f aca="false">IF($A253="","",IFERROR(IF(INDEX(Activities!$C$2:$C$201,MATCH($A253,Activities!$A$2:$A$201,0))="","",INDEX(Activities!$C$2:$C$201,MATCH($A253,Activities!$A$2:$A$201,0))),""))</f>
        <v/>
      </c>
      <c r="H253" s="24" t="str">
        <f aca="false">IF($A253="","",IFERROR(IF(INDEX(Activities!$B$2:$B$201,MATCH($A253,Activities!$A$2:$A$201,0))="","",INDEX(Activities!$B$2:$B$201,MATCH($A253,Activities!$A$2:$A$201,0))),""))</f>
        <v/>
      </c>
      <c r="I253" s="24" t="str">
        <f aca="false">IF($B253="","",IFERROR(IF(INDEX(Students!$C$2:$C$301,MATCH($B253,Students!$A$2:$A$301,0))="","",INDEX(Students!$C$2:$C$301,MATCH($B253,Students!$A$2:$A$301,0))),""))</f>
        <v/>
      </c>
      <c r="J253" s="24" t="str">
        <f aca="false">IF($B253="","",IFERROR(IF(INDEX(Students!$B$2:$B$301,MATCH($B253,Students!$A$2:$A$301,0))="","",INDEX(Students!$B$2:$B$301,MATCH($B253,Students!$A$2:$A$301,0))),""))</f>
        <v/>
      </c>
      <c r="K253" s="25" t="str">
        <f aca="false">IF($A253="","",IF(D253="Withdrawn",0,IF(E253&lt;&gt;"",N(E253),IFERROR(N(INDEX(Activities!$I$2:$I$201,MATCH($A253,Activities!$A$2:$A$201,0))),0))))</f>
        <v/>
      </c>
      <c r="L253" s="24" t="str">
        <f aca="false">IF(AND($A253="",$B253=""),"",IF(ISNA(MATCH($A253,Activities!$A$2:$A$201,0)),"Unknown activity",IF(ISNA(MATCH($B253,Students!$A$2:$A$301,0)),"Unknown student",IF(D253="","No status",IF(COUNTIFS($A$2:$A$1001,$A253,$B$2:$B$1001,$B253)&gt;1,"Duplicate",IF(AND(D253&lt;&gt;"Withdrawn",G253&lt;&gt;"",COUNTIFS($B$2:$B$1001,$B253,$G$2:$G$1001,G253,$D$2:$D$1001,"&lt;&gt;Withdrawn")&gt;1),"Same-day clash","OK"))))))</f>
        <v/>
      </c>
    </row>
    <row r="254" customFormat="false" ht="15" hidden="false" customHeight="false" outlineLevel="0" collapsed="false">
      <c r="E254" s="26"/>
      <c r="G254" s="23" t="str">
        <f aca="false">IF($A254="","",IFERROR(IF(INDEX(Activities!$C$2:$C$201,MATCH($A254,Activities!$A$2:$A$201,0))="","",INDEX(Activities!$C$2:$C$201,MATCH($A254,Activities!$A$2:$A$201,0))),""))</f>
        <v/>
      </c>
      <c r="H254" s="24" t="str">
        <f aca="false">IF($A254="","",IFERROR(IF(INDEX(Activities!$B$2:$B$201,MATCH($A254,Activities!$A$2:$A$201,0))="","",INDEX(Activities!$B$2:$B$201,MATCH($A254,Activities!$A$2:$A$201,0))),""))</f>
        <v/>
      </c>
      <c r="I254" s="24" t="str">
        <f aca="false">IF($B254="","",IFERROR(IF(INDEX(Students!$C$2:$C$301,MATCH($B254,Students!$A$2:$A$301,0))="","",INDEX(Students!$C$2:$C$301,MATCH($B254,Students!$A$2:$A$301,0))),""))</f>
        <v/>
      </c>
      <c r="J254" s="24" t="str">
        <f aca="false">IF($B254="","",IFERROR(IF(INDEX(Students!$B$2:$B$301,MATCH($B254,Students!$A$2:$A$301,0))="","",INDEX(Students!$B$2:$B$301,MATCH($B254,Students!$A$2:$A$301,0))),""))</f>
        <v/>
      </c>
      <c r="K254" s="25" t="str">
        <f aca="false">IF($A254="","",IF(D254="Withdrawn",0,IF(E254&lt;&gt;"",N(E254),IFERROR(N(INDEX(Activities!$I$2:$I$201,MATCH($A254,Activities!$A$2:$A$201,0))),0))))</f>
        <v/>
      </c>
      <c r="L254" s="24" t="str">
        <f aca="false">IF(AND($A254="",$B254=""),"",IF(ISNA(MATCH($A254,Activities!$A$2:$A$201,0)),"Unknown activity",IF(ISNA(MATCH($B254,Students!$A$2:$A$301,0)),"Unknown student",IF(D254="","No status",IF(COUNTIFS($A$2:$A$1001,$A254,$B$2:$B$1001,$B254)&gt;1,"Duplicate",IF(AND(D254&lt;&gt;"Withdrawn",G254&lt;&gt;"",COUNTIFS($B$2:$B$1001,$B254,$G$2:$G$1001,G254,$D$2:$D$1001,"&lt;&gt;Withdrawn")&gt;1),"Same-day clash","OK"))))))</f>
        <v/>
      </c>
    </row>
    <row r="255" customFormat="false" ht="15" hidden="false" customHeight="false" outlineLevel="0" collapsed="false">
      <c r="E255" s="26"/>
      <c r="G255" s="23" t="str">
        <f aca="false">IF($A255="","",IFERROR(IF(INDEX(Activities!$C$2:$C$201,MATCH($A255,Activities!$A$2:$A$201,0))="","",INDEX(Activities!$C$2:$C$201,MATCH($A255,Activities!$A$2:$A$201,0))),""))</f>
        <v/>
      </c>
      <c r="H255" s="24" t="str">
        <f aca="false">IF($A255="","",IFERROR(IF(INDEX(Activities!$B$2:$B$201,MATCH($A255,Activities!$A$2:$A$201,0))="","",INDEX(Activities!$B$2:$B$201,MATCH($A255,Activities!$A$2:$A$201,0))),""))</f>
        <v/>
      </c>
      <c r="I255" s="24" t="str">
        <f aca="false">IF($B255="","",IFERROR(IF(INDEX(Students!$C$2:$C$301,MATCH($B255,Students!$A$2:$A$301,0))="","",INDEX(Students!$C$2:$C$301,MATCH($B255,Students!$A$2:$A$301,0))),""))</f>
        <v/>
      </c>
      <c r="J255" s="24" t="str">
        <f aca="false">IF($B255="","",IFERROR(IF(INDEX(Students!$B$2:$B$301,MATCH($B255,Students!$A$2:$A$301,0))="","",INDEX(Students!$B$2:$B$301,MATCH($B255,Students!$A$2:$A$301,0))),""))</f>
        <v/>
      </c>
      <c r="K255" s="25" t="str">
        <f aca="false">IF($A255="","",IF(D255="Withdrawn",0,IF(E255&lt;&gt;"",N(E255),IFERROR(N(INDEX(Activities!$I$2:$I$201,MATCH($A255,Activities!$A$2:$A$201,0))),0))))</f>
        <v/>
      </c>
      <c r="L255" s="24" t="str">
        <f aca="false">IF(AND($A255="",$B255=""),"",IF(ISNA(MATCH($A255,Activities!$A$2:$A$201,0)),"Unknown activity",IF(ISNA(MATCH($B255,Students!$A$2:$A$301,0)),"Unknown student",IF(D255="","No status",IF(COUNTIFS($A$2:$A$1001,$A255,$B$2:$B$1001,$B255)&gt;1,"Duplicate",IF(AND(D255&lt;&gt;"Withdrawn",G255&lt;&gt;"",COUNTIFS($B$2:$B$1001,$B255,$G$2:$G$1001,G255,$D$2:$D$1001,"&lt;&gt;Withdrawn")&gt;1),"Same-day clash","OK"))))))</f>
        <v/>
      </c>
    </row>
    <row r="256" customFormat="false" ht="15" hidden="false" customHeight="false" outlineLevel="0" collapsed="false">
      <c r="E256" s="26"/>
      <c r="G256" s="23" t="str">
        <f aca="false">IF($A256="","",IFERROR(IF(INDEX(Activities!$C$2:$C$201,MATCH($A256,Activities!$A$2:$A$201,0))="","",INDEX(Activities!$C$2:$C$201,MATCH($A256,Activities!$A$2:$A$201,0))),""))</f>
        <v/>
      </c>
      <c r="H256" s="24" t="str">
        <f aca="false">IF($A256="","",IFERROR(IF(INDEX(Activities!$B$2:$B$201,MATCH($A256,Activities!$A$2:$A$201,0))="","",INDEX(Activities!$B$2:$B$201,MATCH($A256,Activities!$A$2:$A$201,0))),""))</f>
        <v/>
      </c>
      <c r="I256" s="24" t="str">
        <f aca="false">IF($B256="","",IFERROR(IF(INDEX(Students!$C$2:$C$301,MATCH($B256,Students!$A$2:$A$301,0))="","",INDEX(Students!$C$2:$C$301,MATCH($B256,Students!$A$2:$A$301,0))),""))</f>
        <v/>
      </c>
      <c r="J256" s="24" t="str">
        <f aca="false">IF($B256="","",IFERROR(IF(INDEX(Students!$B$2:$B$301,MATCH($B256,Students!$A$2:$A$301,0))="","",INDEX(Students!$B$2:$B$301,MATCH($B256,Students!$A$2:$A$301,0))),""))</f>
        <v/>
      </c>
      <c r="K256" s="25" t="str">
        <f aca="false">IF($A256="","",IF(D256="Withdrawn",0,IF(E256&lt;&gt;"",N(E256),IFERROR(N(INDEX(Activities!$I$2:$I$201,MATCH($A256,Activities!$A$2:$A$201,0))),0))))</f>
        <v/>
      </c>
      <c r="L256" s="24" t="str">
        <f aca="false">IF(AND($A256="",$B256=""),"",IF(ISNA(MATCH($A256,Activities!$A$2:$A$201,0)),"Unknown activity",IF(ISNA(MATCH($B256,Students!$A$2:$A$301,0)),"Unknown student",IF(D256="","No status",IF(COUNTIFS($A$2:$A$1001,$A256,$B$2:$B$1001,$B256)&gt;1,"Duplicate",IF(AND(D256&lt;&gt;"Withdrawn",G256&lt;&gt;"",COUNTIFS($B$2:$B$1001,$B256,$G$2:$G$1001,G256,$D$2:$D$1001,"&lt;&gt;Withdrawn")&gt;1),"Same-day clash","OK"))))))</f>
        <v/>
      </c>
    </row>
    <row r="257" customFormat="false" ht="15" hidden="false" customHeight="false" outlineLevel="0" collapsed="false">
      <c r="E257" s="26"/>
      <c r="G257" s="23" t="str">
        <f aca="false">IF($A257="","",IFERROR(IF(INDEX(Activities!$C$2:$C$201,MATCH($A257,Activities!$A$2:$A$201,0))="","",INDEX(Activities!$C$2:$C$201,MATCH($A257,Activities!$A$2:$A$201,0))),""))</f>
        <v/>
      </c>
      <c r="H257" s="24" t="str">
        <f aca="false">IF($A257="","",IFERROR(IF(INDEX(Activities!$B$2:$B$201,MATCH($A257,Activities!$A$2:$A$201,0))="","",INDEX(Activities!$B$2:$B$201,MATCH($A257,Activities!$A$2:$A$201,0))),""))</f>
        <v/>
      </c>
      <c r="I257" s="24" t="str">
        <f aca="false">IF($B257="","",IFERROR(IF(INDEX(Students!$C$2:$C$301,MATCH($B257,Students!$A$2:$A$301,0))="","",INDEX(Students!$C$2:$C$301,MATCH($B257,Students!$A$2:$A$301,0))),""))</f>
        <v/>
      </c>
      <c r="J257" s="24" t="str">
        <f aca="false">IF($B257="","",IFERROR(IF(INDEX(Students!$B$2:$B$301,MATCH($B257,Students!$A$2:$A$301,0))="","",INDEX(Students!$B$2:$B$301,MATCH($B257,Students!$A$2:$A$301,0))),""))</f>
        <v/>
      </c>
      <c r="K257" s="25" t="str">
        <f aca="false">IF($A257="","",IF(D257="Withdrawn",0,IF(E257&lt;&gt;"",N(E257),IFERROR(N(INDEX(Activities!$I$2:$I$201,MATCH($A257,Activities!$A$2:$A$201,0))),0))))</f>
        <v/>
      </c>
      <c r="L257" s="24" t="str">
        <f aca="false">IF(AND($A257="",$B257=""),"",IF(ISNA(MATCH($A257,Activities!$A$2:$A$201,0)),"Unknown activity",IF(ISNA(MATCH($B257,Students!$A$2:$A$301,0)),"Unknown student",IF(D257="","No status",IF(COUNTIFS($A$2:$A$1001,$A257,$B$2:$B$1001,$B257)&gt;1,"Duplicate",IF(AND(D257&lt;&gt;"Withdrawn",G257&lt;&gt;"",COUNTIFS($B$2:$B$1001,$B257,$G$2:$G$1001,G257,$D$2:$D$1001,"&lt;&gt;Withdrawn")&gt;1),"Same-day clash","OK"))))))</f>
        <v/>
      </c>
    </row>
    <row r="258" customFormat="false" ht="15" hidden="false" customHeight="false" outlineLevel="0" collapsed="false">
      <c r="E258" s="26"/>
      <c r="G258" s="23" t="str">
        <f aca="false">IF($A258="","",IFERROR(IF(INDEX(Activities!$C$2:$C$201,MATCH($A258,Activities!$A$2:$A$201,0))="","",INDEX(Activities!$C$2:$C$201,MATCH($A258,Activities!$A$2:$A$201,0))),""))</f>
        <v/>
      </c>
      <c r="H258" s="24" t="str">
        <f aca="false">IF($A258="","",IFERROR(IF(INDEX(Activities!$B$2:$B$201,MATCH($A258,Activities!$A$2:$A$201,0))="","",INDEX(Activities!$B$2:$B$201,MATCH($A258,Activities!$A$2:$A$201,0))),""))</f>
        <v/>
      </c>
      <c r="I258" s="24" t="str">
        <f aca="false">IF($B258="","",IFERROR(IF(INDEX(Students!$C$2:$C$301,MATCH($B258,Students!$A$2:$A$301,0))="","",INDEX(Students!$C$2:$C$301,MATCH($B258,Students!$A$2:$A$301,0))),""))</f>
        <v/>
      </c>
      <c r="J258" s="24" t="str">
        <f aca="false">IF($B258="","",IFERROR(IF(INDEX(Students!$B$2:$B$301,MATCH($B258,Students!$A$2:$A$301,0))="","",INDEX(Students!$B$2:$B$301,MATCH($B258,Students!$A$2:$A$301,0))),""))</f>
        <v/>
      </c>
      <c r="K258" s="25" t="str">
        <f aca="false">IF($A258="","",IF(D258="Withdrawn",0,IF(E258&lt;&gt;"",N(E258),IFERROR(N(INDEX(Activities!$I$2:$I$201,MATCH($A258,Activities!$A$2:$A$201,0))),0))))</f>
        <v/>
      </c>
      <c r="L258" s="24" t="str">
        <f aca="false">IF(AND($A258="",$B258=""),"",IF(ISNA(MATCH($A258,Activities!$A$2:$A$201,0)),"Unknown activity",IF(ISNA(MATCH($B258,Students!$A$2:$A$301,0)),"Unknown student",IF(D258="","No status",IF(COUNTIFS($A$2:$A$1001,$A258,$B$2:$B$1001,$B258)&gt;1,"Duplicate",IF(AND(D258&lt;&gt;"Withdrawn",G258&lt;&gt;"",COUNTIFS($B$2:$B$1001,$B258,$G$2:$G$1001,G258,$D$2:$D$1001,"&lt;&gt;Withdrawn")&gt;1),"Same-day clash","OK"))))))</f>
        <v/>
      </c>
    </row>
    <row r="259" customFormat="false" ht="15" hidden="false" customHeight="false" outlineLevel="0" collapsed="false">
      <c r="E259" s="26"/>
      <c r="G259" s="23" t="str">
        <f aca="false">IF($A259="","",IFERROR(IF(INDEX(Activities!$C$2:$C$201,MATCH($A259,Activities!$A$2:$A$201,0))="","",INDEX(Activities!$C$2:$C$201,MATCH($A259,Activities!$A$2:$A$201,0))),""))</f>
        <v/>
      </c>
      <c r="H259" s="24" t="str">
        <f aca="false">IF($A259="","",IFERROR(IF(INDEX(Activities!$B$2:$B$201,MATCH($A259,Activities!$A$2:$A$201,0))="","",INDEX(Activities!$B$2:$B$201,MATCH($A259,Activities!$A$2:$A$201,0))),""))</f>
        <v/>
      </c>
      <c r="I259" s="24" t="str">
        <f aca="false">IF($B259="","",IFERROR(IF(INDEX(Students!$C$2:$C$301,MATCH($B259,Students!$A$2:$A$301,0))="","",INDEX(Students!$C$2:$C$301,MATCH($B259,Students!$A$2:$A$301,0))),""))</f>
        <v/>
      </c>
      <c r="J259" s="24" t="str">
        <f aca="false">IF($B259="","",IFERROR(IF(INDEX(Students!$B$2:$B$301,MATCH($B259,Students!$A$2:$A$301,0))="","",INDEX(Students!$B$2:$B$301,MATCH($B259,Students!$A$2:$A$301,0))),""))</f>
        <v/>
      </c>
      <c r="K259" s="25" t="str">
        <f aca="false">IF($A259="","",IF(D259="Withdrawn",0,IF(E259&lt;&gt;"",N(E259),IFERROR(N(INDEX(Activities!$I$2:$I$201,MATCH($A259,Activities!$A$2:$A$201,0))),0))))</f>
        <v/>
      </c>
      <c r="L259" s="24" t="str">
        <f aca="false">IF(AND($A259="",$B259=""),"",IF(ISNA(MATCH($A259,Activities!$A$2:$A$201,0)),"Unknown activity",IF(ISNA(MATCH($B259,Students!$A$2:$A$301,0)),"Unknown student",IF(D259="","No status",IF(COUNTIFS($A$2:$A$1001,$A259,$B$2:$B$1001,$B259)&gt;1,"Duplicate",IF(AND(D259&lt;&gt;"Withdrawn",G259&lt;&gt;"",COUNTIFS($B$2:$B$1001,$B259,$G$2:$G$1001,G259,$D$2:$D$1001,"&lt;&gt;Withdrawn")&gt;1),"Same-day clash","OK"))))))</f>
        <v/>
      </c>
    </row>
    <row r="260" customFormat="false" ht="15" hidden="false" customHeight="false" outlineLevel="0" collapsed="false">
      <c r="E260" s="26"/>
      <c r="G260" s="23" t="str">
        <f aca="false">IF($A260="","",IFERROR(IF(INDEX(Activities!$C$2:$C$201,MATCH($A260,Activities!$A$2:$A$201,0))="","",INDEX(Activities!$C$2:$C$201,MATCH($A260,Activities!$A$2:$A$201,0))),""))</f>
        <v/>
      </c>
      <c r="H260" s="24" t="str">
        <f aca="false">IF($A260="","",IFERROR(IF(INDEX(Activities!$B$2:$B$201,MATCH($A260,Activities!$A$2:$A$201,0))="","",INDEX(Activities!$B$2:$B$201,MATCH($A260,Activities!$A$2:$A$201,0))),""))</f>
        <v/>
      </c>
      <c r="I260" s="24" t="str">
        <f aca="false">IF($B260="","",IFERROR(IF(INDEX(Students!$C$2:$C$301,MATCH($B260,Students!$A$2:$A$301,0))="","",INDEX(Students!$C$2:$C$301,MATCH($B260,Students!$A$2:$A$301,0))),""))</f>
        <v/>
      </c>
      <c r="J260" s="24" t="str">
        <f aca="false">IF($B260="","",IFERROR(IF(INDEX(Students!$B$2:$B$301,MATCH($B260,Students!$A$2:$A$301,0))="","",INDEX(Students!$B$2:$B$301,MATCH($B260,Students!$A$2:$A$301,0))),""))</f>
        <v/>
      </c>
      <c r="K260" s="25" t="str">
        <f aca="false">IF($A260="","",IF(D260="Withdrawn",0,IF(E260&lt;&gt;"",N(E260),IFERROR(N(INDEX(Activities!$I$2:$I$201,MATCH($A260,Activities!$A$2:$A$201,0))),0))))</f>
        <v/>
      </c>
      <c r="L260" s="24" t="str">
        <f aca="false">IF(AND($A260="",$B260=""),"",IF(ISNA(MATCH($A260,Activities!$A$2:$A$201,0)),"Unknown activity",IF(ISNA(MATCH($B260,Students!$A$2:$A$301,0)),"Unknown student",IF(D260="","No status",IF(COUNTIFS($A$2:$A$1001,$A260,$B$2:$B$1001,$B260)&gt;1,"Duplicate",IF(AND(D260&lt;&gt;"Withdrawn",G260&lt;&gt;"",COUNTIFS($B$2:$B$1001,$B260,$G$2:$G$1001,G260,$D$2:$D$1001,"&lt;&gt;Withdrawn")&gt;1),"Same-day clash","OK"))))))</f>
        <v/>
      </c>
    </row>
    <row r="261" customFormat="false" ht="15" hidden="false" customHeight="false" outlineLevel="0" collapsed="false">
      <c r="E261" s="26"/>
      <c r="G261" s="23" t="str">
        <f aca="false">IF($A261="","",IFERROR(IF(INDEX(Activities!$C$2:$C$201,MATCH($A261,Activities!$A$2:$A$201,0))="","",INDEX(Activities!$C$2:$C$201,MATCH($A261,Activities!$A$2:$A$201,0))),""))</f>
        <v/>
      </c>
      <c r="H261" s="24" t="str">
        <f aca="false">IF($A261="","",IFERROR(IF(INDEX(Activities!$B$2:$B$201,MATCH($A261,Activities!$A$2:$A$201,0))="","",INDEX(Activities!$B$2:$B$201,MATCH($A261,Activities!$A$2:$A$201,0))),""))</f>
        <v/>
      </c>
      <c r="I261" s="24" t="str">
        <f aca="false">IF($B261="","",IFERROR(IF(INDEX(Students!$C$2:$C$301,MATCH($B261,Students!$A$2:$A$301,0))="","",INDEX(Students!$C$2:$C$301,MATCH($B261,Students!$A$2:$A$301,0))),""))</f>
        <v/>
      </c>
      <c r="J261" s="24" t="str">
        <f aca="false">IF($B261="","",IFERROR(IF(INDEX(Students!$B$2:$B$301,MATCH($B261,Students!$A$2:$A$301,0))="","",INDEX(Students!$B$2:$B$301,MATCH($B261,Students!$A$2:$A$301,0))),""))</f>
        <v/>
      </c>
      <c r="K261" s="25" t="str">
        <f aca="false">IF($A261="","",IF(D261="Withdrawn",0,IF(E261&lt;&gt;"",N(E261),IFERROR(N(INDEX(Activities!$I$2:$I$201,MATCH($A261,Activities!$A$2:$A$201,0))),0))))</f>
        <v/>
      </c>
      <c r="L261" s="24" t="str">
        <f aca="false">IF(AND($A261="",$B261=""),"",IF(ISNA(MATCH($A261,Activities!$A$2:$A$201,0)),"Unknown activity",IF(ISNA(MATCH($B261,Students!$A$2:$A$301,0)),"Unknown student",IF(D261="","No status",IF(COUNTIFS($A$2:$A$1001,$A261,$B$2:$B$1001,$B261)&gt;1,"Duplicate",IF(AND(D261&lt;&gt;"Withdrawn",G261&lt;&gt;"",COUNTIFS($B$2:$B$1001,$B261,$G$2:$G$1001,G261,$D$2:$D$1001,"&lt;&gt;Withdrawn")&gt;1),"Same-day clash","OK"))))))</f>
        <v/>
      </c>
    </row>
    <row r="262" customFormat="false" ht="15" hidden="false" customHeight="false" outlineLevel="0" collapsed="false">
      <c r="E262" s="26"/>
      <c r="G262" s="23" t="str">
        <f aca="false">IF($A262="","",IFERROR(IF(INDEX(Activities!$C$2:$C$201,MATCH($A262,Activities!$A$2:$A$201,0))="","",INDEX(Activities!$C$2:$C$201,MATCH($A262,Activities!$A$2:$A$201,0))),""))</f>
        <v/>
      </c>
      <c r="H262" s="24" t="str">
        <f aca="false">IF($A262="","",IFERROR(IF(INDEX(Activities!$B$2:$B$201,MATCH($A262,Activities!$A$2:$A$201,0))="","",INDEX(Activities!$B$2:$B$201,MATCH($A262,Activities!$A$2:$A$201,0))),""))</f>
        <v/>
      </c>
      <c r="I262" s="24" t="str">
        <f aca="false">IF($B262="","",IFERROR(IF(INDEX(Students!$C$2:$C$301,MATCH($B262,Students!$A$2:$A$301,0))="","",INDEX(Students!$C$2:$C$301,MATCH($B262,Students!$A$2:$A$301,0))),""))</f>
        <v/>
      </c>
      <c r="J262" s="24" t="str">
        <f aca="false">IF($B262="","",IFERROR(IF(INDEX(Students!$B$2:$B$301,MATCH($B262,Students!$A$2:$A$301,0))="","",INDEX(Students!$B$2:$B$301,MATCH($B262,Students!$A$2:$A$301,0))),""))</f>
        <v/>
      </c>
      <c r="K262" s="25" t="str">
        <f aca="false">IF($A262="","",IF(D262="Withdrawn",0,IF(E262&lt;&gt;"",N(E262),IFERROR(N(INDEX(Activities!$I$2:$I$201,MATCH($A262,Activities!$A$2:$A$201,0))),0))))</f>
        <v/>
      </c>
      <c r="L262" s="24" t="str">
        <f aca="false">IF(AND($A262="",$B262=""),"",IF(ISNA(MATCH($A262,Activities!$A$2:$A$201,0)),"Unknown activity",IF(ISNA(MATCH($B262,Students!$A$2:$A$301,0)),"Unknown student",IF(D262="","No status",IF(COUNTIFS($A$2:$A$1001,$A262,$B$2:$B$1001,$B262)&gt;1,"Duplicate",IF(AND(D262&lt;&gt;"Withdrawn",G262&lt;&gt;"",COUNTIFS($B$2:$B$1001,$B262,$G$2:$G$1001,G262,$D$2:$D$1001,"&lt;&gt;Withdrawn")&gt;1),"Same-day clash","OK"))))))</f>
        <v/>
      </c>
    </row>
    <row r="263" customFormat="false" ht="15" hidden="false" customHeight="false" outlineLevel="0" collapsed="false">
      <c r="E263" s="26"/>
      <c r="G263" s="23" t="str">
        <f aca="false">IF($A263="","",IFERROR(IF(INDEX(Activities!$C$2:$C$201,MATCH($A263,Activities!$A$2:$A$201,0))="","",INDEX(Activities!$C$2:$C$201,MATCH($A263,Activities!$A$2:$A$201,0))),""))</f>
        <v/>
      </c>
      <c r="H263" s="24" t="str">
        <f aca="false">IF($A263="","",IFERROR(IF(INDEX(Activities!$B$2:$B$201,MATCH($A263,Activities!$A$2:$A$201,0))="","",INDEX(Activities!$B$2:$B$201,MATCH($A263,Activities!$A$2:$A$201,0))),""))</f>
        <v/>
      </c>
      <c r="I263" s="24" t="str">
        <f aca="false">IF($B263="","",IFERROR(IF(INDEX(Students!$C$2:$C$301,MATCH($B263,Students!$A$2:$A$301,0))="","",INDEX(Students!$C$2:$C$301,MATCH($B263,Students!$A$2:$A$301,0))),""))</f>
        <v/>
      </c>
      <c r="J263" s="24" t="str">
        <f aca="false">IF($B263="","",IFERROR(IF(INDEX(Students!$B$2:$B$301,MATCH($B263,Students!$A$2:$A$301,0))="","",INDEX(Students!$B$2:$B$301,MATCH($B263,Students!$A$2:$A$301,0))),""))</f>
        <v/>
      </c>
      <c r="K263" s="25" t="str">
        <f aca="false">IF($A263="","",IF(D263="Withdrawn",0,IF(E263&lt;&gt;"",N(E263),IFERROR(N(INDEX(Activities!$I$2:$I$201,MATCH($A263,Activities!$A$2:$A$201,0))),0))))</f>
        <v/>
      </c>
      <c r="L263" s="24" t="str">
        <f aca="false">IF(AND($A263="",$B263=""),"",IF(ISNA(MATCH($A263,Activities!$A$2:$A$201,0)),"Unknown activity",IF(ISNA(MATCH($B263,Students!$A$2:$A$301,0)),"Unknown student",IF(D263="","No status",IF(COUNTIFS($A$2:$A$1001,$A263,$B$2:$B$1001,$B263)&gt;1,"Duplicate",IF(AND(D263&lt;&gt;"Withdrawn",G263&lt;&gt;"",COUNTIFS($B$2:$B$1001,$B263,$G$2:$G$1001,G263,$D$2:$D$1001,"&lt;&gt;Withdrawn")&gt;1),"Same-day clash","OK"))))))</f>
        <v/>
      </c>
    </row>
    <row r="264" customFormat="false" ht="15" hidden="false" customHeight="false" outlineLevel="0" collapsed="false">
      <c r="E264" s="26"/>
      <c r="G264" s="23" t="str">
        <f aca="false">IF($A264="","",IFERROR(IF(INDEX(Activities!$C$2:$C$201,MATCH($A264,Activities!$A$2:$A$201,0))="","",INDEX(Activities!$C$2:$C$201,MATCH($A264,Activities!$A$2:$A$201,0))),""))</f>
        <v/>
      </c>
      <c r="H264" s="24" t="str">
        <f aca="false">IF($A264="","",IFERROR(IF(INDEX(Activities!$B$2:$B$201,MATCH($A264,Activities!$A$2:$A$201,0))="","",INDEX(Activities!$B$2:$B$201,MATCH($A264,Activities!$A$2:$A$201,0))),""))</f>
        <v/>
      </c>
      <c r="I264" s="24" t="str">
        <f aca="false">IF($B264="","",IFERROR(IF(INDEX(Students!$C$2:$C$301,MATCH($B264,Students!$A$2:$A$301,0))="","",INDEX(Students!$C$2:$C$301,MATCH($B264,Students!$A$2:$A$301,0))),""))</f>
        <v/>
      </c>
      <c r="J264" s="24" t="str">
        <f aca="false">IF($B264="","",IFERROR(IF(INDEX(Students!$B$2:$B$301,MATCH($B264,Students!$A$2:$A$301,0))="","",INDEX(Students!$B$2:$B$301,MATCH($B264,Students!$A$2:$A$301,0))),""))</f>
        <v/>
      </c>
      <c r="K264" s="25" t="str">
        <f aca="false">IF($A264="","",IF(D264="Withdrawn",0,IF(E264&lt;&gt;"",N(E264),IFERROR(N(INDEX(Activities!$I$2:$I$201,MATCH($A264,Activities!$A$2:$A$201,0))),0))))</f>
        <v/>
      </c>
      <c r="L264" s="24" t="str">
        <f aca="false">IF(AND($A264="",$B264=""),"",IF(ISNA(MATCH($A264,Activities!$A$2:$A$201,0)),"Unknown activity",IF(ISNA(MATCH($B264,Students!$A$2:$A$301,0)),"Unknown student",IF(D264="","No status",IF(COUNTIFS($A$2:$A$1001,$A264,$B$2:$B$1001,$B264)&gt;1,"Duplicate",IF(AND(D264&lt;&gt;"Withdrawn",G264&lt;&gt;"",COUNTIFS($B$2:$B$1001,$B264,$G$2:$G$1001,G264,$D$2:$D$1001,"&lt;&gt;Withdrawn")&gt;1),"Same-day clash","OK"))))))</f>
        <v/>
      </c>
    </row>
    <row r="265" customFormat="false" ht="15" hidden="false" customHeight="false" outlineLevel="0" collapsed="false">
      <c r="E265" s="26"/>
      <c r="G265" s="23" t="str">
        <f aca="false">IF($A265="","",IFERROR(IF(INDEX(Activities!$C$2:$C$201,MATCH($A265,Activities!$A$2:$A$201,0))="","",INDEX(Activities!$C$2:$C$201,MATCH($A265,Activities!$A$2:$A$201,0))),""))</f>
        <v/>
      </c>
      <c r="H265" s="24" t="str">
        <f aca="false">IF($A265="","",IFERROR(IF(INDEX(Activities!$B$2:$B$201,MATCH($A265,Activities!$A$2:$A$201,0))="","",INDEX(Activities!$B$2:$B$201,MATCH($A265,Activities!$A$2:$A$201,0))),""))</f>
        <v/>
      </c>
      <c r="I265" s="24" t="str">
        <f aca="false">IF($B265="","",IFERROR(IF(INDEX(Students!$C$2:$C$301,MATCH($B265,Students!$A$2:$A$301,0))="","",INDEX(Students!$C$2:$C$301,MATCH($B265,Students!$A$2:$A$301,0))),""))</f>
        <v/>
      </c>
      <c r="J265" s="24" t="str">
        <f aca="false">IF($B265="","",IFERROR(IF(INDEX(Students!$B$2:$B$301,MATCH($B265,Students!$A$2:$A$301,0))="","",INDEX(Students!$B$2:$B$301,MATCH($B265,Students!$A$2:$A$301,0))),""))</f>
        <v/>
      </c>
      <c r="K265" s="25" t="str">
        <f aca="false">IF($A265="","",IF(D265="Withdrawn",0,IF(E265&lt;&gt;"",N(E265),IFERROR(N(INDEX(Activities!$I$2:$I$201,MATCH($A265,Activities!$A$2:$A$201,0))),0))))</f>
        <v/>
      </c>
      <c r="L265" s="24" t="str">
        <f aca="false">IF(AND($A265="",$B265=""),"",IF(ISNA(MATCH($A265,Activities!$A$2:$A$201,0)),"Unknown activity",IF(ISNA(MATCH($B265,Students!$A$2:$A$301,0)),"Unknown student",IF(D265="","No status",IF(COUNTIFS($A$2:$A$1001,$A265,$B$2:$B$1001,$B265)&gt;1,"Duplicate",IF(AND(D265&lt;&gt;"Withdrawn",G265&lt;&gt;"",COUNTIFS($B$2:$B$1001,$B265,$G$2:$G$1001,G265,$D$2:$D$1001,"&lt;&gt;Withdrawn")&gt;1),"Same-day clash","OK"))))))</f>
        <v/>
      </c>
    </row>
    <row r="266" customFormat="false" ht="15" hidden="false" customHeight="false" outlineLevel="0" collapsed="false">
      <c r="E266" s="26"/>
      <c r="G266" s="23" t="str">
        <f aca="false">IF($A266="","",IFERROR(IF(INDEX(Activities!$C$2:$C$201,MATCH($A266,Activities!$A$2:$A$201,0))="","",INDEX(Activities!$C$2:$C$201,MATCH($A266,Activities!$A$2:$A$201,0))),""))</f>
        <v/>
      </c>
      <c r="H266" s="24" t="str">
        <f aca="false">IF($A266="","",IFERROR(IF(INDEX(Activities!$B$2:$B$201,MATCH($A266,Activities!$A$2:$A$201,0))="","",INDEX(Activities!$B$2:$B$201,MATCH($A266,Activities!$A$2:$A$201,0))),""))</f>
        <v/>
      </c>
      <c r="I266" s="24" t="str">
        <f aca="false">IF($B266="","",IFERROR(IF(INDEX(Students!$C$2:$C$301,MATCH($B266,Students!$A$2:$A$301,0))="","",INDEX(Students!$C$2:$C$301,MATCH($B266,Students!$A$2:$A$301,0))),""))</f>
        <v/>
      </c>
      <c r="J266" s="24" t="str">
        <f aca="false">IF($B266="","",IFERROR(IF(INDEX(Students!$B$2:$B$301,MATCH($B266,Students!$A$2:$A$301,0))="","",INDEX(Students!$B$2:$B$301,MATCH($B266,Students!$A$2:$A$301,0))),""))</f>
        <v/>
      </c>
      <c r="K266" s="25" t="str">
        <f aca="false">IF($A266="","",IF(D266="Withdrawn",0,IF(E266&lt;&gt;"",N(E266),IFERROR(N(INDEX(Activities!$I$2:$I$201,MATCH($A266,Activities!$A$2:$A$201,0))),0))))</f>
        <v/>
      </c>
      <c r="L266" s="24" t="str">
        <f aca="false">IF(AND($A266="",$B266=""),"",IF(ISNA(MATCH($A266,Activities!$A$2:$A$201,0)),"Unknown activity",IF(ISNA(MATCH($B266,Students!$A$2:$A$301,0)),"Unknown student",IF(D266="","No status",IF(COUNTIFS($A$2:$A$1001,$A266,$B$2:$B$1001,$B266)&gt;1,"Duplicate",IF(AND(D266&lt;&gt;"Withdrawn",G266&lt;&gt;"",COUNTIFS($B$2:$B$1001,$B266,$G$2:$G$1001,G266,$D$2:$D$1001,"&lt;&gt;Withdrawn")&gt;1),"Same-day clash","OK"))))))</f>
        <v/>
      </c>
    </row>
    <row r="267" customFormat="false" ht="15" hidden="false" customHeight="false" outlineLevel="0" collapsed="false">
      <c r="E267" s="26"/>
      <c r="G267" s="23" t="str">
        <f aca="false">IF($A267="","",IFERROR(IF(INDEX(Activities!$C$2:$C$201,MATCH($A267,Activities!$A$2:$A$201,0))="","",INDEX(Activities!$C$2:$C$201,MATCH($A267,Activities!$A$2:$A$201,0))),""))</f>
        <v/>
      </c>
      <c r="H267" s="24" t="str">
        <f aca="false">IF($A267="","",IFERROR(IF(INDEX(Activities!$B$2:$B$201,MATCH($A267,Activities!$A$2:$A$201,0))="","",INDEX(Activities!$B$2:$B$201,MATCH($A267,Activities!$A$2:$A$201,0))),""))</f>
        <v/>
      </c>
      <c r="I267" s="24" t="str">
        <f aca="false">IF($B267="","",IFERROR(IF(INDEX(Students!$C$2:$C$301,MATCH($B267,Students!$A$2:$A$301,0))="","",INDEX(Students!$C$2:$C$301,MATCH($B267,Students!$A$2:$A$301,0))),""))</f>
        <v/>
      </c>
      <c r="J267" s="24" t="str">
        <f aca="false">IF($B267="","",IFERROR(IF(INDEX(Students!$B$2:$B$301,MATCH($B267,Students!$A$2:$A$301,0))="","",INDEX(Students!$B$2:$B$301,MATCH($B267,Students!$A$2:$A$301,0))),""))</f>
        <v/>
      </c>
      <c r="K267" s="25" t="str">
        <f aca="false">IF($A267="","",IF(D267="Withdrawn",0,IF(E267&lt;&gt;"",N(E267),IFERROR(N(INDEX(Activities!$I$2:$I$201,MATCH($A267,Activities!$A$2:$A$201,0))),0))))</f>
        <v/>
      </c>
      <c r="L267" s="24" t="str">
        <f aca="false">IF(AND($A267="",$B267=""),"",IF(ISNA(MATCH($A267,Activities!$A$2:$A$201,0)),"Unknown activity",IF(ISNA(MATCH($B267,Students!$A$2:$A$301,0)),"Unknown student",IF(D267="","No status",IF(COUNTIFS($A$2:$A$1001,$A267,$B$2:$B$1001,$B267)&gt;1,"Duplicate",IF(AND(D267&lt;&gt;"Withdrawn",G267&lt;&gt;"",COUNTIFS($B$2:$B$1001,$B267,$G$2:$G$1001,G267,$D$2:$D$1001,"&lt;&gt;Withdrawn")&gt;1),"Same-day clash","OK"))))))</f>
        <v/>
      </c>
    </row>
    <row r="268" customFormat="false" ht="15" hidden="false" customHeight="false" outlineLevel="0" collapsed="false">
      <c r="E268" s="26"/>
      <c r="G268" s="23" t="str">
        <f aca="false">IF($A268="","",IFERROR(IF(INDEX(Activities!$C$2:$C$201,MATCH($A268,Activities!$A$2:$A$201,0))="","",INDEX(Activities!$C$2:$C$201,MATCH($A268,Activities!$A$2:$A$201,0))),""))</f>
        <v/>
      </c>
      <c r="H268" s="24" t="str">
        <f aca="false">IF($A268="","",IFERROR(IF(INDEX(Activities!$B$2:$B$201,MATCH($A268,Activities!$A$2:$A$201,0))="","",INDEX(Activities!$B$2:$B$201,MATCH($A268,Activities!$A$2:$A$201,0))),""))</f>
        <v/>
      </c>
      <c r="I268" s="24" t="str">
        <f aca="false">IF($B268="","",IFERROR(IF(INDEX(Students!$C$2:$C$301,MATCH($B268,Students!$A$2:$A$301,0))="","",INDEX(Students!$C$2:$C$301,MATCH($B268,Students!$A$2:$A$301,0))),""))</f>
        <v/>
      </c>
      <c r="J268" s="24" t="str">
        <f aca="false">IF($B268="","",IFERROR(IF(INDEX(Students!$B$2:$B$301,MATCH($B268,Students!$A$2:$A$301,0))="","",INDEX(Students!$B$2:$B$301,MATCH($B268,Students!$A$2:$A$301,0))),""))</f>
        <v/>
      </c>
      <c r="K268" s="25" t="str">
        <f aca="false">IF($A268="","",IF(D268="Withdrawn",0,IF(E268&lt;&gt;"",N(E268),IFERROR(N(INDEX(Activities!$I$2:$I$201,MATCH($A268,Activities!$A$2:$A$201,0))),0))))</f>
        <v/>
      </c>
      <c r="L268" s="24" t="str">
        <f aca="false">IF(AND($A268="",$B268=""),"",IF(ISNA(MATCH($A268,Activities!$A$2:$A$201,0)),"Unknown activity",IF(ISNA(MATCH($B268,Students!$A$2:$A$301,0)),"Unknown student",IF(D268="","No status",IF(COUNTIFS($A$2:$A$1001,$A268,$B$2:$B$1001,$B268)&gt;1,"Duplicate",IF(AND(D268&lt;&gt;"Withdrawn",G268&lt;&gt;"",COUNTIFS($B$2:$B$1001,$B268,$G$2:$G$1001,G268,$D$2:$D$1001,"&lt;&gt;Withdrawn")&gt;1),"Same-day clash","OK"))))))</f>
        <v/>
      </c>
    </row>
    <row r="269" customFormat="false" ht="15" hidden="false" customHeight="false" outlineLevel="0" collapsed="false">
      <c r="E269" s="26"/>
      <c r="G269" s="23" t="str">
        <f aca="false">IF($A269="","",IFERROR(IF(INDEX(Activities!$C$2:$C$201,MATCH($A269,Activities!$A$2:$A$201,0))="","",INDEX(Activities!$C$2:$C$201,MATCH($A269,Activities!$A$2:$A$201,0))),""))</f>
        <v/>
      </c>
      <c r="H269" s="24" t="str">
        <f aca="false">IF($A269="","",IFERROR(IF(INDEX(Activities!$B$2:$B$201,MATCH($A269,Activities!$A$2:$A$201,0))="","",INDEX(Activities!$B$2:$B$201,MATCH($A269,Activities!$A$2:$A$201,0))),""))</f>
        <v/>
      </c>
      <c r="I269" s="24" t="str">
        <f aca="false">IF($B269="","",IFERROR(IF(INDEX(Students!$C$2:$C$301,MATCH($B269,Students!$A$2:$A$301,0))="","",INDEX(Students!$C$2:$C$301,MATCH($B269,Students!$A$2:$A$301,0))),""))</f>
        <v/>
      </c>
      <c r="J269" s="24" t="str">
        <f aca="false">IF($B269="","",IFERROR(IF(INDEX(Students!$B$2:$B$301,MATCH($B269,Students!$A$2:$A$301,0))="","",INDEX(Students!$B$2:$B$301,MATCH($B269,Students!$A$2:$A$301,0))),""))</f>
        <v/>
      </c>
      <c r="K269" s="25" t="str">
        <f aca="false">IF($A269="","",IF(D269="Withdrawn",0,IF(E269&lt;&gt;"",N(E269),IFERROR(N(INDEX(Activities!$I$2:$I$201,MATCH($A269,Activities!$A$2:$A$201,0))),0))))</f>
        <v/>
      </c>
      <c r="L269" s="24" t="str">
        <f aca="false">IF(AND($A269="",$B269=""),"",IF(ISNA(MATCH($A269,Activities!$A$2:$A$201,0)),"Unknown activity",IF(ISNA(MATCH($B269,Students!$A$2:$A$301,0)),"Unknown student",IF(D269="","No status",IF(COUNTIFS($A$2:$A$1001,$A269,$B$2:$B$1001,$B269)&gt;1,"Duplicate",IF(AND(D269&lt;&gt;"Withdrawn",G269&lt;&gt;"",COUNTIFS($B$2:$B$1001,$B269,$G$2:$G$1001,G269,$D$2:$D$1001,"&lt;&gt;Withdrawn")&gt;1),"Same-day clash","OK"))))))</f>
        <v/>
      </c>
    </row>
    <row r="270" customFormat="false" ht="15" hidden="false" customHeight="false" outlineLevel="0" collapsed="false">
      <c r="E270" s="26"/>
      <c r="G270" s="23" t="str">
        <f aca="false">IF($A270="","",IFERROR(IF(INDEX(Activities!$C$2:$C$201,MATCH($A270,Activities!$A$2:$A$201,0))="","",INDEX(Activities!$C$2:$C$201,MATCH($A270,Activities!$A$2:$A$201,0))),""))</f>
        <v/>
      </c>
      <c r="H270" s="24" t="str">
        <f aca="false">IF($A270="","",IFERROR(IF(INDEX(Activities!$B$2:$B$201,MATCH($A270,Activities!$A$2:$A$201,0))="","",INDEX(Activities!$B$2:$B$201,MATCH($A270,Activities!$A$2:$A$201,0))),""))</f>
        <v/>
      </c>
      <c r="I270" s="24" t="str">
        <f aca="false">IF($B270="","",IFERROR(IF(INDEX(Students!$C$2:$C$301,MATCH($B270,Students!$A$2:$A$301,0))="","",INDEX(Students!$C$2:$C$301,MATCH($B270,Students!$A$2:$A$301,0))),""))</f>
        <v/>
      </c>
      <c r="J270" s="24" t="str">
        <f aca="false">IF($B270="","",IFERROR(IF(INDEX(Students!$B$2:$B$301,MATCH($B270,Students!$A$2:$A$301,0))="","",INDEX(Students!$B$2:$B$301,MATCH($B270,Students!$A$2:$A$301,0))),""))</f>
        <v/>
      </c>
      <c r="K270" s="25" t="str">
        <f aca="false">IF($A270="","",IF(D270="Withdrawn",0,IF(E270&lt;&gt;"",N(E270),IFERROR(N(INDEX(Activities!$I$2:$I$201,MATCH($A270,Activities!$A$2:$A$201,0))),0))))</f>
        <v/>
      </c>
      <c r="L270" s="24" t="str">
        <f aca="false">IF(AND($A270="",$B270=""),"",IF(ISNA(MATCH($A270,Activities!$A$2:$A$201,0)),"Unknown activity",IF(ISNA(MATCH($B270,Students!$A$2:$A$301,0)),"Unknown student",IF(D270="","No status",IF(COUNTIFS($A$2:$A$1001,$A270,$B$2:$B$1001,$B270)&gt;1,"Duplicate",IF(AND(D270&lt;&gt;"Withdrawn",G270&lt;&gt;"",COUNTIFS($B$2:$B$1001,$B270,$G$2:$G$1001,G270,$D$2:$D$1001,"&lt;&gt;Withdrawn")&gt;1),"Same-day clash","OK"))))))</f>
        <v/>
      </c>
    </row>
    <row r="271" customFormat="false" ht="15" hidden="false" customHeight="false" outlineLevel="0" collapsed="false">
      <c r="E271" s="26"/>
      <c r="G271" s="23" t="str">
        <f aca="false">IF($A271="","",IFERROR(IF(INDEX(Activities!$C$2:$C$201,MATCH($A271,Activities!$A$2:$A$201,0))="","",INDEX(Activities!$C$2:$C$201,MATCH($A271,Activities!$A$2:$A$201,0))),""))</f>
        <v/>
      </c>
      <c r="H271" s="24" t="str">
        <f aca="false">IF($A271="","",IFERROR(IF(INDEX(Activities!$B$2:$B$201,MATCH($A271,Activities!$A$2:$A$201,0))="","",INDEX(Activities!$B$2:$B$201,MATCH($A271,Activities!$A$2:$A$201,0))),""))</f>
        <v/>
      </c>
      <c r="I271" s="24" t="str">
        <f aca="false">IF($B271="","",IFERROR(IF(INDEX(Students!$C$2:$C$301,MATCH($B271,Students!$A$2:$A$301,0))="","",INDEX(Students!$C$2:$C$301,MATCH($B271,Students!$A$2:$A$301,0))),""))</f>
        <v/>
      </c>
      <c r="J271" s="24" t="str">
        <f aca="false">IF($B271="","",IFERROR(IF(INDEX(Students!$B$2:$B$301,MATCH($B271,Students!$A$2:$A$301,0))="","",INDEX(Students!$B$2:$B$301,MATCH($B271,Students!$A$2:$A$301,0))),""))</f>
        <v/>
      </c>
      <c r="K271" s="25" t="str">
        <f aca="false">IF($A271="","",IF(D271="Withdrawn",0,IF(E271&lt;&gt;"",N(E271),IFERROR(N(INDEX(Activities!$I$2:$I$201,MATCH($A271,Activities!$A$2:$A$201,0))),0))))</f>
        <v/>
      </c>
      <c r="L271" s="24" t="str">
        <f aca="false">IF(AND($A271="",$B271=""),"",IF(ISNA(MATCH($A271,Activities!$A$2:$A$201,0)),"Unknown activity",IF(ISNA(MATCH($B271,Students!$A$2:$A$301,0)),"Unknown student",IF(D271="","No status",IF(COUNTIFS($A$2:$A$1001,$A271,$B$2:$B$1001,$B271)&gt;1,"Duplicate",IF(AND(D271&lt;&gt;"Withdrawn",G271&lt;&gt;"",COUNTIFS($B$2:$B$1001,$B271,$G$2:$G$1001,G271,$D$2:$D$1001,"&lt;&gt;Withdrawn")&gt;1),"Same-day clash","OK"))))))</f>
        <v/>
      </c>
    </row>
    <row r="272" customFormat="false" ht="15" hidden="false" customHeight="false" outlineLevel="0" collapsed="false">
      <c r="E272" s="26"/>
      <c r="G272" s="23" t="str">
        <f aca="false">IF($A272="","",IFERROR(IF(INDEX(Activities!$C$2:$C$201,MATCH($A272,Activities!$A$2:$A$201,0))="","",INDEX(Activities!$C$2:$C$201,MATCH($A272,Activities!$A$2:$A$201,0))),""))</f>
        <v/>
      </c>
      <c r="H272" s="24" t="str">
        <f aca="false">IF($A272="","",IFERROR(IF(INDEX(Activities!$B$2:$B$201,MATCH($A272,Activities!$A$2:$A$201,0))="","",INDEX(Activities!$B$2:$B$201,MATCH($A272,Activities!$A$2:$A$201,0))),""))</f>
        <v/>
      </c>
      <c r="I272" s="24" t="str">
        <f aca="false">IF($B272="","",IFERROR(IF(INDEX(Students!$C$2:$C$301,MATCH($B272,Students!$A$2:$A$301,0))="","",INDEX(Students!$C$2:$C$301,MATCH($B272,Students!$A$2:$A$301,0))),""))</f>
        <v/>
      </c>
      <c r="J272" s="24" t="str">
        <f aca="false">IF($B272="","",IFERROR(IF(INDEX(Students!$B$2:$B$301,MATCH($B272,Students!$A$2:$A$301,0))="","",INDEX(Students!$B$2:$B$301,MATCH($B272,Students!$A$2:$A$301,0))),""))</f>
        <v/>
      </c>
      <c r="K272" s="25" t="str">
        <f aca="false">IF($A272="","",IF(D272="Withdrawn",0,IF(E272&lt;&gt;"",N(E272),IFERROR(N(INDEX(Activities!$I$2:$I$201,MATCH($A272,Activities!$A$2:$A$201,0))),0))))</f>
        <v/>
      </c>
      <c r="L272" s="24" t="str">
        <f aca="false">IF(AND($A272="",$B272=""),"",IF(ISNA(MATCH($A272,Activities!$A$2:$A$201,0)),"Unknown activity",IF(ISNA(MATCH($B272,Students!$A$2:$A$301,0)),"Unknown student",IF(D272="","No status",IF(COUNTIFS($A$2:$A$1001,$A272,$B$2:$B$1001,$B272)&gt;1,"Duplicate",IF(AND(D272&lt;&gt;"Withdrawn",G272&lt;&gt;"",COUNTIFS($B$2:$B$1001,$B272,$G$2:$G$1001,G272,$D$2:$D$1001,"&lt;&gt;Withdrawn")&gt;1),"Same-day clash","OK"))))))</f>
        <v/>
      </c>
    </row>
    <row r="273" customFormat="false" ht="15" hidden="false" customHeight="false" outlineLevel="0" collapsed="false">
      <c r="E273" s="26"/>
      <c r="G273" s="23" t="str">
        <f aca="false">IF($A273="","",IFERROR(IF(INDEX(Activities!$C$2:$C$201,MATCH($A273,Activities!$A$2:$A$201,0))="","",INDEX(Activities!$C$2:$C$201,MATCH($A273,Activities!$A$2:$A$201,0))),""))</f>
        <v/>
      </c>
      <c r="H273" s="24" t="str">
        <f aca="false">IF($A273="","",IFERROR(IF(INDEX(Activities!$B$2:$B$201,MATCH($A273,Activities!$A$2:$A$201,0))="","",INDEX(Activities!$B$2:$B$201,MATCH($A273,Activities!$A$2:$A$201,0))),""))</f>
        <v/>
      </c>
      <c r="I273" s="24" t="str">
        <f aca="false">IF($B273="","",IFERROR(IF(INDEX(Students!$C$2:$C$301,MATCH($B273,Students!$A$2:$A$301,0))="","",INDEX(Students!$C$2:$C$301,MATCH($B273,Students!$A$2:$A$301,0))),""))</f>
        <v/>
      </c>
      <c r="J273" s="24" t="str">
        <f aca="false">IF($B273="","",IFERROR(IF(INDEX(Students!$B$2:$B$301,MATCH($B273,Students!$A$2:$A$301,0))="","",INDEX(Students!$B$2:$B$301,MATCH($B273,Students!$A$2:$A$301,0))),""))</f>
        <v/>
      </c>
      <c r="K273" s="25" t="str">
        <f aca="false">IF($A273="","",IF(D273="Withdrawn",0,IF(E273&lt;&gt;"",N(E273),IFERROR(N(INDEX(Activities!$I$2:$I$201,MATCH($A273,Activities!$A$2:$A$201,0))),0))))</f>
        <v/>
      </c>
      <c r="L273" s="24" t="str">
        <f aca="false">IF(AND($A273="",$B273=""),"",IF(ISNA(MATCH($A273,Activities!$A$2:$A$201,0)),"Unknown activity",IF(ISNA(MATCH($B273,Students!$A$2:$A$301,0)),"Unknown student",IF(D273="","No status",IF(COUNTIFS($A$2:$A$1001,$A273,$B$2:$B$1001,$B273)&gt;1,"Duplicate",IF(AND(D273&lt;&gt;"Withdrawn",G273&lt;&gt;"",COUNTIFS($B$2:$B$1001,$B273,$G$2:$G$1001,G273,$D$2:$D$1001,"&lt;&gt;Withdrawn")&gt;1),"Same-day clash","OK"))))))</f>
        <v/>
      </c>
    </row>
    <row r="274" customFormat="false" ht="15" hidden="false" customHeight="false" outlineLevel="0" collapsed="false">
      <c r="E274" s="26"/>
      <c r="G274" s="23" t="str">
        <f aca="false">IF($A274="","",IFERROR(IF(INDEX(Activities!$C$2:$C$201,MATCH($A274,Activities!$A$2:$A$201,0))="","",INDEX(Activities!$C$2:$C$201,MATCH($A274,Activities!$A$2:$A$201,0))),""))</f>
        <v/>
      </c>
      <c r="H274" s="24" t="str">
        <f aca="false">IF($A274="","",IFERROR(IF(INDEX(Activities!$B$2:$B$201,MATCH($A274,Activities!$A$2:$A$201,0))="","",INDEX(Activities!$B$2:$B$201,MATCH($A274,Activities!$A$2:$A$201,0))),""))</f>
        <v/>
      </c>
      <c r="I274" s="24" t="str">
        <f aca="false">IF($B274="","",IFERROR(IF(INDEX(Students!$C$2:$C$301,MATCH($B274,Students!$A$2:$A$301,0))="","",INDEX(Students!$C$2:$C$301,MATCH($B274,Students!$A$2:$A$301,0))),""))</f>
        <v/>
      </c>
      <c r="J274" s="24" t="str">
        <f aca="false">IF($B274="","",IFERROR(IF(INDEX(Students!$B$2:$B$301,MATCH($B274,Students!$A$2:$A$301,0))="","",INDEX(Students!$B$2:$B$301,MATCH($B274,Students!$A$2:$A$301,0))),""))</f>
        <v/>
      </c>
      <c r="K274" s="25" t="str">
        <f aca="false">IF($A274="","",IF(D274="Withdrawn",0,IF(E274&lt;&gt;"",N(E274),IFERROR(N(INDEX(Activities!$I$2:$I$201,MATCH($A274,Activities!$A$2:$A$201,0))),0))))</f>
        <v/>
      </c>
      <c r="L274" s="24" t="str">
        <f aca="false">IF(AND($A274="",$B274=""),"",IF(ISNA(MATCH($A274,Activities!$A$2:$A$201,0)),"Unknown activity",IF(ISNA(MATCH($B274,Students!$A$2:$A$301,0)),"Unknown student",IF(D274="","No status",IF(COUNTIFS($A$2:$A$1001,$A274,$B$2:$B$1001,$B274)&gt;1,"Duplicate",IF(AND(D274&lt;&gt;"Withdrawn",G274&lt;&gt;"",COUNTIFS($B$2:$B$1001,$B274,$G$2:$G$1001,G274,$D$2:$D$1001,"&lt;&gt;Withdrawn")&gt;1),"Same-day clash","OK"))))))</f>
        <v/>
      </c>
    </row>
    <row r="275" customFormat="false" ht="15" hidden="false" customHeight="false" outlineLevel="0" collapsed="false">
      <c r="E275" s="26"/>
      <c r="G275" s="23" t="str">
        <f aca="false">IF($A275="","",IFERROR(IF(INDEX(Activities!$C$2:$C$201,MATCH($A275,Activities!$A$2:$A$201,0))="","",INDEX(Activities!$C$2:$C$201,MATCH($A275,Activities!$A$2:$A$201,0))),""))</f>
        <v/>
      </c>
      <c r="H275" s="24" t="str">
        <f aca="false">IF($A275="","",IFERROR(IF(INDEX(Activities!$B$2:$B$201,MATCH($A275,Activities!$A$2:$A$201,0))="","",INDEX(Activities!$B$2:$B$201,MATCH($A275,Activities!$A$2:$A$201,0))),""))</f>
        <v/>
      </c>
      <c r="I275" s="24" t="str">
        <f aca="false">IF($B275="","",IFERROR(IF(INDEX(Students!$C$2:$C$301,MATCH($B275,Students!$A$2:$A$301,0))="","",INDEX(Students!$C$2:$C$301,MATCH($B275,Students!$A$2:$A$301,0))),""))</f>
        <v/>
      </c>
      <c r="J275" s="24" t="str">
        <f aca="false">IF($B275="","",IFERROR(IF(INDEX(Students!$B$2:$B$301,MATCH($B275,Students!$A$2:$A$301,0))="","",INDEX(Students!$B$2:$B$301,MATCH($B275,Students!$A$2:$A$301,0))),""))</f>
        <v/>
      </c>
      <c r="K275" s="25" t="str">
        <f aca="false">IF($A275="","",IF(D275="Withdrawn",0,IF(E275&lt;&gt;"",N(E275),IFERROR(N(INDEX(Activities!$I$2:$I$201,MATCH($A275,Activities!$A$2:$A$201,0))),0))))</f>
        <v/>
      </c>
      <c r="L275" s="24" t="str">
        <f aca="false">IF(AND($A275="",$B275=""),"",IF(ISNA(MATCH($A275,Activities!$A$2:$A$201,0)),"Unknown activity",IF(ISNA(MATCH($B275,Students!$A$2:$A$301,0)),"Unknown student",IF(D275="","No status",IF(COUNTIFS($A$2:$A$1001,$A275,$B$2:$B$1001,$B275)&gt;1,"Duplicate",IF(AND(D275&lt;&gt;"Withdrawn",G275&lt;&gt;"",COUNTIFS($B$2:$B$1001,$B275,$G$2:$G$1001,G275,$D$2:$D$1001,"&lt;&gt;Withdrawn")&gt;1),"Same-day clash","OK"))))))</f>
        <v/>
      </c>
    </row>
    <row r="276" customFormat="false" ht="15" hidden="false" customHeight="false" outlineLevel="0" collapsed="false">
      <c r="E276" s="26"/>
      <c r="G276" s="23" t="str">
        <f aca="false">IF($A276="","",IFERROR(IF(INDEX(Activities!$C$2:$C$201,MATCH($A276,Activities!$A$2:$A$201,0))="","",INDEX(Activities!$C$2:$C$201,MATCH($A276,Activities!$A$2:$A$201,0))),""))</f>
        <v/>
      </c>
      <c r="H276" s="24" t="str">
        <f aca="false">IF($A276="","",IFERROR(IF(INDEX(Activities!$B$2:$B$201,MATCH($A276,Activities!$A$2:$A$201,0))="","",INDEX(Activities!$B$2:$B$201,MATCH($A276,Activities!$A$2:$A$201,0))),""))</f>
        <v/>
      </c>
      <c r="I276" s="24" t="str">
        <f aca="false">IF($B276="","",IFERROR(IF(INDEX(Students!$C$2:$C$301,MATCH($B276,Students!$A$2:$A$301,0))="","",INDEX(Students!$C$2:$C$301,MATCH($B276,Students!$A$2:$A$301,0))),""))</f>
        <v/>
      </c>
      <c r="J276" s="24" t="str">
        <f aca="false">IF($B276="","",IFERROR(IF(INDEX(Students!$B$2:$B$301,MATCH($B276,Students!$A$2:$A$301,0))="","",INDEX(Students!$B$2:$B$301,MATCH($B276,Students!$A$2:$A$301,0))),""))</f>
        <v/>
      </c>
      <c r="K276" s="25" t="str">
        <f aca="false">IF($A276="","",IF(D276="Withdrawn",0,IF(E276&lt;&gt;"",N(E276),IFERROR(N(INDEX(Activities!$I$2:$I$201,MATCH($A276,Activities!$A$2:$A$201,0))),0))))</f>
        <v/>
      </c>
      <c r="L276" s="24" t="str">
        <f aca="false">IF(AND($A276="",$B276=""),"",IF(ISNA(MATCH($A276,Activities!$A$2:$A$201,0)),"Unknown activity",IF(ISNA(MATCH($B276,Students!$A$2:$A$301,0)),"Unknown student",IF(D276="","No status",IF(COUNTIFS($A$2:$A$1001,$A276,$B$2:$B$1001,$B276)&gt;1,"Duplicate",IF(AND(D276&lt;&gt;"Withdrawn",G276&lt;&gt;"",COUNTIFS($B$2:$B$1001,$B276,$G$2:$G$1001,G276,$D$2:$D$1001,"&lt;&gt;Withdrawn")&gt;1),"Same-day clash","OK"))))))</f>
        <v/>
      </c>
    </row>
    <row r="277" customFormat="false" ht="15" hidden="false" customHeight="false" outlineLevel="0" collapsed="false">
      <c r="E277" s="26"/>
      <c r="G277" s="23" t="str">
        <f aca="false">IF($A277="","",IFERROR(IF(INDEX(Activities!$C$2:$C$201,MATCH($A277,Activities!$A$2:$A$201,0))="","",INDEX(Activities!$C$2:$C$201,MATCH($A277,Activities!$A$2:$A$201,0))),""))</f>
        <v/>
      </c>
      <c r="H277" s="24" t="str">
        <f aca="false">IF($A277="","",IFERROR(IF(INDEX(Activities!$B$2:$B$201,MATCH($A277,Activities!$A$2:$A$201,0))="","",INDEX(Activities!$B$2:$B$201,MATCH($A277,Activities!$A$2:$A$201,0))),""))</f>
        <v/>
      </c>
      <c r="I277" s="24" t="str">
        <f aca="false">IF($B277="","",IFERROR(IF(INDEX(Students!$C$2:$C$301,MATCH($B277,Students!$A$2:$A$301,0))="","",INDEX(Students!$C$2:$C$301,MATCH($B277,Students!$A$2:$A$301,0))),""))</f>
        <v/>
      </c>
      <c r="J277" s="24" t="str">
        <f aca="false">IF($B277="","",IFERROR(IF(INDEX(Students!$B$2:$B$301,MATCH($B277,Students!$A$2:$A$301,0))="","",INDEX(Students!$B$2:$B$301,MATCH($B277,Students!$A$2:$A$301,0))),""))</f>
        <v/>
      </c>
      <c r="K277" s="25" t="str">
        <f aca="false">IF($A277="","",IF(D277="Withdrawn",0,IF(E277&lt;&gt;"",N(E277),IFERROR(N(INDEX(Activities!$I$2:$I$201,MATCH($A277,Activities!$A$2:$A$201,0))),0))))</f>
        <v/>
      </c>
      <c r="L277" s="24" t="str">
        <f aca="false">IF(AND($A277="",$B277=""),"",IF(ISNA(MATCH($A277,Activities!$A$2:$A$201,0)),"Unknown activity",IF(ISNA(MATCH($B277,Students!$A$2:$A$301,0)),"Unknown student",IF(D277="","No status",IF(COUNTIFS($A$2:$A$1001,$A277,$B$2:$B$1001,$B277)&gt;1,"Duplicate",IF(AND(D277&lt;&gt;"Withdrawn",G277&lt;&gt;"",COUNTIFS($B$2:$B$1001,$B277,$G$2:$G$1001,G277,$D$2:$D$1001,"&lt;&gt;Withdrawn")&gt;1),"Same-day clash","OK"))))))</f>
        <v/>
      </c>
    </row>
    <row r="278" customFormat="false" ht="15" hidden="false" customHeight="false" outlineLevel="0" collapsed="false">
      <c r="E278" s="26"/>
      <c r="G278" s="23" t="str">
        <f aca="false">IF($A278="","",IFERROR(IF(INDEX(Activities!$C$2:$C$201,MATCH($A278,Activities!$A$2:$A$201,0))="","",INDEX(Activities!$C$2:$C$201,MATCH($A278,Activities!$A$2:$A$201,0))),""))</f>
        <v/>
      </c>
      <c r="H278" s="24" t="str">
        <f aca="false">IF($A278="","",IFERROR(IF(INDEX(Activities!$B$2:$B$201,MATCH($A278,Activities!$A$2:$A$201,0))="","",INDEX(Activities!$B$2:$B$201,MATCH($A278,Activities!$A$2:$A$201,0))),""))</f>
        <v/>
      </c>
      <c r="I278" s="24" t="str">
        <f aca="false">IF($B278="","",IFERROR(IF(INDEX(Students!$C$2:$C$301,MATCH($B278,Students!$A$2:$A$301,0))="","",INDEX(Students!$C$2:$C$301,MATCH($B278,Students!$A$2:$A$301,0))),""))</f>
        <v/>
      </c>
      <c r="J278" s="24" t="str">
        <f aca="false">IF($B278="","",IFERROR(IF(INDEX(Students!$B$2:$B$301,MATCH($B278,Students!$A$2:$A$301,0))="","",INDEX(Students!$B$2:$B$301,MATCH($B278,Students!$A$2:$A$301,0))),""))</f>
        <v/>
      </c>
      <c r="K278" s="25" t="str">
        <f aca="false">IF($A278="","",IF(D278="Withdrawn",0,IF(E278&lt;&gt;"",N(E278),IFERROR(N(INDEX(Activities!$I$2:$I$201,MATCH($A278,Activities!$A$2:$A$201,0))),0))))</f>
        <v/>
      </c>
      <c r="L278" s="24" t="str">
        <f aca="false">IF(AND($A278="",$B278=""),"",IF(ISNA(MATCH($A278,Activities!$A$2:$A$201,0)),"Unknown activity",IF(ISNA(MATCH($B278,Students!$A$2:$A$301,0)),"Unknown student",IF(D278="","No status",IF(COUNTIFS($A$2:$A$1001,$A278,$B$2:$B$1001,$B278)&gt;1,"Duplicate",IF(AND(D278&lt;&gt;"Withdrawn",G278&lt;&gt;"",COUNTIFS($B$2:$B$1001,$B278,$G$2:$G$1001,G278,$D$2:$D$1001,"&lt;&gt;Withdrawn")&gt;1),"Same-day clash","OK"))))))</f>
        <v/>
      </c>
    </row>
    <row r="279" customFormat="false" ht="15" hidden="false" customHeight="false" outlineLevel="0" collapsed="false">
      <c r="E279" s="26"/>
      <c r="G279" s="23" t="str">
        <f aca="false">IF($A279="","",IFERROR(IF(INDEX(Activities!$C$2:$C$201,MATCH($A279,Activities!$A$2:$A$201,0))="","",INDEX(Activities!$C$2:$C$201,MATCH($A279,Activities!$A$2:$A$201,0))),""))</f>
        <v/>
      </c>
      <c r="H279" s="24" t="str">
        <f aca="false">IF($A279="","",IFERROR(IF(INDEX(Activities!$B$2:$B$201,MATCH($A279,Activities!$A$2:$A$201,0))="","",INDEX(Activities!$B$2:$B$201,MATCH($A279,Activities!$A$2:$A$201,0))),""))</f>
        <v/>
      </c>
      <c r="I279" s="24" t="str">
        <f aca="false">IF($B279="","",IFERROR(IF(INDEX(Students!$C$2:$C$301,MATCH($B279,Students!$A$2:$A$301,0))="","",INDEX(Students!$C$2:$C$301,MATCH($B279,Students!$A$2:$A$301,0))),""))</f>
        <v/>
      </c>
      <c r="J279" s="24" t="str">
        <f aca="false">IF($B279="","",IFERROR(IF(INDEX(Students!$B$2:$B$301,MATCH($B279,Students!$A$2:$A$301,0))="","",INDEX(Students!$B$2:$B$301,MATCH($B279,Students!$A$2:$A$301,0))),""))</f>
        <v/>
      </c>
      <c r="K279" s="25" t="str">
        <f aca="false">IF($A279="","",IF(D279="Withdrawn",0,IF(E279&lt;&gt;"",N(E279),IFERROR(N(INDEX(Activities!$I$2:$I$201,MATCH($A279,Activities!$A$2:$A$201,0))),0))))</f>
        <v/>
      </c>
      <c r="L279" s="24" t="str">
        <f aca="false">IF(AND($A279="",$B279=""),"",IF(ISNA(MATCH($A279,Activities!$A$2:$A$201,0)),"Unknown activity",IF(ISNA(MATCH($B279,Students!$A$2:$A$301,0)),"Unknown student",IF(D279="","No status",IF(COUNTIFS($A$2:$A$1001,$A279,$B$2:$B$1001,$B279)&gt;1,"Duplicate",IF(AND(D279&lt;&gt;"Withdrawn",G279&lt;&gt;"",COUNTIFS($B$2:$B$1001,$B279,$G$2:$G$1001,G279,$D$2:$D$1001,"&lt;&gt;Withdrawn")&gt;1),"Same-day clash","OK"))))))</f>
        <v/>
      </c>
    </row>
    <row r="280" customFormat="false" ht="15" hidden="false" customHeight="false" outlineLevel="0" collapsed="false">
      <c r="E280" s="26"/>
      <c r="G280" s="23" t="str">
        <f aca="false">IF($A280="","",IFERROR(IF(INDEX(Activities!$C$2:$C$201,MATCH($A280,Activities!$A$2:$A$201,0))="","",INDEX(Activities!$C$2:$C$201,MATCH($A280,Activities!$A$2:$A$201,0))),""))</f>
        <v/>
      </c>
      <c r="H280" s="24" t="str">
        <f aca="false">IF($A280="","",IFERROR(IF(INDEX(Activities!$B$2:$B$201,MATCH($A280,Activities!$A$2:$A$201,0))="","",INDEX(Activities!$B$2:$B$201,MATCH($A280,Activities!$A$2:$A$201,0))),""))</f>
        <v/>
      </c>
      <c r="I280" s="24" t="str">
        <f aca="false">IF($B280="","",IFERROR(IF(INDEX(Students!$C$2:$C$301,MATCH($B280,Students!$A$2:$A$301,0))="","",INDEX(Students!$C$2:$C$301,MATCH($B280,Students!$A$2:$A$301,0))),""))</f>
        <v/>
      </c>
      <c r="J280" s="24" t="str">
        <f aca="false">IF($B280="","",IFERROR(IF(INDEX(Students!$B$2:$B$301,MATCH($B280,Students!$A$2:$A$301,0))="","",INDEX(Students!$B$2:$B$301,MATCH($B280,Students!$A$2:$A$301,0))),""))</f>
        <v/>
      </c>
      <c r="K280" s="25" t="str">
        <f aca="false">IF($A280="","",IF(D280="Withdrawn",0,IF(E280&lt;&gt;"",N(E280),IFERROR(N(INDEX(Activities!$I$2:$I$201,MATCH($A280,Activities!$A$2:$A$201,0))),0))))</f>
        <v/>
      </c>
      <c r="L280" s="24" t="str">
        <f aca="false">IF(AND($A280="",$B280=""),"",IF(ISNA(MATCH($A280,Activities!$A$2:$A$201,0)),"Unknown activity",IF(ISNA(MATCH($B280,Students!$A$2:$A$301,0)),"Unknown student",IF(D280="","No status",IF(COUNTIFS($A$2:$A$1001,$A280,$B$2:$B$1001,$B280)&gt;1,"Duplicate",IF(AND(D280&lt;&gt;"Withdrawn",G280&lt;&gt;"",COUNTIFS($B$2:$B$1001,$B280,$G$2:$G$1001,G280,$D$2:$D$1001,"&lt;&gt;Withdrawn")&gt;1),"Same-day clash","OK"))))))</f>
        <v/>
      </c>
    </row>
    <row r="281" customFormat="false" ht="15" hidden="false" customHeight="false" outlineLevel="0" collapsed="false">
      <c r="E281" s="26"/>
      <c r="G281" s="23" t="str">
        <f aca="false">IF($A281="","",IFERROR(IF(INDEX(Activities!$C$2:$C$201,MATCH($A281,Activities!$A$2:$A$201,0))="","",INDEX(Activities!$C$2:$C$201,MATCH($A281,Activities!$A$2:$A$201,0))),""))</f>
        <v/>
      </c>
      <c r="H281" s="24" t="str">
        <f aca="false">IF($A281="","",IFERROR(IF(INDEX(Activities!$B$2:$B$201,MATCH($A281,Activities!$A$2:$A$201,0))="","",INDEX(Activities!$B$2:$B$201,MATCH($A281,Activities!$A$2:$A$201,0))),""))</f>
        <v/>
      </c>
      <c r="I281" s="24" t="str">
        <f aca="false">IF($B281="","",IFERROR(IF(INDEX(Students!$C$2:$C$301,MATCH($B281,Students!$A$2:$A$301,0))="","",INDEX(Students!$C$2:$C$301,MATCH($B281,Students!$A$2:$A$301,0))),""))</f>
        <v/>
      </c>
      <c r="J281" s="24" t="str">
        <f aca="false">IF($B281="","",IFERROR(IF(INDEX(Students!$B$2:$B$301,MATCH($B281,Students!$A$2:$A$301,0))="","",INDEX(Students!$B$2:$B$301,MATCH($B281,Students!$A$2:$A$301,0))),""))</f>
        <v/>
      </c>
      <c r="K281" s="25" t="str">
        <f aca="false">IF($A281="","",IF(D281="Withdrawn",0,IF(E281&lt;&gt;"",N(E281),IFERROR(N(INDEX(Activities!$I$2:$I$201,MATCH($A281,Activities!$A$2:$A$201,0))),0))))</f>
        <v/>
      </c>
      <c r="L281" s="24" t="str">
        <f aca="false">IF(AND($A281="",$B281=""),"",IF(ISNA(MATCH($A281,Activities!$A$2:$A$201,0)),"Unknown activity",IF(ISNA(MATCH($B281,Students!$A$2:$A$301,0)),"Unknown student",IF(D281="","No status",IF(COUNTIFS($A$2:$A$1001,$A281,$B$2:$B$1001,$B281)&gt;1,"Duplicate",IF(AND(D281&lt;&gt;"Withdrawn",G281&lt;&gt;"",COUNTIFS($B$2:$B$1001,$B281,$G$2:$G$1001,G281,$D$2:$D$1001,"&lt;&gt;Withdrawn")&gt;1),"Same-day clash","OK"))))))</f>
        <v/>
      </c>
    </row>
    <row r="282" customFormat="false" ht="15" hidden="false" customHeight="false" outlineLevel="0" collapsed="false">
      <c r="E282" s="26"/>
      <c r="G282" s="23" t="str">
        <f aca="false">IF($A282="","",IFERROR(IF(INDEX(Activities!$C$2:$C$201,MATCH($A282,Activities!$A$2:$A$201,0))="","",INDEX(Activities!$C$2:$C$201,MATCH($A282,Activities!$A$2:$A$201,0))),""))</f>
        <v/>
      </c>
      <c r="H282" s="24" t="str">
        <f aca="false">IF($A282="","",IFERROR(IF(INDEX(Activities!$B$2:$B$201,MATCH($A282,Activities!$A$2:$A$201,0))="","",INDEX(Activities!$B$2:$B$201,MATCH($A282,Activities!$A$2:$A$201,0))),""))</f>
        <v/>
      </c>
      <c r="I282" s="24" t="str">
        <f aca="false">IF($B282="","",IFERROR(IF(INDEX(Students!$C$2:$C$301,MATCH($B282,Students!$A$2:$A$301,0))="","",INDEX(Students!$C$2:$C$301,MATCH($B282,Students!$A$2:$A$301,0))),""))</f>
        <v/>
      </c>
      <c r="J282" s="24" t="str">
        <f aca="false">IF($B282="","",IFERROR(IF(INDEX(Students!$B$2:$B$301,MATCH($B282,Students!$A$2:$A$301,0))="","",INDEX(Students!$B$2:$B$301,MATCH($B282,Students!$A$2:$A$301,0))),""))</f>
        <v/>
      </c>
      <c r="K282" s="25" t="str">
        <f aca="false">IF($A282="","",IF(D282="Withdrawn",0,IF(E282&lt;&gt;"",N(E282),IFERROR(N(INDEX(Activities!$I$2:$I$201,MATCH($A282,Activities!$A$2:$A$201,0))),0))))</f>
        <v/>
      </c>
      <c r="L282" s="24" t="str">
        <f aca="false">IF(AND($A282="",$B282=""),"",IF(ISNA(MATCH($A282,Activities!$A$2:$A$201,0)),"Unknown activity",IF(ISNA(MATCH($B282,Students!$A$2:$A$301,0)),"Unknown student",IF(D282="","No status",IF(COUNTIFS($A$2:$A$1001,$A282,$B$2:$B$1001,$B282)&gt;1,"Duplicate",IF(AND(D282&lt;&gt;"Withdrawn",G282&lt;&gt;"",COUNTIFS($B$2:$B$1001,$B282,$G$2:$G$1001,G282,$D$2:$D$1001,"&lt;&gt;Withdrawn")&gt;1),"Same-day clash","OK"))))))</f>
        <v/>
      </c>
    </row>
    <row r="283" customFormat="false" ht="15" hidden="false" customHeight="false" outlineLevel="0" collapsed="false">
      <c r="E283" s="26"/>
      <c r="G283" s="23" t="str">
        <f aca="false">IF($A283="","",IFERROR(IF(INDEX(Activities!$C$2:$C$201,MATCH($A283,Activities!$A$2:$A$201,0))="","",INDEX(Activities!$C$2:$C$201,MATCH($A283,Activities!$A$2:$A$201,0))),""))</f>
        <v/>
      </c>
      <c r="H283" s="24" t="str">
        <f aca="false">IF($A283="","",IFERROR(IF(INDEX(Activities!$B$2:$B$201,MATCH($A283,Activities!$A$2:$A$201,0))="","",INDEX(Activities!$B$2:$B$201,MATCH($A283,Activities!$A$2:$A$201,0))),""))</f>
        <v/>
      </c>
      <c r="I283" s="24" t="str">
        <f aca="false">IF($B283="","",IFERROR(IF(INDEX(Students!$C$2:$C$301,MATCH($B283,Students!$A$2:$A$301,0))="","",INDEX(Students!$C$2:$C$301,MATCH($B283,Students!$A$2:$A$301,0))),""))</f>
        <v/>
      </c>
      <c r="J283" s="24" t="str">
        <f aca="false">IF($B283="","",IFERROR(IF(INDEX(Students!$B$2:$B$301,MATCH($B283,Students!$A$2:$A$301,0))="","",INDEX(Students!$B$2:$B$301,MATCH($B283,Students!$A$2:$A$301,0))),""))</f>
        <v/>
      </c>
      <c r="K283" s="25" t="str">
        <f aca="false">IF($A283="","",IF(D283="Withdrawn",0,IF(E283&lt;&gt;"",N(E283),IFERROR(N(INDEX(Activities!$I$2:$I$201,MATCH($A283,Activities!$A$2:$A$201,0))),0))))</f>
        <v/>
      </c>
      <c r="L283" s="24" t="str">
        <f aca="false">IF(AND($A283="",$B283=""),"",IF(ISNA(MATCH($A283,Activities!$A$2:$A$201,0)),"Unknown activity",IF(ISNA(MATCH($B283,Students!$A$2:$A$301,0)),"Unknown student",IF(D283="","No status",IF(COUNTIFS($A$2:$A$1001,$A283,$B$2:$B$1001,$B283)&gt;1,"Duplicate",IF(AND(D283&lt;&gt;"Withdrawn",G283&lt;&gt;"",COUNTIFS($B$2:$B$1001,$B283,$G$2:$G$1001,G283,$D$2:$D$1001,"&lt;&gt;Withdrawn")&gt;1),"Same-day clash","OK"))))))</f>
        <v/>
      </c>
    </row>
    <row r="284" customFormat="false" ht="15" hidden="false" customHeight="false" outlineLevel="0" collapsed="false">
      <c r="E284" s="26"/>
      <c r="G284" s="23" t="str">
        <f aca="false">IF($A284="","",IFERROR(IF(INDEX(Activities!$C$2:$C$201,MATCH($A284,Activities!$A$2:$A$201,0))="","",INDEX(Activities!$C$2:$C$201,MATCH($A284,Activities!$A$2:$A$201,0))),""))</f>
        <v/>
      </c>
      <c r="H284" s="24" t="str">
        <f aca="false">IF($A284="","",IFERROR(IF(INDEX(Activities!$B$2:$B$201,MATCH($A284,Activities!$A$2:$A$201,0))="","",INDEX(Activities!$B$2:$B$201,MATCH($A284,Activities!$A$2:$A$201,0))),""))</f>
        <v/>
      </c>
      <c r="I284" s="24" t="str">
        <f aca="false">IF($B284="","",IFERROR(IF(INDEX(Students!$C$2:$C$301,MATCH($B284,Students!$A$2:$A$301,0))="","",INDEX(Students!$C$2:$C$301,MATCH($B284,Students!$A$2:$A$301,0))),""))</f>
        <v/>
      </c>
      <c r="J284" s="24" t="str">
        <f aca="false">IF($B284="","",IFERROR(IF(INDEX(Students!$B$2:$B$301,MATCH($B284,Students!$A$2:$A$301,0))="","",INDEX(Students!$B$2:$B$301,MATCH($B284,Students!$A$2:$A$301,0))),""))</f>
        <v/>
      </c>
      <c r="K284" s="25" t="str">
        <f aca="false">IF($A284="","",IF(D284="Withdrawn",0,IF(E284&lt;&gt;"",N(E284),IFERROR(N(INDEX(Activities!$I$2:$I$201,MATCH($A284,Activities!$A$2:$A$201,0))),0))))</f>
        <v/>
      </c>
      <c r="L284" s="24" t="str">
        <f aca="false">IF(AND($A284="",$B284=""),"",IF(ISNA(MATCH($A284,Activities!$A$2:$A$201,0)),"Unknown activity",IF(ISNA(MATCH($B284,Students!$A$2:$A$301,0)),"Unknown student",IF(D284="","No status",IF(COUNTIFS($A$2:$A$1001,$A284,$B$2:$B$1001,$B284)&gt;1,"Duplicate",IF(AND(D284&lt;&gt;"Withdrawn",G284&lt;&gt;"",COUNTIFS($B$2:$B$1001,$B284,$G$2:$G$1001,G284,$D$2:$D$1001,"&lt;&gt;Withdrawn")&gt;1),"Same-day clash","OK"))))))</f>
        <v/>
      </c>
    </row>
    <row r="285" customFormat="false" ht="15" hidden="false" customHeight="false" outlineLevel="0" collapsed="false">
      <c r="E285" s="26"/>
      <c r="G285" s="23" t="str">
        <f aca="false">IF($A285="","",IFERROR(IF(INDEX(Activities!$C$2:$C$201,MATCH($A285,Activities!$A$2:$A$201,0))="","",INDEX(Activities!$C$2:$C$201,MATCH($A285,Activities!$A$2:$A$201,0))),""))</f>
        <v/>
      </c>
      <c r="H285" s="24" t="str">
        <f aca="false">IF($A285="","",IFERROR(IF(INDEX(Activities!$B$2:$B$201,MATCH($A285,Activities!$A$2:$A$201,0))="","",INDEX(Activities!$B$2:$B$201,MATCH($A285,Activities!$A$2:$A$201,0))),""))</f>
        <v/>
      </c>
      <c r="I285" s="24" t="str">
        <f aca="false">IF($B285="","",IFERROR(IF(INDEX(Students!$C$2:$C$301,MATCH($B285,Students!$A$2:$A$301,0))="","",INDEX(Students!$C$2:$C$301,MATCH($B285,Students!$A$2:$A$301,0))),""))</f>
        <v/>
      </c>
      <c r="J285" s="24" t="str">
        <f aca="false">IF($B285="","",IFERROR(IF(INDEX(Students!$B$2:$B$301,MATCH($B285,Students!$A$2:$A$301,0))="","",INDEX(Students!$B$2:$B$301,MATCH($B285,Students!$A$2:$A$301,0))),""))</f>
        <v/>
      </c>
      <c r="K285" s="25" t="str">
        <f aca="false">IF($A285="","",IF(D285="Withdrawn",0,IF(E285&lt;&gt;"",N(E285),IFERROR(N(INDEX(Activities!$I$2:$I$201,MATCH($A285,Activities!$A$2:$A$201,0))),0))))</f>
        <v/>
      </c>
      <c r="L285" s="24" t="str">
        <f aca="false">IF(AND($A285="",$B285=""),"",IF(ISNA(MATCH($A285,Activities!$A$2:$A$201,0)),"Unknown activity",IF(ISNA(MATCH($B285,Students!$A$2:$A$301,0)),"Unknown student",IF(D285="","No status",IF(COUNTIFS($A$2:$A$1001,$A285,$B$2:$B$1001,$B285)&gt;1,"Duplicate",IF(AND(D285&lt;&gt;"Withdrawn",G285&lt;&gt;"",COUNTIFS($B$2:$B$1001,$B285,$G$2:$G$1001,G285,$D$2:$D$1001,"&lt;&gt;Withdrawn")&gt;1),"Same-day clash","OK"))))))</f>
        <v/>
      </c>
    </row>
    <row r="286" customFormat="false" ht="15" hidden="false" customHeight="false" outlineLevel="0" collapsed="false">
      <c r="E286" s="26"/>
      <c r="G286" s="23" t="str">
        <f aca="false">IF($A286="","",IFERROR(IF(INDEX(Activities!$C$2:$C$201,MATCH($A286,Activities!$A$2:$A$201,0))="","",INDEX(Activities!$C$2:$C$201,MATCH($A286,Activities!$A$2:$A$201,0))),""))</f>
        <v/>
      </c>
      <c r="H286" s="24" t="str">
        <f aca="false">IF($A286="","",IFERROR(IF(INDEX(Activities!$B$2:$B$201,MATCH($A286,Activities!$A$2:$A$201,0))="","",INDEX(Activities!$B$2:$B$201,MATCH($A286,Activities!$A$2:$A$201,0))),""))</f>
        <v/>
      </c>
      <c r="I286" s="24" t="str">
        <f aca="false">IF($B286="","",IFERROR(IF(INDEX(Students!$C$2:$C$301,MATCH($B286,Students!$A$2:$A$301,0))="","",INDEX(Students!$C$2:$C$301,MATCH($B286,Students!$A$2:$A$301,0))),""))</f>
        <v/>
      </c>
      <c r="J286" s="24" t="str">
        <f aca="false">IF($B286="","",IFERROR(IF(INDEX(Students!$B$2:$B$301,MATCH($B286,Students!$A$2:$A$301,0))="","",INDEX(Students!$B$2:$B$301,MATCH($B286,Students!$A$2:$A$301,0))),""))</f>
        <v/>
      </c>
      <c r="K286" s="25" t="str">
        <f aca="false">IF($A286="","",IF(D286="Withdrawn",0,IF(E286&lt;&gt;"",N(E286),IFERROR(N(INDEX(Activities!$I$2:$I$201,MATCH($A286,Activities!$A$2:$A$201,0))),0))))</f>
        <v/>
      </c>
      <c r="L286" s="24" t="str">
        <f aca="false">IF(AND($A286="",$B286=""),"",IF(ISNA(MATCH($A286,Activities!$A$2:$A$201,0)),"Unknown activity",IF(ISNA(MATCH($B286,Students!$A$2:$A$301,0)),"Unknown student",IF(D286="","No status",IF(COUNTIFS($A$2:$A$1001,$A286,$B$2:$B$1001,$B286)&gt;1,"Duplicate",IF(AND(D286&lt;&gt;"Withdrawn",G286&lt;&gt;"",COUNTIFS($B$2:$B$1001,$B286,$G$2:$G$1001,G286,$D$2:$D$1001,"&lt;&gt;Withdrawn")&gt;1),"Same-day clash","OK"))))))</f>
        <v/>
      </c>
    </row>
    <row r="287" customFormat="false" ht="15" hidden="false" customHeight="false" outlineLevel="0" collapsed="false">
      <c r="E287" s="26"/>
      <c r="G287" s="23" t="str">
        <f aca="false">IF($A287="","",IFERROR(IF(INDEX(Activities!$C$2:$C$201,MATCH($A287,Activities!$A$2:$A$201,0))="","",INDEX(Activities!$C$2:$C$201,MATCH($A287,Activities!$A$2:$A$201,0))),""))</f>
        <v/>
      </c>
      <c r="H287" s="24" t="str">
        <f aca="false">IF($A287="","",IFERROR(IF(INDEX(Activities!$B$2:$B$201,MATCH($A287,Activities!$A$2:$A$201,0))="","",INDEX(Activities!$B$2:$B$201,MATCH($A287,Activities!$A$2:$A$201,0))),""))</f>
        <v/>
      </c>
      <c r="I287" s="24" t="str">
        <f aca="false">IF($B287="","",IFERROR(IF(INDEX(Students!$C$2:$C$301,MATCH($B287,Students!$A$2:$A$301,0))="","",INDEX(Students!$C$2:$C$301,MATCH($B287,Students!$A$2:$A$301,0))),""))</f>
        <v/>
      </c>
      <c r="J287" s="24" t="str">
        <f aca="false">IF($B287="","",IFERROR(IF(INDEX(Students!$B$2:$B$301,MATCH($B287,Students!$A$2:$A$301,0))="","",INDEX(Students!$B$2:$B$301,MATCH($B287,Students!$A$2:$A$301,0))),""))</f>
        <v/>
      </c>
      <c r="K287" s="25" t="str">
        <f aca="false">IF($A287="","",IF(D287="Withdrawn",0,IF(E287&lt;&gt;"",N(E287),IFERROR(N(INDEX(Activities!$I$2:$I$201,MATCH($A287,Activities!$A$2:$A$201,0))),0))))</f>
        <v/>
      </c>
      <c r="L287" s="24" t="str">
        <f aca="false">IF(AND($A287="",$B287=""),"",IF(ISNA(MATCH($A287,Activities!$A$2:$A$201,0)),"Unknown activity",IF(ISNA(MATCH($B287,Students!$A$2:$A$301,0)),"Unknown student",IF(D287="","No status",IF(COUNTIFS($A$2:$A$1001,$A287,$B$2:$B$1001,$B287)&gt;1,"Duplicate",IF(AND(D287&lt;&gt;"Withdrawn",G287&lt;&gt;"",COUNTIFS($B$2:$B$1001,$B287,$G$2:$G$1001,G287,$D$2:$D$1001,"&lt;&gt;Withdrawn")&gt;1),"Same-day clash","OK"))))))</f>
        <v/>
      </c>
    </row>
    <row r="288" customFormat="false" ht="15" hidden="false" customHeight="false" outlineLevel="0" collapsed="false">
      <c r="E288" s="26"/>
      <c r="G288" s="23" t="str">
        <f aca="false">IF($A288="","",IFERROR(IF(INDEX(Activities!$C$2:$C$201,MATCH($A288,Activities!$A$2:$A$201,0))="","",INDEX(Activities!$C$2:$C$201,MATCH($A288,Activities!$A$2:$A$201,0))),""))</f>
        <v/>
      </c>
      <c r="H288" s="24" t="str">
        <f aca="false">IF($A288="","",IFERROR(IF(INDEX(Activities!$B$2:$B$201,MATCH($A288,Activities!$A$2:$A$201,0))="","",INDEX(Activities!$B$2:$B$201,MATCH($A288,Activities!$A$2:$A$201,0))),""))</f>
        <v/>
      </c>
      <c r="I288" s="24" t="str">
        <f aca="false">IF($B288="","",IFERROR(IF(INDEX(Students!$C$2:$C$301,MATCH($B288,Students!$A$2:$A$301,0))="","",INDEX(Students!$C$2:$C$301,MATCH($B288,Students!$A$2:$A$301,0))),""))</f>
        <v/>
      </c>
      <c r="J288" s="24" t="str">
        <f aca="false">IF($B288="","",IFERROR(IF(INDEX(Students!$B$2:$B$301,MATCH($B288,Students!$A$2:$A$301,0))="","",INDEX(Students!$B$2:$B$301,MATCH($B288,Students!$A$2:$A$301,0))),""))</f>
        <v/>
      </c>
      <c r="K288" s="25" t="str">
        <f aca="false">IF($A288="","",IF(D288="Withdrawn",0,IF(E288&lt;&gt;"",N(E288),IFERROR(N(INDEX(Activities!$I$2:$I$201,MATCH($A288,Activities!$A$2:$A$201,0))),0))))</f>
        <v/>
      </c>
      <c r="L288" s="24" t="str">
        <f aca="false">IF(AND($A288="",$B288=""),"",IF(ISNA(MATCH($A288,Activities!$A$2:$A$201,0)),"Unknown activity",IF(ISNA(MATCH($B288,Students!$A$2:$A$301,0)),"Unknown student",IF(D288="","No status",IF(COUNTIFS($A$2:$A$1001,$A288,$B$2:$B$1001,$B288)&gt;1,"Duplicate",IF(AND(D288&lt;&gt;"Withdrawn",G288&lt;&gt;"",COUNTIFS($B$2:$B$1001,$B288,$G$2:$G$1001,G288,$D$2:$D$1001,"&lt;&gt;Withdrawn")&gt;1),"Same-day clash","OK"))))))</f>
        <v/>
      </c>
    </row>
    <row r="289" customFormat="false" ht="15" hidden="false" customHeight="false" outlineLevel="0" collapsed="false">
      <c r="E289" s="26"/>
      <c r="G289" s="23" t="str">
        <f aca="false">IF($A289="","",IFERROR(IF(INDEX(Activities!$C$2:$C$201,MATCH($A289,Activities!$A$2:$A$201,0))="","",INDEX(Activities!$C$2:$C$201,MATCH($A289,Activities!$A$2:$A$201,0))),""))</f>
        <v/>
      </c>
      <c r="H289" s="24" t="str">
        <f aca="false">IF($A289="","",IFERROR(IF(INDEX(Activities!$B$2:$B$201,MATCH($A289,Activities!$A$2:$A$201,0))="","",INDEX(Activities!$B$2:$B$201,MATCH($A289,Activities!$A$2:$A$201,0))),""))</f>
        <v/>
      </c>
      <c r="I289" s="24" t="str">
        <f aca="false">IF($B289="","",IFERROR(IF(INDEX(Students!$C$2:$C$301,MATCH($B289,Students!$A$2:$A$301,0))="","",INDEX(Students!$C$2:$C$301,MATCH($B289,Students!$A$2:$A$301,0))),""))</f>
        <v/>
      </c>
      <c r="J289" s="24" t="str">
        <f aca="false">IF($B289="","",IFERROR(IF(INDEX(Students!$B$2:$B$301,MATCH($B289,Students!$A$2:$A$301,0))="","",INDEX(Students!$B$2:$B$301,MATCH($B289,Students!$A$2:$A$301,0))),""))</f>
        <v/>
      </c>
      <c r="K289" s="25" t="str">
        <f aca="false">IF($A289="","",IF(D289="Withdrawn",0,IF(E289&lt;&gt;"",N(E289),IFERROR(N(INDEX(Activities!$I$2:$I$201,MATCH($A289,Activities!$A$2:$A$201,0))),0))))</f>
        <v/>
      </c>
      <c r="L289" s="24" t="str">
        <f aca="false">IF(AND($A289="",$B289=""),"",IF(ISNA(MATCH($A289,Activities!$A$2:$A$201,0)),"Unknown activity",IF(ISNA(MATCH($B289,Students!$A$2:$A$301,0)),"Unknown student",IF(D289="","No status",IF(COUNTIFS($A$2:$A$1001,$A289,$B$2:$B$1001,$B289)&gt;1,"Duplicate",IF(AND(D289&lt;&gt;"Withdrawn",G289&lt;&gt;"",COUNTIFS($B$2:$B$1001,$B289,$G$2:$G$1001,G289,$D$2:$D$1001,"&lt;&gt;Withdrawn")&gt;1),"Same-day clash","OK"))))))</f>
        <v/>
      </c>
    </row>
    <row r="290" customFormat="false" ht="15" hidden="false" customHeight="false" outlineLevel="0" collapsed="false">
      <c r="E290" s="26"/>
      <c r="G290" s="23" t="str">
        <f aca="false">IF($A290="","",IFERROR(IF(INDEX(Activities!$C$2:$C$201,MATCH($A290,Activities!$A$2:$A$201,0))="","",INDEX(Activities!$C$2:$C$201,MATCH($A290,Activities!$A$2:$A$201,0))),""))</f>
        <v/>
      </c>
      <c r="H290" s="24" t="str">
        <f aca="false">IF($A290="","",IFERROR(IF(INDEX(Activities!$B$2:$B$201,MATCH($A290,Activities!$A$2:$A$201,0))="","",INDEX(Activities!$B$2:$B$201,MATCH($A290,Activities!$A$2:$A$201,0))),""))</f>
        <v/>
      </c>
      <c r="I290" s="24" t="str">
        <f aca="false">IF($B290="","",IFERROR(IF(INDEX(Students!$C$2:$C$301,MATCH($B290,Students!$A$2:$A$301,0))="","",INDEX(Students!$C$2:$C$301,MATCH($B290,Students!$A$2:$A$301,0))),""))</f>
        <v/>
      </c>
      <c r="J290" s="24" t="str">
        <f aca="false">IF($B290="","",IFERROR(IF(INDEX(Students!$B$2:$B$301,MATCH($B290,Students!$A$2:$A$301,0))="","",INDEX(Students!$B$2:$B$301,MATCH($B290,Students!$A$2:$A$301,0))),""))</f>
        <v/>
      </c>
      <c r="K290" s="25" t="str">
        <f aca="false">IF($A290="","",IF(D290="Withdrawn",0,IF(E290&lt;&gt;"",N(E290),IFERROR(N(INDEX(Activities!$I$2:$I$201,MATCH($A290,Activities!$A$2:$A$201,0))),0))))</f>
        <v/>
      </c>
      <c r="L290" s="24" t="str">
        <f aca="false">IF(AND($A290="",$B290=""),"",IF(ISNA(MATCH($A290,Activities!$A$2:$A$201,0)),"Unknown activity",IF(ISNA(MATCH($B290,Students!$A$2:$A$301,0)),"Unknown student",IF(D290="","No status",IF(COUNTIFS($A$2:$A$1001,$A290,$B$2:$B$1001,$B290)&gt;1,"Duplicate",IF(AND(D290&lt;&gt;"Withdrawn",G290&lt;&gt;"",COUNTIFS($B$2:$B$1001,$B290,$G$2:$G$1001,G290,$D$2:$D$1001,"&lt;&gt;Withdrawn")&gt;1),"Same-day clash","OK"))))))</f>
        <v/>
      </c>
    </row>
    <row r="291" customFormat="false" ht="15" hidden="false" customHeight="false" outlineLevel="0" collapsed="false">
      <c r="E291" s="26"/>
      <c r="G291" s="23" t="str">
        <f aca="false">IF($A291="","",IFERROR(IF(INDEX(Activities!$C$2:$C$201,MATCH($A291,Activities!$A$2:$A$201,0))="","",INDEX(Activities!$C$2:$C$201,MATCH($A291,Activities!$A$2:$A$201,0))),""))</f>
        <v/>
      </c>
      <c r="H291" s="24" t="str">
        <f aca="false">IF($A291="","",IFERROR(IF(INDEX(Activities!$B$2:$B$201,MATCH($A291,Activities!$A$2:$A$201,0))="","",INDEX(Activities!$B$2:$B$201,MATCH($A291,Activities!$A$2:$A$201,0))),""))</f>
        <v/>
      </c>
      <c r="I291" s="24" t="str">
        <f aca="false">IF($B291="","",IFERROR(IF(INDEX(Students!$C$2:$C$301,MATCH($B291,Students!$A$2:$A$301,0))="","",INDEX(Students!$C$2:$C$301,MATCH($B291,Students!$A$2:$A$301,0))),""))</f>
        <v/>
      </c>
      <c r="J291" s="24" t="str">
        <f aca="false">IF($B291="","",IFERROR(IF(INDEX(Students!$B$2:$B$301,MATCH($B291,Students!$A$2:$A$301,0))="","",INDEX(Students!$B$2:$B$301,MATCH($B291,Students!$A$2:$A$301,0))),""))</f>
        <v/>
      </c>
      <c r="K291" s="25" t="str">
        <f aca="false">IF($A291="","",IF(D291="Withdrawn",0,IF(E291&lt;&gt;"",N(E291),IFERROR(N(INDEX(Activities!$I$2:$I$201,MATCH($A291,Activities!$A$2:$A$201,0))),0))))</f>
        <v/>
      </c>
      <c r="L291" s="24" t="str">
        <f aca="false">IF(AND($A291="",$B291=""),"",IF(ISNA(MATCH($A291,Activities!$A$2:$A$201,0)),"Unknown activity",IF(ISNA(MATCH($B291,Students!$A$2:$A$301,0)),"Unknown student",IF(D291="","No status",IF(COUNTIFS($A$2:$A$1001,$A291,$B$2:$B$1001,$B291)&gt;1,"Duplicate",IF(AND(D291&lt;&gt;"Withdrawn",G291&lt;&gt;"",COUNTIFS($B$2:$B$1001,$B291,$G$2:$G$1001,G291,$D$2:$D$1001,"&lt;&gt;Withdrawn")&gt;1),"Same-day clash","OK"))))))</f>
        <v/>
      </c>
    </row>
    <row r="292" customFormat="false" ht="15" hidden="false" customHeight="false" outlineLevel="0" collapsed="false">
      <c r="E292" s="26"/>
      <c r="G292" s="23" t="str">
        <f aca="false">IF($A292="","",IFERROR(IF(INDEX(Activities!$C$2:$C$201,MATCH($A292,Activities!$A$2:$A$201,0))="","",INDEX(Activities!$C$2:$C$201,MATCH($A292,Activities!$A$2:$A$201,0))),""))</f>
        <v/>
      </c>
      <c r="H292" s="24" t="str">
        <f aca="false">IF($A292="","",IFERROR(IF(INDEX(Activities!$B$2:$B$201,MATCH($A292,Activities!$A$2:$A$201,0))="","",INDEX(Activities!$B$2:$B$201,MATCH($A292,Activities!$A$2:$A$201,0))),""))</f>
        <v/>
      </c>
      <c r="I292" s="24" t="str">
        <f aca="false">IF($B292="","",IFERROR(IF(INDEX(Students!$C$2:$C$301,MATCH($B292,Students!$A$2:$A$301,0))="","",INDEX(Students!$C$2:$C$301,MATCH($B292,Students!$A$2:$A$301,0))),""))</f>
        <v/>
      </c>
      <c r="J292" s="24" t="str">
        <f aca="false">IF($B292="","",IFERROR(IF(INDEX(Students!$B$2:$B$301,MATCH($B292,Students!$A$2:$A$301,0))="","",INDEX(Students!$B$2:$B$301,MATCH($B292,Students!$A$2:$A$301,0))),""))</f>
        <v/>
      </c>
      <c r="K292" s="25" t="str">
        <f aca="false">IF($A292="","",IF(D292="Withdrawn",0,IF(E292&lt;&gt;"",N(E292),IFERROR(N(INDEX(Activities!$I$2:$I$201,MATCH($A292,Activities!$A$2:$A$201,0))),0))))</f>
        <v/>
      </c>
      <c r="L292" s="24" t="str">
        <f aca="false">IF(AND($A292="",$B292=""),"",IF(ISNA(MATCH($A292,Activities!$A$2:$A$201,0)),"Unknown activity",IF(ISNA(MATCH($B292,Students!$A$2:$A$301,0)),"Unknown student",IF(D292="","No status",IF(COUNTIFS($A$2:$A$1001,$A292,$B$2:$B$1001,$B292)&gt;1,"Duplicate",IF(AND(D292&lt;&gt;"Withdrawn",G292&lt;&gt;"",COUNTIFS($B$2:$B$1001,$B292,$G$2:$G$1001,G292,$D$2:$D$1001,"&lt;&gt;Withdrawn")&gt;1),"Same-day clash","OK"))))))</f>
        <v/>
      </c>
    </row>
    <row r="293" customFormat="false" ht="15" hidden="false" customHeight="false" outlineLevel="0" collapsed="false">
      <c r="E293" s="26"/>
      <c r="G293" s="23" t="str">
        <f aca="false">IF($A293="","",IFERROR(IF(INDEX(Activities!$C$2:$C$201,MATCH($A293,Activities!$A$2:$A$201,0))="","",INDEX(Activities!$C$2:$C$201,MATCH($A293,Activities!$A$2:$A$201,0))),""))</f>
        <v/>
      </c>
      <c r="H293" s="24" t="str">
        <f aca="false">IF($A293="","",IFERROR(IF(INDEX(Activities!$B$2:$B$201,MATCH($A293,Activities!$A$2:$A$201,0))="","",INDEX(Activities!$B$2:$B$201,MATCH($A293,Activities!$A$2:$A$201,0))),""))</f>
        <v/>
      </c>
      <c r="I293" s="24" t="str">
        <f aca="false">IF($B293="","",IFERROR(IF(INDEX(Students!$C$2:$C$301,MATCH($B293,Students!$A$2:$A$301,0))="","",INDEX(Students!$C$2:$C$301,MATCH($B293,Students!$A$2:$A$301,0))),""))</f>
        <v/>
      </c>
      <c r="J293" s="24" t="str">
        <f aca="false">IF($B293="","",IFERROR(IF(INDEX(Students!$B$2:$B$301,MATCH($B293,Students!$A$2:$A$301,0))="","",INDEX(Students!$B$2:$B$301,MATCH($B293,Students!$A$2:$A$301,0))),""))</f>
        <v/>
      </c>
      <c r="K293" s="25" t="str">
        <f aca="false">IF($A293="","",IF(D293="Withdrawn",0,IF(E293&lt;&gt;"",N(E293),IFERROR(N(INDEX(Activities!$I$2:$I$201,MATCH($A293,Activities!$A$2:$A$201,0))),0))))</f>
        <v/>
      </c>
      <c r="L293" s="24" t="str">
        <f aca="false">IF(AND($A293="",$B293=""),"",IF(ISNA(MATCH($A293,Activities!$A$2:$A$201,0)),"Unknown activity",IF(ISNA(MATCH($B293,Students!$A$2:$A$301,0)),"Unknown student",IF(D293="","No status",IF(COUNTIFS($A$2:$A$1001,$A293,$B$2:$B$1001,$B293)&gt;1,"Duplicate",IF(AND(D293&lt;&gt;"Withdrawn",G293&lt;&gt;"",COUNTIFS($B$2:$B$1001,$B293,$G$2:$G$1001,G293,$D$2:$D$1001,"&lt;&gt;Withdrawn")&gt;1),"Same-day clash","OK"))))))</f>
        <v/>
      </c>
    </row>
    <row r="294" customFormat="false" ht="15" hidden="false" customHeight="false" outlineLevel="0" collapsed="false">
      <c r="E294" s="26"/>
      <c r="G294" s="23" t="str">
        <f aca="false">IF($A294="","",IFERROR(IF(INDEX(Activities!$C$2:$C$201,MATCH($A294,Activities!$A$2:$A$201,0))="","",INDEX(Activities!$C$2:$C$201,MATCH($A294,Activities!$A$2:$A$201,0))),""))</f>
        <v/>
      </c>
      <c r="H294" s="24" t="str">
        <f aca="false">IF($A294="","",IFERROR(IF(INDEX(Activities!$B$2:$B$201,MATCH($A294,Activities!$A$2:$A$201,0))="","",INDEX(Activities!$B$2:$B$201,MATCH($A294,Activities!$A$2:$A$201,0))),""))</f>
        <v/>
      </c>
      <c r="I294" s="24" t="str">
        <f aca="false">IF($B294="","",IFERROR(IF(INDEX(Students!$C$2:$C$301,MATCH($B294,Students!$A$2:$A$301,0))="","",INDEX(Students!$C$2:$C$301,MATCH($B294,Students!$A$2:$A$301,0))),""))</f>
        <v/>
      </c>
      <c r="J294" s="24" t="str">
        <f aca="false">IF($B294="","",IFERROR(IF(INDEX(Students!$B$2:$B$301,MATCH($B294,Students!$A$2:$A$301,0))="","",INDEX(Students!$B$2:$B$301,MATCH($B294,Students!$A$2:$A$301,0))),""))</f>
        <v/>
      </c>
      <c r="K294" s="25" t="str">
        <f aca="false">IF($A294="","",IF(D294="Withdrawn",0,IF(E294&lt;&gt;"",N(E294),IFERROR(N(INDEX(Activities!$I$2:$I$201,MATCH($A294,Activities!$A$2:$A$201,0))),0))))</f>
        <v/>
      </c>
      <c r="L294" s="24" t="str">
        <f aca="false">IF(AND($A294="",$B294=""),"",IF(ISNA(MATCH($A294,Activities!$A$2:$A$201,0)),"Unknown activity",IF(ISNA(MATCH($B294,Students!$A$2:$A$301,0)),"Unknown student",IF(D294="","No status",IF(COUNTIFS($A$2:$A$1001,$A294,$B$2:$B$1001,$B294)&gt;1,"Duplicate",IF(AND(D294&lt;&gt;"Withdrawn",G294&lt;&gt;"",COUNTIFS($B$2:$B$1001,$B294,$G$2:$G$1001,G294,$D$2:$D$1001,"&lt;&gt;Withdrawn")&gt;1),"Same-day clash","OK"))))))</f>
        <v/>
      </c>
    </row>
    <row r="295" customFormat="false" ht="15" hidden="false" customHeight="false" outlineLevel="0" collapsed="false">
      <c r="E295" s="26"/>
      <c r="G295" s="23" t="str">
        <f aca="false">IF($A295="","",IFERROR(IF(INDEX(Activities!$C$2:$C$201,MATCH($A295,Activities!$A$2:$A$201,0))="","",INDEX(Activities!$C$2:$C$201,MATCH($A295,Activities!$A$2:$A$201,0))),""))</f>
        <v/>
      </c>
      <c r="H295" s="24" t="str">
        <f aca="false">IF($A295="","",IFERROR(IF(INDEX(Activities!$B$2:$B$201,MATCH($A295,Activities!$A$2:$A$201,0))="","",INDEX(Activities!$B$2:$B$201,MATCH($A295,Activities!$A$2:$A$201,0))),""))</f>
        <v/>
      </c>
      <c r="I295" s="24" t="str">
        <f aca="false">IF($B295="","",IFERROR(IF(INDEX(Students!$C$2:$C$301,MATCH($B295,Students!$A$2:$A$301,0))="","",INDEX(Students!$C$2:$C$301,MATCH($B295,Students!$A$2:$A$301,0))),""))</f>
        <v/>
      </c>
      <c r="J295" s="24" t="str">
        <f aca="false">IF($B295="","",IFERROR(IF(INDEX(Students!$B$2:$B$301,MATCH($B295,Students!$A$2:$A$301,0))="","",INDEX(Students!$B$2:$B$301,MATCH($B295,Students!$A$2:$A$301,0))),""))</f>
        <v/>
      </c>
      <c r="K295" s="25" t="str">
        <f aca="false">IF($A295="","",IF(D295="Withdrawn",0,IF(E295&lt;&gt;"",N(E295),IFERROR(N(INDEX(Activities!$I$2:$I$201,MATCH($A295,Activities!$A$2:$A$201,0))),0))))</f>
        <v/>
      </c>
      <c r="L295" s="24" t="str">
        <f aca="false">IF(AND($A295="",$B295=""),"",IF(ISNA(MATCH($A295,Activities!$A$2:$A$201,0)),"Unknown activity",IF(ISNA(MATCH($B295,Students!$A$2:$A$301,0)),"Unknown student",IF(D295="","No status",IF(COUNTIFS($A$2:$A$1001,$A295,$B$2:$B$1001,$B295)&gt;1,"Duplicate",IF(AND(D295&lt;&gt;"Withdrawn",G295&lt;&gt;"",COUNTIFS($B$2:$B$1001,$B295,$G$2:$G$1001,G295,$D$2:$D$1001,"&lt;&gt;Withdrawn")&gt;1),"Same-day clash","OK"))))))</f>
        <v/>
      </c>
    </row>
    <row r="296" customFormat="false" ht="15" hidden="false" customHeight="false" outlineLevel="0" collapsed="false">
      <c r="E296" s="26"/>
      <c r="G296" s="23" t="str">
        <f aca="false">IF($A296="","",IFERROR(IF(INDEX(Activities!$C$2:$C$201,MATCH($A296,Activities!$A$2:$A$201,0))="","",INDEX(Activities!$C$2:$C$201,MATCH($A296,Activities!$A$2:$A$201,0))),""))</f>
        <v/>
      </c>
      <c r="H296" s="24" t="str">
        <f aca="false">IF($A296="","",IFERROR(IF(INDEX(Activities!$B$2:$B$201,MATCH($A296,Activities!$A$2:$A$201,0))="","",INDEX(Activities!$B$2:$B$201,MATCH($A296,Activities!$A$2:$A$201,0))),""))</f>
        <v/>
      </c>
      <c r="I296" s="24" t="str">
        <f aca="false">IF($B296="","",IFERROR(IF(INDEX(Students!$C$2:$C$301,MATCH($B296,Students!$A$2:$A$301,0))="","",INDEX(Students!$C$2:$C$301,MATCH($B296,Students!$A$2:$A$301,0))),""))</f>
        <v/>
      </c>
      <c r="J296" s="24" t="str">
        <f aca="false">IF($B296="","",IFERROR(IF(INDEX(Students!$B$2:$B$301,MATCH($B296,Students!$A$2:$A$301,0))="","",INDEX(Students!$B$2:$B$301,MATCH($B296,Students!$A$2:$A$301,0))),""))</f>
        <v/>
      </c>
      <c r="K296" s="25" t="str">
        <f aca="false">IF($A296="","",IF(D296="Withdrawn",0,IF(E296&lt;&gt;"",N(E296),IFERROR(N(INDEX(Activities!$I$2:$I$201,MATCH($A296,Activities!$A$2:$A$201,0))),0))))</f>
        <v/>
      </c>
      <c r="L296" s="24" t="str">
        <f aca="false">IF(AND($A296="",$B296=""),"",IF(ISNA(MATCH($A296,Activities!$A$2:$A$201,0)),"Unknown activity",IF(ISNA(MATCH($B296,Students!$A$2:$A$301,0)),"Unknown student",IF(D296="","No status",IF(COUNTIFS($A$2:$A$1001,$A296,$B$2:$B$1001,$B296)&gt;1,"Duplicate",IF(AND(D296&lt;&gt;"Withdrawn",G296&lt;&gt;"",COUNTIFS($B$2:$B$1001,$B296,$G$2:$G$1001,G296,$D$2:$D$1001,"&lt;&gt;Withdrawn")&gt;1),"Same-day clash","OK"))))))</f>
        <v/>
      </c>
    </row>
    <row r="297" customFormat="false" ht="15" hidden="false" customHeight="false" outlineLevel="0" collapsed="false">
      <c r="E297" s="26"/>
      <c r="G297" s="23" t="str">
        <f aca="false">IF($A297="","",IFERROR(IF(INDEX(Activities!$C$2:$C$201,MATCH($A297,Activities!$A$2:$A$201,0))="","",INDEX(Activities!$C$2:$C$201,MATCH($A297,Activities!$A$2:$A$201,0))),""))</f>
        <v/>
      </c>
      <c r="H297" s="24" t="str">
        <f aca="false">IF($A297="","",IFERROR(IF(INDEX(Activities!$B$2:$B$201,MATCH($A297,Activities!$A$2:$A$201,0))="","",INDEX(Activities!$B$2:$B$201,MATCH($A297,Activities!$A$2:$A$201,0))),""))</f>
        <v/>
      </c>
      <c r="I297" s="24" t="str">
        <f aca="false">IF($B297="","",IFERROR(IF(INDEX(Students!$C$2:$C$301,MATCH($B297,Students!$A$2:$A$301,0))="","",INDEX(Students!$C$2:$C$301,MATCH($B297,Students!$A$2:$A$301,0))),""))</f>
        <v/>
      </c>
      <c r="J297" s="24" t="str">
        <f aca="false">IF($B297="","",IFERROR(IF(INDEX(Students!$B$2:$B$301,MATCH($B297,Students!$A$2:$A$301,0))="","",INDEX(Students!$B$2:$B$301,MATCH($B297,Students!$A$2:$A$301,0))),""))</f>
        <v/>
      </c>
      <c r="K297" s="25" t="str">
        <f aca="false">IF($A297="","",IF(D297="Withdrawn",0,IF(E297&lt;&gt;"",N(E297),IFERROR(N(INDEX(Activities!$I$2:$I$201,MATCH($A297,Activities!$A$2:$A$201,0))),0))))</f>
        <v/>
      </c>
      <c r="L297" s="24" t="str">
        <f aca="false">IF(AND($A297="",$B297=""),"",IF(ISNA(MATCH($A297,Activities!$A$2:$A$201,0)),"Unknown activity",IF(ISNA(MATCH($B297,Students!$A$2:$A$301,0)),"Unknown student",IF(D297="","No status",IF(COUNTIFS($A$2:$A$1001,$A297,$B$2:$B$1001,$B297)&gt;1,"Duplicate",IF(AND(D297&lt;&gt;"Withdrawn",G297&lt;&gt;"",COUNTIFS($B$2:$B$1001,$B297,$G$2:$G$1001,G297,$D$2:$D$1001,"&lt;&gt;Withdrawn")&gt;1),"Same-day clash","OK"))))))</f>
        <v/>
      </c>
    </row>
    <row r="298" customFormat="false" ht="15" hidden="false" customHeight="false" outlineLevel="0" collapsed="false">
      <c r="E298" s="26"/>
      <c r="G298" s="23" t="str">
        <f aca="false">IF($A298="","",IFERROR(IF(INDEX(Activities!$C$2:$C$201,MATCH($A298,Activities!$A$2:$A$201,0))="","",INDEX(Activities!$C$2:$C$201,MATCH($A298,Activities!$A$2:$A$201,0))),""))</f>
        <v/>
      </c>
      <c r="H298" s="24" t="str">
        <f aca="false">IF($A298="","",IFERROR(IF(INDEX(Activities!$B$2:$B$201,MATCH($A298,Activities!$A$2:$A$201,0))="","",INDEX(Activities!$B$2:$B$201,MATCH($A298,Activities!$A$2:$A$201,0))),""))</f>
        <v/>
      </c>
      <c r="I298" s="24" t="str">
        <f aca="false">IF($B298="","",IFERROR(IF(INDEX(Students!$C$2:$C$301,MATCH($B298,Students!$A$2:$A$301,0))="","",INDEX(Students!$C$2:$C$301,MATCH($B298,Students!$A$2:$A$301,0))),""))</f>
        <v/>
      </c>
      <c r="J298" s="24" t="str">
        <f aca="false">IF($B298="","",IFERROR(IF(INDEX(Students!$B$2:$B$301,MATCH($B298,Students!$A$2:$A$301,0))="","",INDEX(Students!$B$2:$B$301,MATCH($B298,Students!$A$2:$A$301,0))),""))</f>
        <v/>
      </c>
      <c r="K298" s="25" t="str">
        <f aca="false">IF($A298="","",IF(D298="Withdrawn",0,IF(E298&lt;&gt;"",N(E298),IFERROR(N(INDEX(Activities!$I$2:$I$201,MATCH($A298,Activities!$A$2:$A$201,0))),0))))</f>
        <v/>
      </c>
      <c r="L298" s="24" t="str">
        <f aca="false">IF(AND($A298="",$B298=""),"",IF(ISNA(MATCH($A298,Activities!$A$2:$A$201,0)),"Unknown activity",IF(ISNA(MATCH($B298,Students!$A$2:$A$301,0)),"Unknown student",IF(D298="","No status",IF(COUNTIFS($A$2:$A$1001,$A298,$B$2:$B$1001,$B298)&gt;1,"Duplicate",IF(AND(D298&lt;&gt;"Withdrawn",G298&lt;&gt;"",COUNTIFS($B$2:$B$1001,$B298,$G$2:$G$1001,G298,$D$2:$D$1001,"&lt;&gt;Withdrawn")&gt;1),"Same-day clash","OK"))))))</f>
        <v/>
      </c>
    </row>
    <row r="299" customFormat="false" ht="15" hidden="false" customHeight="false" outlineLevel="0" collapsed="false">
      <c r="E299" s="26"/>
      <c r="G299" s="23" t="str">
        <f aca="false">IF($A299="","",IFERROR(IF(INDEX(Activities!$C$2:$C$201,MATCH($A299,Activities!$A$2:$A$201,0))="","",INDEX(Activities!$C$2:$C$201,MATCH($A299,Activities!$A$2:$A$201,0))),""))</f>
        <v/>
      </c>
      <c r="H299" s="24" t="str">
        <f aca="false">IF($A299="","",IFERROR(IF(INDEX(Activities!$B$2:$B$201,MATCH($A299,Activities!$A$2:$A$201,0))="","",INDEX(Activities!$B$2:$B$201,MATCH($A299,Activities!$A$2:$A$201,0))),""))</f>
        <v/>
      </c>
      <c r="I299" s="24" t="str">
        <f aca="false">IF($B299="","",IFERROR(IF(INDEX(Students!$C$2:$C$301,MATCH($B299,Students!$A$2:$A$301,0))="","",INDEX(Students!$C$2:$C$301,MATCH($B299,Students!$A$2:$A$301,0))),""))</f>
        <v/>
      </c>
      <c r="J299" s="24" t="str">
        <f aca="false">IF($B299="","",IFERROR(IF(INDEX(Students!$B$2:$B$301,MATCH($B299,Students!$A$2:$A$301,0))="","",INDEX(Students!$B$2:$B$301,MATCH($B299,Students!$A$2:$A$301,0))),""))</f>
        <v/>
      </c>
      <c r="K299" s="25" t="str">
        <f aca="false">IF($A299="","",IF(D299="Withdrawn",0,IF(E299&lt;&gt;"",N(E299),IFERROR(N(INDEX(Activities!$I$2:$I$201,MATCH($A299,Activities!$A$2:$A$201,0))),0))))</f>
        <v/>
      </c>
      <c r="L299" s="24" t="str">
        <f aca="false">IF(AND($A299="",$B299=""),"",IF(ISNA(MATCH($A299,Activities!$A$2:$A$201,0)),"Unknown activity",IF(ISNA(MATCH($B299,Students!$A$2:$A$301,0)),"Unknown student",IF(D299="","No status",IF(COUNTIFS($A$2:$A$1001,$A299,$B$2:$B$1001,$B299)&gt;1,"Duplicate",IF(AND(D299&lt;&gt;"Withdrawn",G299&lt;&gt;"",COUNTIFS($B$2:$B$1001,$B299,$G$2:$G$1001,G299,$D$2:$D$1001,"&lt;&gt;Withdrawn")&gt;1),"Same-day clash","OK"))))))</f>
        <v/>
      </c>
    </row>
    <row r="300" customFormat="false" ht="15" hidden="false" customHeight="false" outlineLevel="0" collapsed="false">
      <c r="E300" s="26"/>
      <c r="G300" s="23" t="str">
        <f aca="false">IF($A300="","",IFERROR(IF(INDEX(Activities!$C$2:$C$201,MATCH($A300,Activities!$A$2:$A$201,0))="","",INDEX(Activities!$C$2:$C$201,MATCH($A300,Activities!$A$2:$A$201,0))),""))</f>
        <v/>
      </c>
      <c r="H300" s="24" t="str">
        <f aca="false">IF($A300="","",IFERROR(IF(INDEX(Activities!$B$2:$B$201,MATCH($A300,Activities!$A$2:$A$201,0))="","",INDEX(Activities!$B$2:$B$201,MATCH($A300,Activities!$A$2:$A$201,0))),""))</f>
        <v/>
      </c>
      <c r="I300" s="24" t="str">
        <f aca="false">IF($B300="","",IFERROR(IF(INDEX(Students!$C$2:$C$301,MATCH($B300,Students!$A$2:$A$301,0))="","",INDEX(Students!$C$2:$C$301,MATCH($B300,Students!$A$2:$A$301,0))),""))</f>
        <v/>
      </c>
      <c r="J300" s="24" t="str">
        <f aca="false">IF($B300="","",IFERROR(IF(INDEX(Students!$B$2:$B$301,MATCH($B300,Students!$A$2:$A$301,0))="","",INDEX(Students!$B$2:$B$301,MATCH($B300,Students!$A$2:$A$301,0))),""))</f>
        <v/>
      </c>
      <c r="K300" s="25" t="str">
        <f aca="false">IF($A300="","",IF(D300="Withdrawn",0,IF(E300&lt;&gt;"",N(E300),IFERROR(N(INDEX(Activities!$I$2:$I$201,MATCH($A300,Activities!$A$2:$A$201,0))),0))))</f>
        <v/>
      </c>
      <c r="L300" s="24" t="str">
        <f aca="false">IF(AND($A300="",$B300=""),"",IF(ISNA(MATCH($A300,Activities!$A$2:$A$201,0)),"Unknown activity",IF(ISNA(MATCH($B300,Students!$A$2:$A$301,0)),"Unknown student",IF(D300="","No status",IF(COUNTIFS($A$2:$A$1001,$A300,$B$2:$B$1001,$B300)&gt;1,"Duplicate",IF(AND(D300&lt;&gt;"Withdrawn",G300&lt;&gt;"",COUNTIFS($B$2:$B$1001,$B300,$G$2:$G$1001,G300,$D$2:$D$1001,"&lt;&gt;Withdrawn")&gt;1),"Same-day clash","OK"))))))</f>
        <v/>
      </c>
    </row>
    <row r="301" customFormat="false" ht="15" hidden="false" customHeight="false" outlineLevel="0" collapsed="false">
      <c r="E301" s="26"/>
      <c r="G301" s="23" t="str">
        <f aca="false">IF($A301="","",IFERROR(IF(INDEX(Activities!$C$2:$C$201,MATCH($A301,Activities!$A$2:$A$201,0))="","",INDEX(Activities!$C$2:$C$201,MATCH($A301,Activities!$A$2:$A$201,0))),""))</f>
        <v/>
      </c>
      <c r="H301" s="24" t="str">
        <f aca="false">IF($A301="","",IFERROR(IF(INDEX(Activities!$B$2:$B$201,MATCH($A301,Activities!$A$2:$A$201,0))="","",INDEX(Activities!$B$2:$B$201,MATCH($A301,Activities!$A$2:$A$201,0))),""))</f>
        <v/>
      </c>
      <c r="I301" s="24" t="str">
        <f aca="false">IF($B301="","",IFERROR(IF(INDEX(Students!$C$2:$C$301,MATCH($B301,Students!$A$2:$A$301,0))="","",INDEX(Students!$C$2:$C$301,MATCH($B301,Students!$A$2:$A$301,0))),""))</f>
        <v/>
      </c>
      <c r="J301" s="24" t="str">
        <f aca="false">IF($B301="","",IFERROR(IF(INDEX(Students!$B$2:$B$301,MATCH($B301,Students!$A$2:$A$301,0))="","",INDEX(Students!$B$2:$B$301,MATCH($B301,Students!$A$2:$A$301,0))),""))</f>
        <v/>
      </c>
      <c r="K301" s="25" t="str">
        <f aca="false">IF($A301="","",IF(D301="Withdrawn",0,IF(E301&lt;&gt;"",N(E301),IFERROR(N(INDEX(Activities!$I$2:$I$201,MATCH($A301,Activities!$A$2:$A$201,0))),0))))</f>
        <v/>
      </c>
      <c r="L301" s="24" t="str">
        <f aca="false">IF(AND($A301="",$B301=""),"",IF(ISNA(MATCH($A301,Activities!$A$2:$A$201,0)),"Unknown activity",IF(ISNA(MATCH($B301,Students!$A$2:$A$301,0)),"Unknown student",IF(D301="","No status",IF(COUNTIFS($A$2:$A$1001,$A301,$B$2:$B$1001,$B301)&gt;1,"Duplicate",IF(AND(D301&lt;&gt;"Withdrawn",G301&lt;&gt;"",COUNTIFS($B$2:$B$1001,$B301,$G$2:$G$1001,G301,$D$2:$D$1001,"&lt;&gt;Withdrawn")&gt;1),"Same-day clash","OK"))))))</f>
        <v/>
      </c>
    </row>
    <row r="302" customFormat="false" ht="15" hidden="false" customHeight="false" outlineLevel="0" collapsed="false">
      <c r="E302" s="26"/>
      <c r="G302" s="23" t="str">
        <f aca="false">IF($A302="","",IFERROR(IF(INDEX(Activities!$C$2:$C$201,MATCH($A302,Activities!$A$2:$A$201,0))="","",INDEX(Activities!$C$2:$C$201,MATCH($A302,Activities!$A$2:$A$201,0))),""))</f>
        <v/>
      </c>
      <c r="H302" s="24" t="str">
        <f aca="false">IF($A302="","",IFERROR(IF(INDEX(Activities!$B$2:$B$201,MATCH($A302,Activities!$A$2:$A$201,0))="","",INDEX(Activities!$B$2:$B$201,MATCH($A302,Activities!$A$2:$A$201,0))),""))</f>
        <v/>
      </c>
      <c r="I302" s="24" t="str">
        <f aca="false">IF($B302="","",IFERROR(IF(INDEX(Students!$C$2:$C$301,MATCH($B302,Students!$A$2:$A$301,0))="","",INDEX(Students!$C$2:$C$301,MATCH($B302,Students!$A$2:$A$301,0))),""))</f>
        <v/>
      </c>
      <c r="J302" s="24" t="str">
        <f aca="false">IF($B302="","",IFERROR(IF(INDEX(Students!$B$2:$B$301,MATCH($B302,Students!$A$2:$A$301,0))="","",INDEX(Students!$B$2:$B$301,MATCH($B302,Students!$A$2:$A$301,0))),""))</f>
        <v/>
      </c>
      <c r="K302" s="25" t="str">
        <f aca="false">IF($A302="","",IF(D302="Withdrawn",0,IF(E302&lt;&gt;"",N(E302),IFERROR(N(INDEX(Activities!$I$2:$I$201,MATCH($A302,Activities!$A$2:$A$201,0))),0))))</f>
        <v/>
      </c>
      <c r="L302" s="24" t="str">
        <f aca="false">IF(AND($A302="",$B302=""),"",IF(ISNA(MATCH($A302,Activities!$A$2:$A$201,0)),"Unknown activity",IF(ISNA(MATCH($B302,Students!$A$2:$A$301,0)),"Unknown student",IF(D302="","No status",IF(COUNTIFS($A$2:$A$1001,$A302,$B$2:$B$1001,$B302)&gt;1,"Duplicate",IF(AND(D302&lt;&gt;"Withdrawn",G302&lt;&gt;"",COUNTIFS($B$2:$B$1001,$B302,$G$2:$G$1001,G302,$D$2:$D$1001,"&lt;&gt;Withdrawn")&gt;1),"Same-day clash","OK"))))))</f>
        <v/>
      </c>
    </row>
    <row r="303" customFormat="false" ht="15" hidden="false" customHeight="false" outlineLevel="0" collapsed="false">
      <c r="E303" s="26"/>
      <c r="G303" s="23" t="str">
        <f aca="false">IF($A303="","",IFERROR(IF(INDEX(Activities!$C$2:$C$201,MATCH($A303,Activities!$A$2:$A$201,0))="","",INDEX(Activities!$C$2:$C$201,MATCH($A303,Activities!$A$2:$A$201,0))),""))</f>
        <v/>
      </c>
      <c r="H303" s="24" t="str">
        <f aca="false">IF($A303="","",IFERROR(IF(INDEX(Activities!$B$2:$B$201,MATCH($A303,Activities!$A$2:$A$201,0))="","",INDEX(Activities!$B$2:$B$201,MATCH($A303,Activities!$A$2:$A$201,0))),""))</f>
        <v/>
      </c>
      <c r="I303" s="24" t="str">
        <f aca="false">IF($B303="","",IFERROR(IF(INDEX(Students!$C$2:$C$301,MATCH($B303,Students!$A$2:$A$301,0))="","",INDEX(Students!$C$2:$C$301,MATCH($B303,Students!$A$2:$A$301,0))),""))</f>
        <v/>
      </c>
      <c r="J303" s="24" t="str">
        <f aca="false">IF($B303="","",IFERROR(IF(INDEX(Students!$B$2:$B$301,MATCH($B303,Students!$A$2:$A$301,0))="","",INDEX(Students!$B$2:$B$301,MATCH($B303,Students!$A$2:$A$301,0))),""))</f>
        <v/>
      </c>
      <c r="K303" s="25" t="str">
        <f aca="false">IF($A303="","",IF(D303="Withdrawn",0,IF(E303&lt;&gt;"",N(E303),IFERROR(N(INDEX(Activities!$I$2:$I$201,MATCH($A303,Activities!$A$2:$A$201,0))),0))))</f>
        <v/>
      </c>
      <c r="L303" s="24" t="str">
        <f aca="false">IF(AND($A303="",$B303=""),"",IF(ISNA(MATCH($A303,Activities!$A$2:$A$201,0)),"Unknown activity",IF(ISNA(MATCH($B303,Students!$A$2:$A$301,0)),"Unknown student",IF(D303="","No status",IF(COUNTIFS($A$2:$A$1001,$A303,$B$2:$B$1001,$B303)&gt;1,"Duplicate",IF(AND(D303&lt;&gt;"Withdrawn",G303&lt;&gt;"",COUNTIFS($B$2:$B$1001,$B303,$G$2:$G$1001,G303,$D$2:$D$1001,"&lt;&gt;Withdrawn")&gt;1),"Same-day clash","OK"))))))</f>
        <v/>
      </c>
    </row>
    <row r="304" customFormat="false" ht="15" hidden="false" customHeight="false" outlineLevel="0" collapsed="false">
      <c r="E304" s="26"/>
      <c r="G304" s="23" t="str">
        <f aca="false">IF($A304="","",IFERROR(IF(INDEX(Activities!$C$2:$C$201,MATCH($A304,Activities!$A$2:$A$201,0))="","",INDEX(Activities!$C$2:$C$201,MATCH($A304,Activities!$A$2:$A$201,0))),""))</f>
        <v/>
      </c>
      <c r="H304" s="24" t="str">
        <f aca="false">IF($A304="","",IFERROR(IF(INDEX(Activities!$B$2:$B$201,MATCH($A304,Activities!$A$2:$A$201,0))="","",INDEX(Activities!$B$2:$B$201,MATCH($A304,Activities!$A$2:$A$201,0))),""))</f>
        <v/>
      </c>
      <c r="I304" s="24" t="str">
        <f aca="false">IF($B304="","",IFERROR(IF(INDEX(Students!$C$2:$C$301,MATCH($B304,Students!$A$2:$A$301,0))="","",INDEX(Students!$C$2:$C$301,MATCH($B304,Students!$A$2:$A$301,0))),""))</f>
        <v/>
      </c>
      <c r="J304" s="24" t="str">
        <f aca="false">IF($B304="","",IFERROR(IF(INDEX(Students!$B$2:$B$301,MATCH($B304,Students!$A$2:$A$301,0))="","",INDEX(Students!$B$2:$B$301,MATCH($B304,Students!$A$2:$A$301,0))),""))</f>
        <v/>
      </c>
      <c r="K304" s="25" t="str">
        <f aca="false">IF($A304="","",IF(D304="Withdrawn",0,IF(E304&lt;&gt;"",N(E304),IFERROR(N(INDEX(Activities!$I$2:$I$201,MATCH($A304,Activities!$A$2:$A$201,0))),0))))</f>
        <v/>
      </c>
      <c r="L304" s="24" t="str">
        <f aca="false">IF(AND($A304="",$B304=""),"",IF(ISNA(MATCH($A304,Activities!$A$2:$A$201,0)),"Unknown activity",IF(ISNA(MATCH($B304,Students!$A$2:$A$301,0)),"Unknown student",IF(D304="","No status",IF(COUNTIFS($A$2:$A$1001,$A304,$B$2:$B$1001,$B304)&gt;1,"Duplicate",IF(AND(D304&lt;&gt;"Withdrawn",G304&lt;&gt;"",COUNTIFS($B$2:$B$1001,$B304,$G$2:$G$1001,G304,$D$2:$D$1001,"&lt;&gt;Withdrawn")&gt;1),"Same-day clash","OK"))))))</f>
        <v/>
      </c>
    </row>
    <row r="305" customFormat="false" ht="15" hidden="false" customHeight="false" outlineLevel="0" collapsed="false">
      <c r="E305" s="26"/>
      <c r="G305" s="23" t="str">
        <f aca="false">IF($A305="","",IFERROR(IF(INDEX(Activities!$C$2:$C$201,MATCH($A305,Activities!$A$2:$A$201,0))="","",INDEX(Activities!$C$2:$C$201,MATCH($A305,Activities!$A$2:$A$201,0))),""))</f>
        <v/>
      </c>
      <c r="H305" s="24" t="str">
        <f aca="false">IF($A305="","",IFERROR(IF(INDEX(Activities!$B$2:$B$201,MATCH($A305,Activities!$A$2:$A$201,0))="","",INDEX(Activities!$B$2:$B$201,MATCH($A305,Activities!$A$2:$A$201,0))),""))</f>
        <v/>
      </c>
      <c r="I305" s="24" t="str">
        <f aca="false">IF($B305="","",IFERROR(IF(INDEX(Students!$C$2:$C$301,MATCH($B305,Students!$A$2:$A$301,0))="","",INDEX(Students!$C$2:$C$301,MATCH($B305,Students!$A$2:$A$301,0))),""))</f>
        <v/>
      </c>
      <c r="J305" s="24" t="str">
        <f aca="false">IF($B305="","",IFERROR(IF(INDEX(Students!$B$2:$B$301,MATCH($B305,Students!$A$2:$A$301,0))="","",INDEX(Students!$B$2:$B$301,MATCH($B305,Students!$A$2:$A$301,0))),""))</f>
        <v/>
      </c>
      <c r="K305" s="25" t="str">
        <f aca="false">IF($A305="","",IF(D305="Withdrawn",0,IF(E305&lt;&gt;"",N(E305),IFERROR(N(INDEX(Activities!$I$2:$I$201,MATCH($A305,Activities!$A$2:$A$201,0))),0))))</f>
        <v/>
      </c>
      <c r="L305" s="24" t="str">
        <f aca="false">IF(AND($A305="",$B305=""),"",IF(ISNA(MATCH($A305,Activities!$A$2:$A$201,0)),"Unknown activity",IF(ISNA(MATCH($B305,Students!$A$2:$A$301,0)),"Unknown student",IF(D305="","No status",IF(COUNTIFS($A$2:$A$1001,$A305,$B$2:$B$1001,$B305)&gt;1,"Duplicate",IF(AND(D305&lt;&gt;"Withdrawn",G305&lt;&gt;"",COUNTIFS($B$2:$B$1001,$B305,$G$2:$G$1001,G305,$D$2:$D$1001,"&lt;&gt;Withdrawn")&gt;1),"Same-day clash","OK"))))))</f>
        <v/>
      </c>
    </row>
    <row r="306" customFormat="false" ht="15" hidden="false" customHeight="false" outlineLevel="0" collapsed="false">
      <c r="E306" s="26"/>
      <c r="G306" s="23" t="str">
        <f aca="false">IF($A306="","",IFERROR(IF(INDEX(Activities!$C$2:$C$201,MATCH($A306,Activities!$A$2:$A$201,0))="","",INDEX(Activities!$C$2:$C$201,MATCH($A306,Activities!$A$2:$A$201,0))),""))</f>
        <v/>
      </c>
      <c r="H306" s="24" t="str">
        <f aca="false">IF($A306="","",IFERROR(IF(INDEX(Activities!$B$2:$B$201,MATCH($A306,Activities!$A$2:$A$201,0))="","",INDEX(Activities!$B$2:$B$201,MATCH($A306,Activities!$A$2:$A$201,0))),""))</f>
        <v/>
      </c>
      <c r="I306" s="24" t="str">
        <f aca="false">IF($B306="","",IFERROR(IF(INDEX(Students!$C$2:$C$301,MATCH($B306,Students!$A$2:$A$301,0))="","",INDEX(Students!$C$2:$C$301,MATCH($B306,Students!$A$2:$A$301,0))),""))</f>
        <v/>
      </c>
      <c r="J306" s="24" t="str">
        <f aca="false">IF($B306="","",IFERROR(IF(INDEX(Students!$B$2:$B$301,MATCH($B306,Students!$A$2:$A$301,0))="","",INDEX(Students!$B$2:$B$301,MATCH($B306,Students!$A$2:$A$301,0))),""))</f>
        <v/>
      </c>
      <c r="K306" s="25" t="str">
        <f aca="false">IF($A306="","",IF(D306="Withdrawn",0,IF(E306&lt;&gt;"",N(E306),IFERROR(N(INDEX(Activities!$I$2:$I$201,MATCH($A306,Activities!$A$2:$A$201,0))),0))))</f>
        <v/>
      </c>
      <c r="L306" s="24" t="str">
        <f aca="false">IF(AND($A306="",$B306=""),"",IF(ISNA(MATCH($A306,Activities!$A$2:$A$201,0)),"Unknown activity",IF(ISNA(MATCH($B306,Students!$A$2:$A$301,0)),"Unknown student",IF(D306="","No status",IF(COUNTIFS($A$2:$A$1001,$A306,$B$2:$B$1001,$B306)&gt;1,"Duplicate",IF(AND(D306&lt;&gt;"Withdrawn",G306&lt;&gt;"",COUNTIFS($B$2:$B$1001,$B306,$G$2:$G$1001,G306,$D$2:$D$1001,"&lt;&gt;Withdrawn")&gt;1),"Same-day clash","OK"))))))</f>
        <v/>
      </c>
    </row>
    <row r="307" customFormat="false" ht="15" hidden="false" customHeight="false" outlineLevel="0" collapsed="false">
      <c r="E307" s="26"/>
      <c r="G307" s="23" t="str">
        <f aca="false">IF($A307="","",IFERROR(IF(INDEX(Activities!$C$2:$C$201,MATCH($A307,Activities!$A$2:$A$201,0))="","",INDEX(Activities!$C$2:$C$201,MATCH($A307,Activities!$A$2:$A$201,0))),""))</f>
        <v/>
      </c>
      <c r="H307" s="24" t="str">
        <f aca="false">IF($A307="","",IFERROR(IF(INDEX(Activities!$B$2:$B$201,MATCH($A307,Activities!$A$2:$A$201,0))="","",INDEX(Activities!$B$2:$B$201,MATCH($A307,Activities!$A$2:$A$201,0))),""))</f>
        <v/>
      </c>
      <c r="I307" s="24" t="str">
        <f aca="false">IF($B307="","",IFERROR(IF(INDEX(Students!$C$2:$C$301,MATCH($B307,Students!$A$2:$A$301,0))="","",INDEX(Students!$C$2:$C$301,MATCH($B307,Students!$A$2:$A$301,0))),""))</f>
        <v/>
      </c>
      <c r="J307" s="24" t="str">
        <f aca="false">IF($B307="","",IFERROR(IF(INDEX(Students!$B$2:$B$301,MATCH($B307,Students!$A$2:$A$301,0))="","",INDEX(Students!$B$2:$B$301,MATCH($B307,Students!$A$2:$A$301,0))),""))</f>
        <v/>
      </c>
      <c r="K307" s="25" t="str">
        <f aca="false">IF($A307="","",IF(D307="Withdrawn",0,IF(E307&lt;&gt;"",N(E307),IFERROR(N(INDEX(Activities!$I$2:$I$201,MATCH($A307,Activities!$A$2:$A$201,0))),0))))</f>
        <v/>
      </c>
      <c r="L307" s="24" t="str">
        <f aca="false">IF(AND($A307="",$B307=""),"",IF(ISNA(MATCH($A307,Activities!$A$2:$A$201,0)),"Unknown activity",IF(ISNA(MATCH($B307,Students!$A$2:$A$301,0)),"Unknown student",IF(D307="","No status",IF(COUNTIFS($A$2:$A$1001,$A307,$B$2:$B$1001,$B307)&gt;1,"Duplicate",IF(AND(D307&lt;&gt;"Withdrawn",G307&lt;&gt;"",COUNTIFS($B$2:$B$1001,$B307,$G$2:$G$1001,G307,$D$2:$D$1001,"&lt;&gt;Withdrawn")&gt;1),"Same-day clash","OK"))))))</f>
        <v/>
      </c>
    </row>
    <row r="308" customFormat="false" ht="15" hidden="false" customHeight="false" outlineLevel="0" collapsed="false">
      <c r="E308" s="26"/>
      <c r="G308" s="23" t="str">
        <f aca="false">IF($A308="","",IFERROR(IF(INDEX(Activities!$C$2:$C$201,MATCH($A308,Activities!$A$2:$A$201,0))="","",INDEX(Activities!$C$2:$C$201,MATCH($A308,Activities!$A$2:$A$201,0))),""))</f>
        <v/>
      </c>
      <c r="H308" s="24" t="str">
        <f aca="false">IF($A308="","",IFERROR(IF(INDEX(Activities!$B$2:$B$201,MATCH($A308,Activities!$A$2:$A$201,0))="","",INDEX(Activities!$B$2:$B$201,MATCH($A308,Activities!$A$2:$A$201,0))),""))</f>
        <v/>
      </c>
      <c r="I308" s="24" t="str">
        <f aca="false">IF($B308="","",IFERROR(IF(INDEX(Students!$C$2:$C$301,MATCH($B308,Students!$A$2:$A$301,0))="","",INDEX(Students!$C$2:$C$301,MATCH($B308,Students!$A$2:$A$301,0))),""))</f>
        <v/>
      </c>
      <c r="J308" s="24" t="str">
        <f aca="false">IF($B308="","",IFERROR(IF(INDEX(Students!$B$2:$B$301,MATCH($B308,Students!$A$2:$A$301,0))="","",INDEX(Students!$B$2:$B$301,MATCH($B308,Students!$A$2:$A$301,0))),""))</f>
        <v/>
      </c>
      <c r="K308" s="25" t="str">
        <f aca="false">IF($A308="","",IF(D308="Withdrawn",0,IF(E308&lt;&gt;"",N(E308),IFERROR(N(INDEX(Activities!$I$2:$I$201,MATCH($A308,Activities!$A$2:$A$201,0))),0))))</f>
        <v/>
      </c>
      <c r="L308" s="24" t="str">
        <f aca="false">IF(AND($A308="",$B308=""),"",IF(ISNA(MATCH($A308,Activities!$A$2:$A$201,0)),"Unknown activity",IF(ISNA(MATCH($B308,Students!$A$2:$A$301,0)),"Unknown student",IF(D308="","No status",IF(COUNTIFS($A$2:$A$1001,$A308,$B$2:$B$1001,$B308)&gt;1,"Duplicate",IF(AND(D308&lt;&gt;"Withdrawn",G308&lt;&gt;"",COUNTIFS($B$2:$B$1001,$B308,$G$2:$G$1001,G308,$D$2:$D$1001,"&lt;&gt;Withdrawn")&gt;1),"Same-day clash","OK"))))))</f>
        <v/>
      </c>
    </row>
    <row r="309" customFormat="false" ht="15" hidden="false" customHeight="false" outlineLevel="0" collapsed="false">
      <c r="E309" s="26"/>
      <c r="G309" s="23" t="str">
        <f aca="false">IF($A309="","",IFERROR(IF(INDEX(Activities!$C$2:$C$201,MATCH($A309,Activities!$A$2:$A$201,0))="","",INDEX(Activities!$C$2:$C$201,MATCH($A309,Activities!$A$2:$A$201,0))),""))</f>
        <v/>
      </c>
      <c r="H309" s="24" t="str">
        <f aca="false">IF($A309="","",IFERROR(IF(INDEX(Activities!$B$2:$B$201,MATCH($A309,Activities!$A$2:$A$201,0))="","",INDEX(Activities!$B$2:$B$201,MATCH($A309,Activities!$A$2:$A$201,0))),""))</f>
        <v/>
      </c>
      <c r="I309" s="24" t="str">
        <f aca="false">IF($B309="","",IFERROR(IF(INDEX(Students!$C$2:$C$301,MATCH($B309,Students!$A$2:$A$301,0))="","",INDEX(Students!$C$2:$C$301,MATCH($B309,Students!$A$2:$A$301,0))),""))</f>
        <v/>
      </c>
      <c r="J309" s="24" t="str">
        <f aca="false">IF($B309="","",IFERROR(IF(INDEX(Students!$B$2:$B$301,MATCH($B309,Students!$A$2:$A$301,0))="","",INDEX(Students!$B$2:$B$301,MATCH($B309,Students!$A$2:$A$301,0))),""))</f>
        <v/>
      </c>
      <c r="K309" s="25" t="str">
        <f aca="false">IF($A309="","",IF(D309="Withdrawn",0,IF(E309&lt;&gt;"",N(E309),IFERROR(N(INDEX(Activities!$I$2:$I$201,MATCH($A309,Activities!$A$2:$A$201,0))),0))))</f>
        <v/>
      </c>
      <c r="L309" s="24" t="str">
        <f aca="false">IF(AND($A309="",$B309=""),"",IF(ISNA(MATCH($A309,Activities!$A$2:$A$201,0)),"Unknown activity",IF(ISNA(MATCH($B309,Students!$A$2:$A$301,0)),"Unknown student",IF(D309="","No status",IF(COUNTIFS($A$2:$A$1001,$A309,$B$2:$B$1001,$B309)&gt;1,"Duplicate",IF(AND(D309&lt;&gt;"Withdrawn",G309&lt;&gt;"",COUNTIFS($B$2:$B$1001,$B309,$G$2:$G$1001,G309,$D$2:$D$1001,"&lt;&gt;Withdrawn")&gt;1),"Same-day clash","OK"))))))</f>
        <v/>
      </c>
    </row>
    <row r="310" customFormat="false" ht="15" hidden="false" customHeight="false" outlineLevel="0" collapsed="false">
      <c r="E310" s="26"/>
      <c r="G310" s="23" t="str">
        <f aca="false">IF($A310="","",IFERROR(IF(INDEX(Activities!$C$2:$C$201,MATCH($A310,Activities!$A$2:$A$201,0))="","",INDEX(Activities!$C$2:$C$201,MATCH($A310,Activities!$A$2:$A$201,0))),""))</f>
        <v/>
      </c>
      <c r="H310" s="24" t="str">
        <f aca="false">IF($A310="","",IFERROR(IF(INDEX(Activities!$B$2:$B$201,MATCH($A310,Activities!$A$2:$A$201,0))="","",INDEX(Activities!$B$2:$B$201,MATCH($A310,Activities!$A$2:$A$201,0))),""))</f>
        <v/>
      </c>
      <c r="I310" s="24" t="str">
        <f aca="false">IF($B310="","",IFERROR(IF(INDEX(Students!$C$2:$C$301,MATCH($B310,Students!$A$2:$A$301,0))="","",INDEX(Students!$C$2:$C$301,MATCH($B310,Students!$A$2:$A$301,0))),""))</f>
        <v/>
      </c>
      <c r="J310" s="24" t="str">
        <f aca="false">IF($B310="","",IFERROR(IF(INDEX(Students!$B$2:$B$301,MATCH($B310,Students!$A$2:$A$301,0))="","",INDEX(Students!$B$2:$B$301,MATCH($B310,Students!$A$2:$A$301,0))),""))</f>
        <v/>
      </c>
      <c r="K310" s="25" t="str">
        <f aca="false">IF($A310="","",IF(D310="Withdrawn",0,IF(E310&lt;&gt;"",N(E310),IFERROR(N(INDEX(Activities!$I$2:$I$201,MATCH($A310,Activities!$A$2:$A$201,0))),0))))</f>
        <v/>
      </c>
      <c r="L310" s="24" t="str">
        <f aca="false">IF(AND($A310="",$B310=""),"",IF(ISNA(MATCH($A310,Activities!$A$2:$A$201,0)),"Unknown activity",IF(ISNA(MATCH($B310,Students!$A$2:$A$301,0)),"Unknown student",IF(D310="","No status",IF(COUNTIFS($A$2:$A$1001,$A310,$B$2:$B$1001,$B310)&gt;1,"Duplicate",IF(AND(D310&lt;&gt;"Withdrawn",G310&lt;&gt;"",COUNTIFS($B$2:$B$1001,$B310,$G$2:$G$1001,G310,$D$2:$D$1001,"&lt;&gt;Withdrawn")&gt;1),"Same-day clash","OK"))))))</f>
        <v/>
      </c>
    </row>
    <row r="311" customFormat="false" ht="15" hidden="false" customHeight="false" outlineLevel="0" collapsed="false">
      <c r="E311" s="26"/>
      <c r="G311" s="23" t="str">
        <f aca="false">IF($A311="","",IFERROR(IF(INDEX(Activities!$C$2:$C$201,MATCH($A311,Activities!$A$2:$A$201,0))="","",INDEX(Activities!$C$2:$C$201,MATCH($A311,Activities!$A$2:$A$201,0))),""))</f>
        <v/>
      </c>
      <c r="H311" s="24" t="str">
        <f aca="false">IF($A311="","",IFERROR(IF(INDEX(Activities!$B$2:$B$201,MATCH($A311,Activities!$A$2:$A$201,0))="","",INDEX(Activities!$B$2:$B$201,MATCH($A311,Activities!$A$2:$A$201,0))),""))</f>
        <v/>
      </c>
      <c r="I311" s="24" t="str">
        <f aca="false">IF($B311="","",IFERROR(IF(INDEX(Students!$C$2:$C$301,MATCH($B311,Students!$A$2:$A$301,0))="","",INDEX(Students!$C$2:$C$301,MATCH($B311,Students!$A$2:$A$301,0))),""))</f>
        <v/>
      </c>
      <c r="J311" s="24" t="str">
        <f aca="false">IF($B311="","",IFERROR(IF(INDEX(Students!$B$2:$B$301,MATCH($B311,Students!$A$2:$A$301,0))="","",INDEX(Students!$B$2:$B$301,MATCH($B311,Students!$A$2:$A$301,0))),""))</f>
        <v/>
      </c>
      <c r="K311" s="25" t="str">
        <f aca="false">IF($A311="","",IF(D311="Withdrawn",0,IF(E311&lt;&gt;"",N(E311),IFERROR(N(INDEX(Activities!$I$2:$I$201,MATCH($A311,Activities!$A$2:$A$201,0))),0))))</f>
        <v/>
      </c>
      <c r="L311" s="24" t="str">
        <f aca="false">IF(AND($A311="",$B311=""),"",IF(ISNA(MATCH($A311,Activities!$A$2:$A$201,0)),"Unknown activity",IF(ISNA(MATCH($B311,Students!$A$2:$A$301,0)),"Unknown student",IF(D311="","No status",IF(COUNTIFS($A$2:$A$1001,$A311,$B$2:$B$1001,$B311)&gt;1,"Duplicate",IF(AND(D311&lt;&gt;"Withdrawn",G311&lt;&gt;"",COUNTIFS($B$2:$B$1001,$B311,$G$2:$G$1001,G311,$D$2:$D$1001,"&lt;&gt;Withdrawn")&gt;1),"Same-day clash","OK"))))))</f>
        <v/>
      </c>
    </row>
    <row r="312" customFormat="false" ht="15" hidden="false" customHeight="false" outlineLevel="0" collapsed="false">
      <c r="E312" s="26"/>
      <c r="G312" s="23" t="str">
        <f aca="false">IF($A312="","",IFERROR(IF(INDEX(Activities!$C$2:$C$201,MATCH($A312,Activities!$A$2:$A$201,0))="","",INDEX(Activities!$C$2:$C$201,MATCH($A312,Activities!$A$2:$A$201,0))),""))</f>
        <v/>
      </c>
      <c r="H312" s="24" t="str">
        <f aca="false">IF($A312="","",IFERROR(IF(INDEX(Activities!$B$2:$B$201,MATCH($A312,Activities!$A$2:$A$201,0))="","",INDEX(Activities!$B$2:$B$201,MATCH($A312,Activities!$A$2:$A$201,0))),""))</f>
        <v/>
      </c>
      <c r="I312" s="24" t="str">
        <f aca="false">IF($B312="","",IFERROR(IF(INDEX(Students!$C$2:$C$301,MATCH($B312,Students!$A$2:$A$301,0))="","",INDEX(Students!$C$2:$C$301,MATCH($B312,Students!$A$2:$A$301,0))),""))</f>
        <v/>
      </c>
      <c r="J312" s="24" t="str">
        <f aca="false">IF($B312="","",IFERROR(IF(INDEX(Students!$B$2:$B$301,MATCH($B312,Students!$A$2:$A$301,0))="","",INDEX(Students!$B$2:$B$301,MATCH($B312,Students!$A$2:$A$301,0))),""))</f>
        <v/>
      </c>
      <c r="K312" s="25" t="str">
        <f aca="false">IF($A312="","",IF(D312="Withdrawn",0,IF(E312&lt;&gt;"",N(E312),IFERROR(N(INDEX(Activities!$I$2:$I$201,MATCH($A312,Activities!$A$2:$A$201,0))),0))))</f>
        <v/>
      </c>
      <c r="L312" s="24" t="str">
        <f aca="false">IF(AND($A312="",$B312=""),"",IF(ISNA(MATCH($A312,Activities!$A$2:$A$201,0)),"Unknown activity",IF(ISNA(MATCH($B312,Students!$A$2:$A$301,0)),"Unknown student",IF(D312="","No status",IF(COUNTIFS($A$2:$A$1001,$A312,$B$2:$B$1001,$B312)&gt;1,"Duplicate",IF(AND(D312&lt;&gt;"Withdrawn",G312&lt;&gt;"",COUNTIFS($B$2:$B$1001,$B312,$G$2:$G$1001,G312,$D$2:$D$1001,"&lt;&gt;Withdrawn")&gt;1),"Same-day clash","OK"))))))</f>
        <v/>
      </c>
    </row>
    <row r="313" customFormat="false" ht="15" hidden="false" customHeight="false" outlineLevel="0" collapsed="false">
      <c r="E313" s="26"/>
      <c r="G313" s="23" t="str">
        <f aca="false">IF($A313="","",IFERROR(IF(INDEX(Activities!$C$2:$C$201,MATCH($A313,Activities!$A$2:$A$201,0))="","",INDEX(Activities!$C$2:$C$201,MATCH($A313,Activities!$A$2:$A$201,0))),""))</f>
        <v/>
      </c>
      <c r="H313" s="24" t="str">
        <f aca="false">IF($A313="","",IFERROR(IF(INDEX(Activities!$B$2:$B$201,MATCH($A313,Activities!$A$2:$A$201,0))="","",INDEX(Activities!$B$2:$B$201,MATCH($A313,Activities!$A$2:$A$201,0))),""))</f>
        <v/>
      </c>
      <c r="I313" s="24" t="str">
        <f aca="false">IF($B313="","",IFERROR(IF(INDEX(Students!$C$2:$C$301,MATCH($B313,Students!$A$2:$A$301,0))="","",INDEX(Students!$C$2:$C$301,MATCH($B313,Students!$A$2:$A$301,0))),""))</f>
        <v/>
      </c>
      <c r="J313" s="24" t="str">
        <f aca="false">IF($B313="","",IFERROR(IF(INDEX(Students!$B$2:$B$301,MATCH($B313,Students!$A$2:$A$301,0))="","",INDEX(Students!$B$2:$B$301,MATCH($B313,Students!$A$2:$A$301,0))),""))</f>
        <v/>
      </c>
      <c r="K313" s="25" t="str">
        <f aca="false">IF($A313="","",IF(D313="Withdrawn",0,IF(E313&lt;&gt;"",N(E313),IFERROR(N(INDEX(Activities!$I$2:$I$201,MATCH($A313,Activities!$A$2:$A$201,0))),0))))</f>
        <v/>
      </c>
      <c r="L313" s="24" t="str">
        <f aca="false">IF(AND($A313="",$B313=""),"",IF(ISNA(MATCH($A313,Activities!$A$2:$A$201,0)),"Unknown activity",IF(ISNA(MATCH($B313,Students!$A$2:$A$301,0)),"Unknown student",IF(D313="","No status",IF(COUNTIFS($A$2:$A$1001,$A313,$B$2:$B$1001,$B313)&gt;1,"Duplicate",IF(AND(D313&lt;&gt;"Withdrawn",G313&lt;&gt;"",COUNTIFS($B$2:$B$1001,$B313,$G$2:$G$1001,G313,$D$2:$D$1001,"&lt;&gt;Withdrawn")&gt;1),"Same-day clash","OK"))))))</f>
        <v/>
      </c>
    </row>
    <row r="314" customFormat="false" ht="15" hidden="false" customHeight="false" outlineLevel="0" collapsed="false">
      <c r="E314" s="26"/>
      <c r="G314" s="23" t="str">
        <f aca="false">IF($A314="","",IFERROR(IF(INDEX(Activities!$C$2:$C$201,MATCH($A314,Activities!$A$2:$A$201,0))="","",INDEX(Activities!$C$2:$C$201,MATCH($A314,Activities!$A$2:$A$201,0))),""))</f>
        <v/>
      </c>
      <c r="H314" s="24" t="str">
        <f aca="false">IF($A314="","",IFERROR(IF(INDEX(Activities!$B$2:$B$201,MATCH($A314,Activities!$A$2:$A$201,0))="","",INDEX(Activities!$B$2:$B$201,MATCH($A314,Activities!$A$2:$A$201,0))),""))</f>
        <v/>
      </c>
      <c r="I314" s="24" t="str">
        <f aca="false">IF($B314="","",IFERROR(IF(INDEX(Students!$C$2:$C$301,MATCH($B314,Students!$A$2:$A$301,0))="","",INDEX(Students!$C$2:$C$301,MATCH($B314,Students!$A$2:$A$301,0))),""))</f>
        <v/>
      </c>
      <c r="J314" s="24" t="str">
        <f aca="false">IF($B314="","",IFERROR(IF(INDEX(Students!$B$2:$B$301,MATCH($B314,Students!$A$2:$A$301,0))="","",INDEX(Students!$B$2:$B$301,MATCH($B314,Students!$A$2:$A$301,0))),""))</f>
        <v/>
      </c>
      <c r="K314" s="25" t="str">
        <f aca="false">IF($A314="","",IF(D314="Withdrawn",0,IF(E314&lt;&gt;"",N(E314),IFERROR(N(INDEX(Activities!$I$2:$I$201,MATCH($A314,Activities!$A$2:$A$201,0))),0))))</f>
        <v/>
      </c>
      <c r="L314" s="24" t="str">
        <f aca="false">IF(AND($A314="",$B314=""),"",IF(ISNA(MATCH($A314,Activities!$A$2:$A$201,0)),"Unknown activity",IF(ISNA(MATCH($B314,Students!$A$2:$A$301,0)),"Unknown student",IF(D314="","No status",IF(COUNTIFS($A$2:$A$1001,$A314,$B$2:$B$1001,$B314)&gt;1,"Duplicate",IF(AND(D314&lt;&gt;"Withdrawn",G314&lt;&gt;"",COUNTIFS($B$2:$B$1001,$B314,$G$2:$G$1001,G314,$D$2:$D$1001,"&lt;&gt;Withdrawn")&gt;1),"Same-day clash","OK"))))))</f>
        <v/>
      </c>
    </row>
    <row r="315" customFormat="false" ht="15" hidden="false" customHeight="false" outlineLevel="0" collapsed="false">
      <c r="E315" s="26"/>
      <c r="G315" s="23" t="str">
        <f aca="false">IF($A315="","",IFERROR(IF(INDEX(Activities!$C$2:$C$201,MATCH($A315,Activities!$A$2:$A$201,0))="","",INDEX(Activities!$C$2:$C$201,MATCH($A315,Activities!$A$2:$A$201,0))),""))</f>
        <v/>
      </c>
      <c r="H315" s="24" t="str">
        <f aca="false">IF($A315="","",IFERROR(IF(INDEX(Activities!$B$2:$B$201,MATCH($A315,Activities!$A$2:$A$201,0))="","",INDEX(Activities!$B$2:$B$201,MATCH($A315,Activities!$A$2:$A$201,0))),""))</f>
        <v/>
      </c>
      <c r="I315" s="24" t="str">
        <f aca="false">IF($B315="","",IFERROR(IF(INDEX(Students!$C$2:$C$301,MATCH($B315,Students!$A$2:$A$301,0))="","",INDEX(Students!$C$2:$C$301,MATCH($B315,Students!$A$2:$A$301,0))),""))</f>
        <v/>
      </c>
      <c r="J315" s="24" t="str">
        <f aca="false">IF($B315="","",IFERROR(IF(INDEX(Students!$B$2:$B$301,MATCH($B315,Students!$A$2:$A$301,0))="","",INDEX(Students!$B$2:$B$301,MATCH($B315,Students!$A$2:$A$301,0))),""))</f>
        <v/>
      </c>
      <c r="K315" s="25" t="str">
        <f aca="false">IF($A315="","",IF(D315="Withdrawn",0,IF(E315&lt;&gt;"",N(E315),IFERROR(N(INDEX(Activities!$I$2:$I$201,MATCH($A315,Activities!$A$2:$A$201,0))),0))))</f>
        <v/>
      </c>
      <c r="L315" s="24" t="str">
        <f aca="false">IF(AND($A315="",$B315=""),"",IF(ISNA(MATCH($A315,Activities!$A$2:$A$201,0)),"Unknown activity",IF(ISNA(MATCH($B315,Students!$A$2:$A$301,0)),"Unknown student",IF(D315="","No status",IF(COUNTIFS($A$2:$A$1001,$A315,$B$2:$B$1001,$B315)&gt;1,"Duplicate",IF(AND(D315&lt;&gt;"Withdrawn",G315&lt;&gt;"",COUNTIFS($B$2:$B$1001,$B315,$G$2:$G$1001,G315,$D$2:$D$1001,"&lt;&gt;Withdrawn")&gt;1),"Same-day clash","OK"))))))</f>
        <v/>
      </c>
    </row>
    <row r="316" customFormat="false" ht="15" hidden="false" customHeight="false" outlineLevel="0" collapsed="false">
      <c r="E316" s="26"/>
      <c r="G316" s="23" t="str">
        <f aca="false">IF($A316="","",IFERROR(IF(INDEX(Activities!$C$2:$C$201,MATCH($A316,Activities!$A$2:$A$201,0))="","",INDEX(Activities!$C$2:$C$201,MATCH($A316,Activities!$A$2:$A$201,0))),""))</f>
        <v/>
      </c>
      <c r="H316" s="24" t="str">
        <f aca="false">IF($A316="","",IFERROR(IF(INDEX(Activities!$B$2:$B$201,MATCH($A316,Activities!$A$2:$A$201,0))="","",INDEX(Activities!$B$2:$B$201,MATCH($A316,Activities!$A$2:$A$201,0))),""))</f>
        <v/>
      </c>
      <c r="I316" s="24" t="str">
        <f aca="false">IF($B316="","",IFERROR(IF(INDEX(Students!$C$2:$C$301,MATCH($B316,Students!$A$2:$A$301,0))="","",INDEX(Students!$C$2:$C$301,MATCH($B316,Students!$A$2:$A$301,0))),""))</f>
        <v/>
      </c>
      <c r="J316" s="24" t="str">
        <f aca="false">IF($B316="","",IFERROR(IF(INDEX(Students!$B$2:$B$301,MATCH($B316,Students!$A$2:$A$301,0))="","",INDEX(Students!$B$2:$B$301,MATCH($B316,Students!$A$2:$A$301,0))),""))</f>
        <v/>
      </c>
      <c r="K316" s="25" t="str">
        <f aca="false">IF($A316="","",IF(D316="Withdrawn",0,IF(E316&lt;&gt;"",N(E316),IFERROR(N(INDEX(Activities!$I$2:$I$201,MATCH($A316,Activities!$A$2:$A$201,0))),0))))</f>
        <v/>
      </c>
      <c r="L316" s="24" t="str">
        <f aca="false">IF(AND($A316="",$B316=""),"",IF(ISNA(MATCH($A316,Activities!$A$2:$A$201,0)),"Unknown activity",IF(ISNA(MATCH($B316,Students!$A$2:$A$301,0)),"Unknown student",IF(D316="","No status",IF(COUNTIFS($A$2:$A$1001,$A316,$B$2:$B$1001,$B316)&gt;1,"Duplicate",IF(AND(D316&lt;&gt;"Withdrawn",G316&lt;&gt;"",COUNTIFS($B$2:$B$1001,$B316,$G$2:$G$1001,G316,$D$2:$D$1001,"&lt;&gt;Withdrawn")&gt;1),"Same-day clash","OK"))))))</f>
        <v/>
      </c>
    </row>
    <row r="317" customFormat="false" ht="15" hidden="false" customHeight="false" outlineLevel="0" collapsed="false">
      <c r="E317" s="26"/>
      <c r="G317" s="23" t="str">
        <f aca="false">IF($A317="","",IFERROR(IF(INDEX(Activities!$C$2:$C$201,MATCH($A317,Activities!$A$2:$A$201,0))="","",INDEX(Activities!$C$2:$C$201,MATCH($A317,Activities!$A$2:$A$201,0))),""))</f>
        <v/>
      </c>
      <c r="H317" s="24" t="str">
        <f aca="false">IF($A317="","",IFERROR(IF(INDEX(Activities!$B$2:$B$201,MATCH($A317,Activities!$A$2:$A$201,0))="","",INDEX(Activities!$B$2:$B$201,MATCH($A317,Activities!$A$2:$A$201,0))),""))</f>
        <v/>
      </c>
      <c r="I317" s="24" t="str">
        <f aca="false">IF($B317="","",IFERROR(IF(INDEX(Students!$C$2:$C$301,MATCH($B317,Students!$A$2:$A$301,0))="","",INDEX(Students!$C$2:$C$301,MATCH($B317,Students!$A$2:$A$301,0))),""))</f>
        <v/>
      </c>
      <c r="J317" s="24" t="str">
        <f aca="false">IF($B317="","",IFERROR(IF(INDEX(Students!$B$2:$B$301,MATCH($B317,Students!$A$2:$A$301,0))="","",INDEX(Students!$B$2:$B$301,MATCH($B317,Students!$A$2:$A$301,0))),""))</f>
        <v/>
      </c>
      <c r="K317" s="25" t="str">
        <f aca="false">IF($A317="","",IF(D317="Withdrawn",0,IF(E317&lt;&gt;"",N(E317),IFERROR(N(INDEX(Activities!$I$2:$I$201,MATCH($A317,Activities!$A$2:$A$201,0))),0))))</f>
        <v/>
      </c>
      <c r="L317" s="24" t="str">
        <f aca="false">IF(AND($A317="",$B317=""),"",IF(ISNA(MATCH($A317,Activities!$A$2:$A$201,0)),"Unknown activity",IF(ISNA(MATCH($B317,Students!$A$2:$A$301,0)),"Unknown student",IF(D317="","No status",IF(COUNTIFS($A$2:$A$1001,$A317,$B$2:$B$1001,$B317)&gt;1,"Duplicate",IF(AND(D317&lt;&gt;"Withdrawn",G317&lt;&gt;"",COUNTIFS($B$2:$B$1001,$B317,$G$2:$G$1001,G317,$D$2:$D$1001,"&lt;&gt;Withdrawn")&gt;1),"Same-day clash","OK"))))))</f>
        <v/>
      </c>
    </row>
    <row r="318" customFormat="false" ht="15" hidden="false" customHeight="false" outlineLevel="0" collapsed="false">
      <c r="E318" s="26"/>
      <c r="G318" s="23" t="str">
        <f aca="false">IF($A318="","",IFERROR(IF(INDEX(Activities!$C$2:$C$201,MATCH($A318,Activities!$A$2:$A$201,0))="","",INDEX(Activities!$C$2:$C$201,MATCH($A318,Activities!$A$2:$A$201,0))),""))</f>
        <v/>
      </c>
      <c r="H318" s="24" t="str">
        <f aca="false">IF($A318="","",IFERROR(IF(INDEX(Activities!$B$2:$B$201,MATCH($A318,Activities!$A$2:$A$201,0))="","",INDEX(Activities!$B$2:$B$201,MATCH($A318,Activities!$A$2:$A$201,0))),""))</f>
        <v/>
      </c>
      <c r="I318" s="24" t="str">
        <f aca="false">IF($B318="","",IFERROR(IF(INDEX(Students!$C$2:$C$301,MATCH($B318,Students!$A$2:$A$301,0))="","",INDEX(Students!$C$2:$C$301,MATCH($B318,Students!$A$2:$A$301,0))),""))</f>
        <v/>
      </c>
      <c r="J318" s="24" t="str">
        <f aca="false">IF($B318="","",IFERROR(IF(INDEX(Students!$B$2:$B$301,MATCH($B318,Students!$A$2:$A$301,0))="","",INDEX(Students!$B$2:$B$301,MATCH($B318,Students!$A$2:$A$301,0))),""))</f>
        <v/>
      </c>
      <c r="K318" s="25" t="str">
        <f aca="false">IF($A318="","",IF(D318="Withdrawn",0,IF(E318&lt;&gt;"",N(E318),IFERROR(N(INDEX(Activities!$I$2:$I$201,MATCH($A318,Activities!$A$2:$A$201,0))),0))))</f>
        <v/>
      </c>
      <c r="L318" s="24" t="str">
        <f aca="false">IF(AND($A318="",$B318=""),"",IF(ISNA(MATCH($A318,Activities!$A$2:$A$201,0)),"Unknown activity",IF(ISNA(MATCH($B318,Students!$A$2:$A$301,0)),"Unknown student",IF(D318="","No status",IF(COUNTIFS($A$2:$A$1001,$A318,$B$2:$B$1001,$B318)&gt;1,"Duplicate",IF(AND(D318&lt;&gt;"Withdrawn",G318&lt;&gt;"",COUNTIFS($B$2:$B$1001,$B318,$G$2:$G$1001,G318,$D$2:$D$1001,"&lt;&gt;Withdrawn")&gt;1),"Same-day clash","OK"))))))</f>
        <v/>
      </c>
    </row>
    <row r="319" customFormat="false" ht="15" hidden="false" customHeight="false" outlineLevel="0" collapsed="false">
      <c r="E319" s="26"/>
      <c r="G319" s="23" t="str">
        <f aca="false">IF($A319="","",IFERROR(IF(INDEX(Activities!$C$2:$C$201,MATCH($A319,Activities!$A$2:$A$201,0))="","",INDEX(Activities!$C$2:$C$201,MATCH($A319,Activities!$A$2:$A$201,0))),""))</f>
        <v/>
      </c>
      <c r="H319" s="24" t="str">
        <f aca="false">IF($A319="","",IFERROR(IF(INDEX(Activities!$B$2:$B$201,MATCH($A319,Activities!$A$2:$A$201,0))="","",INDEX(Activities!$B$2:$B$201,MATCH($A319,Activities!$A$2:$A$201,0))),""))</f>
        <v/>
      </c>
      <c r="I319" s="24" t="str">
        <f aca="false">IF($B319="","",IFERROR(IF(INDEX(Students!$C$2:$C$301,MATCH($B319,Students!$A$2:$A$301,0))="","",INDEX(Students!$C$2:$C$301,MATCH($B319,Students!$A$2:$A$301,0))),""))</f>
        <v/>
      </c>
      <c r="J319" s="24" t="str">
        <f aca="false">IF($B319="","",IFERROR(IF(INDEX(Students!$B$2:$B$301,MATCH($B319,Students!$A$2:$A$301,0))="","",INDEX(Students!$B$2:$B$301,MATCH($B319,Students!$A$2:$A$301,0))),""))</f>
        <v/>
      </c>
      <c r="K319" s="25" t="str">
        <f aca="false">IF($A319="","",IF(D319="Withdrawn",0,IF(E319&lt;&gt;"",N(E319),IFERROR(N(INDEX(Activities!$I$2:$I$201,MATCH($A319,Activities!$A$2:$A$201,0))),0))))</f>
        <v/>
      </c>
      <c r="L319" s="24" t="str">
        <f aca="false">IF(AND($A319="",$B319=""),"",IF(ISNA(MATCH($A319,Activities!$A$2:$A$201,0)),"Unknown activity",IF(ISNA(MATCH($B319,Students!$A$2:$A$301,0)),"Unknown student",IF(D319="","No status",IF(COUNTIFS($A$2:$A$1001,$A319,$B$2:$B$1001,$B319)&gt;1,"Duplicate",IF(AND(D319&lt;&gt;"Withdrawn",G319&lt;&gt;"",COUNTIFS($B$2:$B$1001,$B319,$G$2:$G$1001,G319,$D$2:$D$1001,"&lt;&gt;Withdrawn")&gt;1),"Same-day clash","OK"))))))</f>
        <v/>
      </c>
    </row>
    <row r="320" customFormat="false" ht="15" hidden="false" customHeight="false" outlineLevel="0" collapsed="false">
      <c r="E320" s="26"/>
      <c r="G320" s="23" t="str">
        <f aca="false">IF($A320="","",IFERROR(IF(INDEX(Activities!$C$2:$C$201,MATCH($A320,Activities!$A$2:$A$201,0))="","",INDEX(Activities!$C$2:$C$201,MATCH($A320,Activities!$A$2:$A$201,0))),""))</f>
        <v/>
      </c>
      <c r="H320" s="24" t="str">
        <f aca="false">IF($A320="","",IFERROR(IF(INDEX(Activities!$B$2:$B$201,MATCH($A320,Activities!$A$2:$A$201,0))="","",INDEX(Activities!$B$2:$B$201,MATCH($A320,Activities!$A$2:$A$201,0))),""))</f>
        <v/>
      </c>
      <c r="I320" s="24" t="str">
        <f aca="false">IF($B320="","",IFERROR(IF(INDEX(Students!$C$2:$C$301,MATCH($B320,Students!$A$2:$A$301,0))="","",INDEX(Students!$C$2:$C$301,MATCH($B320,Students!$A$2:$A$301,0))),""))</f>
        <v/>
      </c>
      <c r="J320" s="24" t="str">
        <f aca="false">IF($B320="","",IFERROR(IF(INDEX(Students!$B$2:$B$301,MATCH($B320,Students!$A$2:$A$301,0))="","",INDEX(Students!$B$2:$B$301,MATCH($B320,Students!$A$2:$A$301,0))),""))</f>
        <v/>
      </c>
      <c r="K320" s="25" t="str">
        <f aca="false">IF($A320="","",IF(D320="Withdrawn",0,IF(E320&lt;&gt;"",N(E320),IFERROR(N(INDEX(Activities!$I$2:$I$201,MATCH($A320,Activities!$A$2:$A$201,0))),0))))</f>
        <v/>
      </c>
      <c r="L320" s="24" t="str">
        <f aca="false">IF(AND($A320="",$B320=""),"",IF(ISNA(MATCH($A320,Activities!$A$2:$A$201,0)),"Unknown activity",IF(ISNA(MATCH($B320,Students!$A$2:$A$301,0)),"Unknown student",IF(D320="","No status",IF(COUNTIFS($A$2:$A$1001,$A320,$B$2:$B$1001,$B320)&gt;1,"Duplicate",IF(AND(D320&lt;&gt;"Withdrawn",G320&lt;&gt;"",COUNTIFS($B$2:$B$1001,$B320,$G$2:$G$1001,G320,$D$2:$D$1001,"&lt;&gt;Withdrawn")&gt;1),"Same-day clash","OK"))))))</f>
        <v/>
      </c>
    </row>
    <row r="321" customFormat="false" ht="15" hidden="false" customHeight="false" outlineLevel="0" collapsed="false">
      <c r="E321" s="26"/>
      <c r="G321" s="23" t="str">
        <f aca="false">IF($A321="","",IFERROR(IF(INDEX(Activities!$C$2:$C$201,MATCH($A321,Activities!$A$2:$A$201,0))="","",INDEX(Activities!$C$2:$C$201,MATCH($A321,Activities!$A$2:$A$201,0))),""))</f>
        <v/>
      </c>
      <c r="H321" s="24" t="str">
        <f aca="false">IF($A321="","",IFERROR(IF(INDEX(Activities!$B$2:$B$201,MATCH($A321,Activities!$A$2:$A$201,0))="","",INDEX(Activities!$B$2:$B$201,MATCH($A321,Activities!$A$2:$A$201,0))),""))</f>
        <v/>
      </c>
      <c r="I321" s="24" t="str">
        <f aca="false">IF($B321="","",IFERROR(IF(INDEX(Students!$C$2:$C$301,MATCH($B321,Students!$A$2:$A$301,0))="","",INDEX(Students!$C$2:$C$301,MATCH($B321,Students!$A$2:$A$301,0))),""))</f>
        <v/>
      </c>
      <c r="J321" s="24" t="str">
        <f aca="false">IF($B321="","",IFERROR(IF(INDEX(Students!$B$2:$B$301,MATCH($B321,Students!$A$2:$A$301,0))="","",INDEX(Students!$B$2:$B$301,MATCH($B321,Students!$A$2:$A$301,0))),""))</f>
        <v/>
      </c>
      <c r="K321" s="25" t="str">
        <f aca="false">IF($A321="","",IF(D321="Withdrawn",0,IF(E321&lt;&gt;"",N(E321),IFERROR(N(INDEX(Activities!$I$2:$I$201,MATCH($A321,Activities!$A$2:$A$201,0))),0))))</f>
        <v/>
      </c>
      <c r="L321" s="24" t="str">
        <f aca="false">IF(AND($A321="",$B321=""),"",IF(ISNA(MATCH($A321,Activities!$A$2:$A$201,0)),"Unknown activity",IF(ISNA(MATCH($B321,Students!$A$2:$A$301,0)),"Unknown student",IF(D321="","No status",IF(COUNTIFS($A$2:$A$1001,$A321,$B$2:$B$1001,$B321)&gt;1,"Duplicate",IF(AND(D321&lt;&gt;"Withdrawn",G321&lt;&gt;"",COUNTIFS($B$2:$B$1001,$B321,$G$2:$G$1001,G321,$D$2:$D$1001,"&lt;&gt;Withdrawn")&gt;1),"Same-day clash","OK"))))))</f>
        <v/>
      </c>
    </row>
    <row r="322" customFormat="false" ht="15" hidden="false" customHeight="false" outlineLevel="0" collapsed="false">
      <c r="E322" s="26"/>
      <c r="G322" s="23" t="str">
        <f aca="false">IF($A322="","",IFERROR(IF(INDEX(Activities!$C$2:$C$201,MATCH($A322,Activities!$A$2:$A$201,0))="","",INDEX(Activities!$C$2:$C$201,MATCH($A322,Activities!$A$2:$A$201,0))),""))</f>
        <v/>
      </c>
      <c r="H322" s="24" t="str">
        <f aca="false">IF($A322="","",IFERROR(IF(INDEX(Activities!$B$2:$B$201,MATCH($A322,Activities!$A$2:$A$201,0))="","",INDEX(Activities!$B$2:$B$201,MATCH($A322,Activities!$A$2:$A$201,0))),""))</f>
        <v/>
      </c>
      <c r="I322" s="24" t="str">
        <f aca="false">IF($B322="","",IFERROR(IF(INDEX(Students!$C$2:$C$301,MATCH($B322,Students!$A$2:$A$301,0))="","",INDEX(Students!$C$2:$C$301,MATCH($B322,Students!$A$2:$A$301,0))),""))</f>
        <v/>
      </c>
      <c r="J322" s="24" t="str">
        <f aca="false">IF($B322="","",IFERROR(IF(INDEX(Students!$B$2:$B$301,MATCH($B322,Students!$A$2:$A$301,0))="","",INDEX(Students!$B$2:$B$301,MATCH($B322,Students!$A$2:$A$301,0))),""))</f>
        <v/>
      </c>
      <c r="K322" s="25" t="str">
        <f aca="false">IF($A322="","",IF(D322="Withdrawn",0,IF(E322&lt;&gt;"",N(E322),IFERROR(N(INDEX(Activities!$I$2:$I$201,MATCH($A322,Activities!$A$2:$A$201,0))),0))))</f>
        <v/>
      </c>
      <c r="L322" s="24" t="str">
        <f aca="false">IF(AND($A322="",$B322=""),"",IF(ISNA(MATCH($A322,Activities!$A$2:$A$201,0)),"Unknown activity",IF(ISNA(MATCH($B322,Students!$A$2:$A$301,0)),"Unknown student",IF(D322="","No status",IF(COUNTIFS($A$2:$A$1001,$A322,$B$2:$B$1001,$B322)&gt;1,"Duplicate",IF(AND(D322&lt;&gt;"Withdrawn",G322&lt;&gt;"",COUNTIFS($B$2:$B$1001,$B322,$G$2:$G$1001,G322,$D$2:$D$1001,"&lt;&gt;Withdrawn")&gt;1),"Same-day clash","OK"))))))</f>
        <v/>
      </c>
    </row>
    <row r="323" customFormat="false" ht="15" hidden="false" customHeight="false" outlineLevel="0" collapsed="false">
      <c r="E323" s="26"/>
      <c r="G323" s="23" t="str">
        <f aca="false">IF($A323="","",IFERROR(IF(INDEX(Activities!$C$2:$C$201,MATCH($A323,Activities!$A$2:$A$201,0))="","",INDEX(Activities!$C$2:$C$201,MATCH($A323,Activities!$A$2:$A$201,0))),""))</f>
        <v/>
      </c>
      <c r="H323" s="24" t="str">
        <f aca="false">IF($A323="","",IFERROR(IF(INDEX(Activities!$B$2:$B$201,MATCH($A323,Activities!$A$2:$A$201,0))="","",INDEX(Activities!$B$2:$B$201,MATCH($A323,Activities!$A$2:$A$201,0))),""))</f>
        <v/>
      </c>
      <c r="I323" s="24" t="str">
        <f aca="false">IF($B323="","",IFERROR(IF(INDEX(Students!$C$2:$C$301,MATCH($B323,Students!$A$2:$A$301,0))="","",INDEX(Students!$C$2:$C$301,MATCH($B323,Students!$A$2:$A$301,0))),""))</f>
        <v/>
      </c>
      <c r="J323" s="24" t="str">
        <f aca="false">IF($B323="","",IFERROR(IF(INDEX(Students!$B$2:$B$301,MATCH($B323,Students!$A$2:$A$301,0))="","",INDEX(Students!$B$2:$B$301,MATCH($B323,Students!$A$2:$A$301,0))),""))</f>
        <v/>
      </c>
      <c r="K323" s="25" t="str">
        <f aca="false">IF($A323="","",IF(D323="Withdrawn",0,IF(E323&lt;&gt;"",N(E323),IFERROR(N(INDEX(Activities!$I$2:$I$201,MATCH($A323,Activities!$A$2:$A$201,0))),0))))</f>
        <v/>
      </c>
      <c r="L323" s="24" t="str">
        <f aca="false">IF(AND($A323="",$B323=""),"",IF(ISNA(MATCH($A323,Activities!$A$2:$A$201,0)),"Unknown activity",IF(ISNA(MATCH($B323,Students!$A$2:$A$301,0)),"Unknown student",IF(D323="","No status",IF(COUNTIFS($A$2:$A$1001,$A323,$B$2:$B$1001,$B323)&gt;1,"Duplicate",IF(AND(D323&lt;&gt;"Withdrawn",G323&lt;&gt;"",COUNTIFS($B$2:$B$1001,$B323,$G$2:$G$1001,G323,$D$2:$D$1001,"&lt;&gt;Withdrawn")&gt;1),"Same-day clash","OK"))))))</f>
        <v/>
      </c>
    </row>
    <row r="324" customFormat="false" ht="15" hidden="false" customHeight="false" outlineLevel="0" collapsed="false">
      <c r="E324" s="26"/>
      <c r="G324" s="23" t="str">
        <f aca="false">IF($A324="","",IFERROR(IF(INDEX(Activities!$C$2:$C$201,MATCH($A324,Activities!$A$2:$A$201,0))="","",INDEX(Activities!$C$2:$C$201,MATCH($A324,Activities!$A$2:$A$201,0))),""))</f>
        <v/>
      </c>
      <c r="H324" s="24" t="str">
        <f aca="false">IF($A324="","",IFERROR(IF(INDEX(Activities!$B$2:$B$201,MATCH($A324,Activities!$A$2:$A$201,0))="","",INDEX(Activities!$B$2:$B$201,MATCH($A324,Activities!$A$2:$A$201,0))),""))</f>
        <v/>
      </c>
      <c r="I324" s="24" t="str">
        <f aca="false">IF($B324="","",IFERROR(IF(INDEX(Students!$C$2:$C$301,MATCH($B324,Students!$A$2:$A$301,0))="","",INDEX(Students!$C$2:$C$301,MATCH($B324,Students!$A$2:$A$301,0))),""))</f>
        <v/>
      </c>
      <c r="J324" s="24" t="str">
        <f aca="false">IF($B324="","",IFERROR(IF(INDEX(Students!$B$2:$B$301,MATCH($B324,Students!$A$2:$A$301,0))="","",INDEX(Students!$B$2:$B$301,MATCH($B324,Students!$A$2:$A$301,0))),""))</f>
        <v/>
      </c>
      <c r="K324" s="25" t="str">
        <f aca="false">IF($A324="","",IF(D324="Withdrawn",0,IF(E324&lt;&gt;"",N(E324),IFERROR(N(INDEX(Activities!$I$2:$I$201,MATCH($A324,Activities!$A$2:$A$201,0))),0))))</f>
        <v/>
      </c>
      <c r="L324" s="24" t="str">
        <f aca="false">IF(AND($A324="",$B324=""),"",IF(ISNA(MATCH($A324,Activities!$A$2:$A$201,0)),"Unknown activity",IF(ISNA(MATCH($B324,Students!$A$2:$A$301,0)),"Unknown student",IF(D324="","No status",IF(COUNTIFS($A$2:$A$1001,$A324,$B$2:$B$1001,$B324)&gt;1,"Duplicate",IF(AND(D324&lt;&gt;"Withdrawn",G324&lt;&gt;"",COUNTIFS($B$2:$B$1001,$B324,$G$2:$G$1001,G324,$D$2:$D$1001,"&lt;&gt;Withdrawn")&gt;1),"Same-day clash","OK"))))))</f>
        <v/>
      </c>
    </row>
    <row r="325" customFormat="false" ht="15" hidden="false" customHeight="false" outlineLevel="0" collapsed="false">
      <c r="E325" s="26"/>
      <c r="G325" s="23" t="str">
        <f aca="false">IF($A325="","",IFERROR(IF(INDEX(Activities!$C$2:$C$201,MATCH($A325,Activities!$A$2:$A$201,0))="","",INDEX(Activities!$C$2:$C$201,MATCH($A325,Activities!$A$2:$A$201,0))),""))</f>
        <v/>
      </c>
      <c r="H325" s="24" t="str">
        <f aca="false">IF($A325="","",IFERROR(IF(INDEX(Activities!$B$2:$B$201,MATCH($A325,Activities!$A$2:$A$201,0))="","",INDEX(Activities!$B$2:$B$201,MATCH($A325,Activities!$A$2:$A$201,0))),""))</f>
        <v/>
      </c>
      <c r="I325" s="24" t="str">
        <f aca="false">IF($B325="","",IFERROR(IF(INDEX(Students!$C$2:$C$301,MATCH($B325,Students!$A$2:$A$301,0))="","",INDEX(Students!$C$2:$C$301,MATCH($B325,Students!$A$2:$A$301,0))),""))</f>
        <v/>
      </c>
      <c r="J325" s="24" t="str">
        <f aca="false">IF($B325="","",IFERROR(IF(INDEX(Students!$B$2:$B$301,MATCH($B325,Students!$A$2:$A$301,0))="","",INDEX(Students!$B$2:$B$301,MATCH($B325,Students!$A$2:$A$301,0))),""))</f>
        <v/>
      </c>
      <c r="K325" s="25" t="str">
        <f aca="false">IF($A325="","",IF(D325="Withdrawn",0,IF(E325&lt;&gt;"",N(E325),IFERROR(N(INDEX(Activities!$I$2:$I$201,MATCH($A325,Activities!$A$2:$A$201,0))),0))))</f>
        <v/>
      </c>
      <c r="L325" s="24" t="str">
        <f aca="false">IF(AND($A325="",$B325=""),"",IF(ISNA(MATCH($A325,Activities!$A$2:$A$201,0)),"Unknown activity",IF(ISNA(MATCH($B325,Students!$A$2:$A$301,0)),"Unknown student",IF(D325="","No status",IF(COUNTIFS($A$2:$A$1001,$A325,$B$2:$B$1001,$B325)&gt;1,"Duplicate",IF(AND(D325&lt;&gt;"Withdrawn",G325&lt;&gt;"",COUNTIFS($B$2:$B$1001,$B325,$G$2:$G$1001,G325,$D$2:$D$1001,"&lt;&gt;Withdrawn")&gt;1),"Same-day clash","OK"))))))</f>
        <v/>
      </c>
    </row>
    <row r="326" customFormat="false" ht="15" hidden="false" customHeight="false" outlineLevel="0" collapsed="false">
      <c r="E326" s="26"/>
      <c r="G326" s="23" t="str">
        <f aca="false">IF($A326="","",IFERROR(IF(INDEX(Activities!$C$2:$C$201,MATCH($A326,Activities!$A$2:$A$201,0))="","",INDEX(Activities!$C$2:$C$201,MATCH($A326,Activities!$A$2:$A$201,0))),""))</f>
        <v/>
      </c>
      <c r="H326" s="24" t="str">
        <f aca="false">IF($A326="","",IFERROR(IF(INDEX(Activities!$B$2:$B$201,MATCH($A326,Activities!$A$2:$A$201,0))="","",INDEX(Activities!$B$2:$B$201,MATCH($A326,Activities!$A$2:$A$201,0))),""))</f>
        <v/>
      </c>
      <c r="I326" s="24" t="str">
        <f aca="false">IF($B326="","",IFERROR(IF(INDEX(Students!$C$2:$C$301,MATCH($B326,Students!$A$2:$A$301,0))="","",INDEX(Students!$C$2:$C$301,MATCH($B326,Students!$A$2:$A$301,0))),""))</f>
        <v/>
      </c>
      <c r="J326" s="24" t="str">
        <f aca="false">IF($B326="","",IFERROR(IF(INDEX(Students!$B$2:$B$301,MATCH($B326,Students!$A$2:$A$301,0))="","",INDEX(Students!$B$2:$B$301,MATCH($B326,Students!$A$2:$A$301,0))),""))</f>
        <v/>
      </c>
      <c r="K326" s="25" t="str">
        <f aca="false">IF($A326="","",IF(D326="Withdrawn",0,IF(E326&lt;&gt;"",N(E326),IFERROR(N(INDEX(Activities!$I$2:$I$201,MATCH($A326,Activities!$A$2:$A$201,0))),0))))</f>
        <v/>
      </c>
      <c r="L326" s="24" t="str">
        <f aca="false">IF(AND($A326="",$B326=""),"",IF(ISNA(MATCH($A326,Activities!$A$2:$A$201,0)),"Unknown activity",IF(ISNA(MATCH($B326,Students!$A$2:$A$301,0)),"Unknown student",IF(D326="","No status",IF(COUNTIFS($A$2:$A$1001,$A326,$B$2:$B$1001,$B326)&gt;1,"Duplicate",IF(AND(D326&lt;&gt;"Withdrawn",G326&lt;&gt;"",COUNTIFS($B$2:$B$1001,$B326,$G$2:$G$1001,G326,$D$2:$D$1001,"&lt;&gt;Withdrawn")&gt;1),"Same-day clash","OK"))))))</f>
        <v/>
      </c>
    </row>
    <row r="327" customFormat="false" ht="15" hidden="false" customHeight="false" outlineLevel="0" collapsed="false">
      <c r="E327" s="26"/>
      <c r="G327" s="23" t="str">
        <f aca="false">IF($A327="","",IFERROR(IF(INDEX(Activities!$C$2:$C$201,MATCH($A327,Activities!$A$2:$A$201,0))="","",INDEX(Activities!$C$2:$C$201,MATCH($A327,Activities!$A$2:$A$201,0))),""))</f>
        <v/>
      </c>
      <c r="H327" s="24" t="str">
        <f aca="false">IF($A327="","",IFERROR(IF(INDEX(Activities!$B$2:$B$201,MATCH($A327,Activities!$A$2:$A$201,0))="","",INDEX(Activities!$B$2:$B$201,MATCH($A327,Activities!$A$2:$A$201,0))),""))</f>
        <v/>
      </c>
      <c r="I327" s="24" t="str">
        <f aca="false">IF($B327="","",IFERROR(IF(INDEX(Students!$C$2:$C$301,MATCH($B327,Students!$A$2:$A$301,0))="","",INDEX(Students!$C$2:$C$301,MATCH($B327,Students!$A$2:$A$301,0))),""))</f>
        <v/>
      </c>
      <c r="J327" s="24" t="str">
        <f aca="false">IF($B327="","",IFERROR(IF(INDEX(Students!$B$2:$B$301,MATCH($B327,Students!$A$2:$A$301,0))="","",INDEX(Students!$B$2:$B$301,MATCH($B327,Students!$A$2:$A$301,0))),""))</f>
        <v/>
      </c>
      <c r="K327" s="25" t="str">
        <f aca="false">IF($A327="","",IF(D327="Withdrawn",0,IF(E327&lt;&gt;"",N(E327),IFERROR(N(INDEX(Activities!$I$2:$I$201,MATCH($A327,Activities!$A$2:$A$201,0))),0))))</f>
        <v/>
      </c>
      <c r="L327" s="24" t="str">
        <f aca="false">IF(AND($A327="",$B327=""),"",IF(ISNA(MATCH($A327,Activities!$A$2:$A$201,0)),"Unknown activity",IF(ISNA(MATCH($B327,Students!$A$2:$A$301,0)),"Unknown student",IF(D327="","No status",IF(COUNTIFS($A$2:$A$1001,$A327,$B$2:$B$1001,$B327)&gt;1,"Duplicate",IF(AND(D327&lt;&gt;"Withdrawn",G327&lt;&gt;"",COUNTIFS($B$2:$B$1001,$B327,$G$2:$G$1001,G327,$D$2:$D$1001,"&lt;&gt;Withdrawn")&gt;1),"Same-day clash","OK"))))))</f>
        <v/>
      </c>
    </row>
    <row r="328" customFormat="false" ht="15" hidden="false" customHeight="false" outlineLevel="0" collapsed="false">
      <c r="E328" s="26"/>
      <c r="G328" s="23" t="str">
        <f aca="false">IF($A328="","",IFERROR(IF(INDEX(Activities!$C$2:$C$201,MATCH($A328,Activities!$A$2:$A$201,0))="","",INDEX(Activities!$C$2:$C$201,MATCH($A328,Activities!$A$2:$A$201,0))),""))</f>
        <v/>
      </c>
      <c r="H328" s="24" t="str">
        <f aca="false">IF($A328="","",IFERROR(IF(INDEX(Activities!$B$2:$B$201,MATCH($A328,Activities!$A$2:$A$201,0))="","",INDEX(Activities!$B$2:$B$201,MATCH($A328,Activities!$A$2:$A$201,0))),""))</f>
        <v/>
      </c>
      <c r="I328" s="24" t="str">
        <f aca="false">IF($B328="","",IFERROR(IF(INDEX(Students!$C$2:$C$301,MATCH($B328,Students!$A$2:$A$301,0))="","",INDEX(Students!$C$2:$C$301,MATCH($B328,Students!$A$2:$A$301,0))),""))</f>
        <v/>
      </c>
      <c r="J328" s="24" t="str">
        <f aca="false">IF($B328="","",IFERROR(IF(INDEX(Students!$B$2:$B$301,MATCH($B328,Students!$A$2:$A$301,0))="","",INDEX(Students!$B$2:$B$301,MATCH($B328,Students!$A$2:$A$301,0))),""))</f>
        <v/>
      </c>
      <c r="K328" s="25" t="str">
        <f aca="false">IF($A328="","",IF(D328="Withdrawn",0,IF(E328&lt;&gt;"",N(E328),IFERROR(N(INDEX(Activities!$I$2:$I$201,MATCH($A328,Activities!$A$2:$A$201,0))),0))))</f>
        <v/>
      </c>
      <c r="L328" s="24" t="str">
        <f aca="false">IF(AND($A328="",$B328=""),"",IF(ISNA(MATCH($A328,Activities!$A$2:$A$201,0)),"Unknown activity",IF(ISNA(MATCH($B328,Students!$A$2:$A$301,0)),"Unknown student",IF(D328="","No status",IF(COUNTIFS($A$2:$A$1001,$A328,$B$2:$B$1001,$B328)&gt;1,"Duplicate",IF(AND(D328&lt;&gt;"Withdrawn",G328&lt;&gt;"",COUNTIFS($B$2:$B$1001,$B328,$G$2:$G$1001,G328,$D$2:$D$1001,"&lt;&gt;Withdrawn")&gt;1),"Same-day clash","OK"))))))</f>
        <v/>
      </c>
    </row>
    <row r="329" customFormat="false" ht="15" hidden="false" customHeight="false" outlineLevel="0" collapsed="false">
      <c r="E329" s="26"/>
      <c r="G329" s="23" t="str">
        <f aca="false">IF($A329="","",IFERROR(IF(INDEX(Activities!$C$2:$C$201,MATCH($A329,Activities!$A$2:$A$201,0))="","",INDEX(Activities!$C$2:$C$201,MATCH($A329,Activities!$A$2:$A$201,0))),""))</f>
        <v/>
      </c>
      <c r="H329" s="24" t="str">
        <f aca="false">IF($A329="","",IFERROR(IF(INDEX(Activities!$B$2:$B$201,MATCH($A329,Activities!$A$2:$A$201,0))="","",INDEX(Activities!$B$2:$B$201,MATCH($A329,Activities!$A$2:$A$201,0))),""))</f>
        <v/>
      </c>
      <c r="I329" s="24" t="str">
        <f aca="false">IF($B329="","",IFERROR(IF(INDEX(Students!$C$2:$C$301,MATCH($B329,Students!$A$2:$A$301,0))="","",INDEX(Students!$C$2:$C$301,MATCH($B329,Students!$A$2:$A$301,0))),""))</f>
        <v/>
      </c>
      <c r="J329" s="24" t="str">
        <f aca="false">IF($B329="","",IFERROR(IF(INDEX(Students!$B$2:$B$301,MATCH($B329,Students!$A$2:$A$301,0))="","",INDEX(Students!$B$2:$B$301,MATCH($B329,Students!$A$2:$A$301,0))),""))</f>
        <v/>
      </c>
      <c r="K329" s="25" t="str">
        <f aca="false">IF($A329="","",IF(D329="Withdrawn",0,IF(E329&lt;&gt;"",N(E329),IFERROR(N(INDEX(Activities!$I$2:$I$201,MATCH($A329,Activities!$A$2:$A$201,0))),0))))</f>
        <v/>
      </c>
      <c r="L329" s="24" t="str">
        <f aca="false">IF(AND($A329="",$B329=""),"",IF(ISNA(MATCH($A329,Activities!$A$2:$A$201,0)),"Unknown activity",IF(ISNA(MATCH($B329,Students!$A$2:$A$301,0)),"Unknown student",IF(D329="","No status",IF(COUNTIFS($A$2:$A$1001,$A329,$B$2:$B$1001,$B329)&gt;1,"Duplicate",IF(AND(D329&lt;&gt;"Withdrawn",G329&lt;&gt;"",COUNTIFS($B$2:$B$1001,$B329,$G$2:$G$1001,G329,$D$2:$D$1001,"&lt;&gt;Withdrawn")&gt;1),"Same-day clash","OK"))))))</f>
        <v/>
      </c>
    </row>
    <row r="330" customFormat="false" ht="15" hidden="false" customHeight="false" outlineLevel="0" collapsed="false">
      <c r="E330" s="26"/>
      <c r="G330" s="23" t="str">
        <f aca="false">IF($A330="","",IFERROR(IF(INDEX(Activities!$C$2:$C$201,MATCH($A330,Activities!$A$2:$A$201,0))="","",INDEX(Activities!$C$2:$C$201,MATCH($A330,Activities!$A$2:$A$201,0))),""))</f>
        <v/>
      </c>
      <c r="H330" s="24" t="str">
        <f aca="false">IF($A330="","",IFERROR(IF(INDEX(Activities!$B$2:$B$201,MATCH($A330,Activities!$A$2:$A$201,0))="","",INDEX(Activities!$B$2:$B$201,MATCH($A330,Activities!$A$2:$A$201,0))),""))</f>
        <v/>
      </c>
      <c r="I330" s="24" t="str">
        <f aca="false">IF($B330="","",IFERROR(IF(INDEX(Students!$C$2:$C$301,MATCH($B330,Students!$A$2:$A$301,0))="","",INDEX(Students!$C$2:$C$301,MATCH($B330,Students!$A$2:$A$301,0))),""))</f>
        <v/>
      </c>
      <c r="J330" s="24" t="str">
        <f aca="false">IF($B330="","",IFERROR(IF(INDEX(Students!$B$2:$B$301,MATCH($B330,Students!$A$2:$A$301,0))="","",INDEX(Students!$B$2:$B$301,MATCH($B330,Students!$A$2:$A$301,0))),""))</f>
        <v/>
      </c>
      <c r="K330" s="25" t="str">
        <f aca="false">IF($A330="","",IF(D330="Withdrawn",0,IF(E330&lt;&gt;"",N(E330),IFERROR(N(INDEX(Activities!$I$2:$I$201,MATCH($A330,Activities!$A$2:$A$201,0))),0))))</f>
        <v/>
      </c>
      <c r="L330" s="24" t="str">
        <f aca="false">IF(AND($A330="",$B330=""),"",IF(ISNA(MATCH($A330,Activities!$A$2:$A$201,0)),"Unknown activity",IF(ISNA(MATCH($B330,Students!$A$2:$A$301,0)),"Unknown student",IF(D330="","No status",IF(COUNTIFS($A$2:$A$1001,$A330,$B$2:$B$1001,$B330)&gt;1,"Duplicate",IF(AND(D330&lt;&gt;"Withdrawn",G330&lt;&gt;"",COUNTIFS($B$2:$B$1001,$B330,$G$2:$G$1001,G330,$D$2:$D$1001,"&lt;&gt;Withdrawn")&gt;1),"Same-day clash","OK"))))))</f>
        <v/>
      </c>
    </row>
    <row r="331" customFormat="false" ht="15" hidden="false" customHeight="false" outlineLevel="0" collapsed="false">
      <c r="E331" s="26"/>
      <c r="G331" s="23" t="str">
        <f aca="false">IF($A331="","",IFERROR(IF(INDEX(Activities!$C$2:$C$201,MATCH($A331,Activities!$A$2:$A$201,0))="","",INDEX(Activities!$C$2:$C$201,MATCH($A331,Activities!$A$2:$A$201,0))),""))</f>
        <v/>
      </c>
      <c r="H331" s="24" t="str">
        <f aca="false">IF($A331="","",IFERROR(IF(INDEX(Activities!$B$2:$B$201,MATCH($A331,Activities!$A$2:$A$201,0))="","",INDEX(Activities!$B$2:$B$201,MATCH($A331,Activities!$A$2:$A$201,0))),""))</f>
        <v/>
      </c>
      <c r="I331" s="24" t="str">
        <f aca="false">IF($B331="","",IFERROR(IF(INDEX(Students!$C$2:$C$301,MATCH($B331,Students!$A$2:$A$301,0))="","",INDEX(Students!$C$2:$C$301,MATCH($B331,Students!$A$2:$A$301,0))),""))</f>
        <v/>
      </c>
      <c r="J331" s="24" t="str">
        <f aca="false">IF($B331="","",IFERROR(IF(INDEX(Students!$B$2:$B$301,MATCH($B331,Students!$A$2:$A$301,0))="","",INDEX(Students!$B$2:$B$301,MATCH($B331,Students!$A$2:$A$301,0))),""))</f>
        <v/>
      </c>
      <c r="K331" s="25" t="str">
        <f aca="false">IF($A331="","",IF(D331="Withdrawn",0,IF(E331&lt;&gt;"",N(E331),IFERROR(N(INDEX(Activities!$I$2:$I$201,MATCH($A331,Activities!$A$2:$A$201,0))),0))))</f>
        <v/>
      </c>
      <c r="L331" s="24" t="str">
        <f aca="false">IF(AND($A331="",$B331=""),"",IF(ISNA(MATCH($A331,Activities!$A$2:$A$201,0)),"Unknown activity",IF(ISNA(MATCH($B331,Students!$A$2:$A$301,0)),"Unknown student",IF(D331="","No status",IF(COUNTIFS($A$2:$A$1001,$A331,$B$2:$B$1001,$B331)&gt;1,"Duplicate",IF(AND(D331&lt;&gt;"Withdrawn",G331&lt;&gt;"",COUNTIFS($B$2:$B$1001,$B331,$G$2:$G$1001,G331,$D$2:$D$1001,"&lt;&gt;Withdrawn")&gt;1),"Same-day clash","OK"))))))</f>
        <v/>
      </c>
    </row>
    <row r="332" customFormat="false" ht="15" hidden="false" customHeight="false" outlineLevel="0" collapsed="false">
      <c r="E332" s="26"/>
      <c r="G332" s="23" t="str">
        <f aca="false">IF($A332="","",IFERROR(IF(INDEX(Activities!$C$2:$C$201,MATCH($A332,Activities!$A$2:$A$201,0))="","",INDEX(Activities!$C$2:$C$201,MATCH($A332,Activities!$A$2:$A$201,0))),""))</f>
        <v/>
      </c>
      <c r="H332" s="24" t="str">
        <f aca="false">IF($A332="","",IFERROR(IF(INDEX(Activities!$B$2:$B$201,MATCH($A332,Activities!$A$2:$A$201,0))="","",INDEX(Activities!$B$2:$B$201,MATCH($A332,Activities!$A$2:$A$201,0))),""))</f>
        <v/>
      </c>
      <c r="I332" s="24" t="str">
        <f aca="false">IF($B332="","",IFERROR(IF(INDEX(Students!$C$2:$C$301,MATCH($B332,Students!$A$2:$A$301,0))="","",INDEX(Students!$C$2:$C$301,MATCH($B332,Students!$A$2:$A$301,0))),""))</f>
        <v/>
      </c>
      <c r="J332" s="24" t="str">
        <f aca="false">IF($B332="","",IFERROR(IF(INDEX(Students!$B$2:$B$301,MATCH($B332,Students!$A$2:$A$301,0))="","",INDEX(Students!$B$2:$B$301,MATCH($B332,Students!$A$2:$A$301,0))),""))</f>
        <v/>
      </c>
      <c r="K332" s="25" t="str">
        <f aca="false">IF($A332="","",IF(D332="Withdrawn",0,IF(E332&lt;&gt;"",N(E332),IFERROR(N(INDEX(Activities!$I$2:$I$201,MATCH($A332,Activities!$A$2:$A$201,0))),0))))</f>
        <v/>
      </c>
      <c r="L332" s="24" t="str">
        <f aca="false">IF(AND($A332="",$B332=""),"",IF(ISNA(MATCH($A332,Activities!$A$2:$A$201,0)),"Unknown activity",IF(ISNA(MATCH($B332,Students!$A$2:$A$301,0)),"Unknown student",IF(D332="","No status",IF(COUNTIFS($A$2:$A$1001,$A332,$B$2:$B$1001,$B332)&gt;1,"Duplicate",IF(AND(D332&lt;&gt;"Withdrawn",G332&lt;&gt;"",COUNTIFS($B$2:$B$1001,$B332,$G$2:$G$1001,G332,$D$2:$D$1001,"&lt;&gt;Withdrawn")&gt;1),"Same-day clash","OK"))))))</f>
        <v/>
      </c>
    </row>
    <row r="333" customFormat="false" ht="15" hidden="false" customHeight="false" outlineLevel="0" collapsed="false">
      <c r="E333" s="26"/>
      <c r="G333" s="23" t="str">
        <f aca="false">IF($A333="","",IFERROR(IF(INDEX(Activities!$C$2:$C$201,MATCH($A333,Activities!$A$2:$A$201,0))="","",INDEX(Activities!$C$2:$C$201,MATCH($A333,Activities!$A$2:$A$201,0))),""))</f>
        <v/>
      </c>
      <c r="H333" s="24" t="str">
        <f aca="false">IF($A333="","",IFERROR(IF(INDEX(Activities!$B$2:$B$201,MATCH($A333,Activities!$A$2:$A$201,0))="","",INDEX(Activities!$B$2:$B$201,MATCH($A333,Activities!$A$2:$A$201,0))),""))</f>
        <v/>
      </c>
      <c r="I333" s="24" t="str">
        <f aca="false">IF($B333="","",IFERROR(IF(INDEX(Students!$C$2:$C$301,MATCH($B333,Students!$A$2:$A$301,0))="","",INDEX(Students!$C$2:$C$301,MATCH($B333,Students!$A$2:$A$301,0))),""))</f>
        <v/>
      </c>
      <c r="J333" s="24" t="str">
        <f aca="false">IF($B333="","",IFERROR(IF(INDEX(Students!$B$2:$B$301,MATCH($B333,Students!$A$2:$A$301,0))="","",INDEX(Students!$B$2:$B$301,MATCH($B333,Students!$A$2:$A$301,0))),""))</f>
        <v/>
      </c>
      <c r="K333" s="25" t="str">
        <f aca="false">IF($A333="","",IF(D333="Withdrawn",0,IF(E333&lt;&gt;"",N(E333),IFERROR(N(INDEX(Activities!$I$2:$I$201,MATCH($A333,Activities!$A$2:$A$201,0))),0))))</f>
        <v/>
      </c>
      <c r="L333" s="24" t="str">
        <f aca="false">IF(AND($A333="",$B333=""),"",IF(ISNA(MATCH($A333,Activities!$A$2:$A$201,0)),"Unknown activity",IF(ISNA(MATCH($B333,Students!$A$2:$A$301,0)),"Unknown student",IF(D333="","No status",IF(COUNTIFS($A$2:$A$1001,$A333,$B$2:$B$1001,$B333)&gt;1,"Duplicate",IF(AND(D333&lt;&gt;"Withdrawn",G333&lt;&gt;"",COUNTIFS($B$2:$B$1001,$B333,$G$2:$G$1001,G333,$D$2:$D$1001,"&lt;&gt;Withdrawn")&gt;1),"Same-day clash","OK"))))))</f>
        <v/>
      </c>
    </row>
    <row r="334" customFormat="false" ht="15" hidden="false" customHeight="false" outlineLevel="0" collapsed="false">
      <c r="E334" s="26"/>
      <c r="G334" s="23" t="str">
        <f aca="false">IF($A334="","",IFERROR(IF(INDEX(Activities!$C$2:$C$201,MATCH($A334,Activities!$A$2:$A$201,0))="","",INDEX(Activities!$C$2:$C$201,MATCH($A334,Activities!$A$2:$A$201,0))),""))</f>
        <v/>
      </c>
      <c r="H334" s="24" t="str">
        <f aca="false">IF($A334="","",IFERROR(IF(INDEX(Activities!$B$2:$B$201,MATCH($A334,Activities!$A$2:$A$201,0))="","",INDEX(Activities!$B$2:$B$201,MATCH($A334,Activities!$A$2:$A$201,0))),""))</f>
        <v/>
      </c>
      <c r="I334" s="24" t="str">
        <f aca="false">IF($B334="","",IFERROR(IF(INDEX(Students!$C$2:$C$301,MATCH($B334,Students!$A$2:$A$301,0))="","",INDEX(Students!$C$2:$C$301,MATCH($B334,Students!$A$2:$A$301,0))),""))</f>
        <v/>
      </c>
      <c r="J334" s="24" t="str">
        <f aca="false">IF($B334="","",IFERROR(IF(INDEX(Students!$B$2:$B$301,MATCH($B334,Students!$A$2:$A$301,0))="","",INDEX(Students!$B$2:$B$301,MATCH($B334,Students!$A$2:$A$301,0))),""))</f>
        <v/>
      </c>
      <c r="K334" s="25" t="str">
        <f aca="false">IF($A334="","",IF(D334="Withdrawn",0,IF(E334&lt;&gt;"",N(E334),IFERROR(N(INDEX(Activities!$I$2:$I$201,MATCH($A334,Activities!$A$2:$A$201,0))),0))))</f>
        <v/>
      </c>
      <c r="L334" s="24" t="str">
        <f aca="false">IF(AND($A334="",$B334=""),"",IF(ISNA(MATCH($A334,Activities!$A$2:$A$201,0)),"Unknown activity",IF(ISNA(MATCH($B334,Students!$A$2:$A$301,0)),"Unknown student",IF(D334="","No status",IF(COUNTIFS($A$2:$A$1001,$A334,$B$2:$B$1001,$B334)&gt;1,"Duplicate",IF(AND(D334&lt;&gt;"Withdrawn",G334&lt;&gt;"",COUNTIFS($B$2:$B$1001,$B334,$G$2:$G$1001,G334,$D$2:$D$1001,"&lt;&gt;Withdrawn")&gt;1),"Same-day clash","OK"))))))</f>
        <v/>
      </c>
    </row>
    <row r="335" customFormat="false" ht="15" hidden="false" customHeight="false" outlineLevel="0" collapsed="false">
      <c r="E335" s="26"/>
      <c r="G335" s="23" t="str">
        <f aca="false">IF($A335="","",IFERROR(IF(INDEX(Activities!$C$2:$C$201,MATCH($A335,Activities!$A$2:$A$201,0))="","",INDEX(Activities!$C$2:$C$201,MATCH($A335,Activities!$A$2:$A$201,0))),""))</f>
        <v/>
      </c>
      <c r="H335" s="24" t="str">
        <f aca="false">IF($A335="","",IFERROR(IF(INDEX(Activities!$B$2:$B$201,MATCH($A335,Activities!$A$2:$A$201,0))="","",INDEX(Activities!$B$2:$B$201,MATCH($A335,Activities!$A$2:$A$201,0))),""))</f>
        <v/>
      </c>
      <c r="I335" s="24" t="str">
        <f aca="false">IF($B335="","",IFERROR(IF(INDEX(Students!$C$2:$C$301,MATCH($B335,Students!$A$2:$A$301,0))="","",INDEX(Students!$C$2:$C$301,MATCH($B335,Students!$A$2:$A$301,0))),""))</f>
        <v/>
      </c>
      <c r="J335" s="24" t="str">
        <f aca="false">IF($B335="","",IFERROR(IF(INDEX(Students!$B$2:$B$301,MATCH($B335,Students!$A$2:$A$301,0))="","",INDEX(Students!$B$2:$B$301,MATCH($B335,Students!$A$2:$A$301,0))),""))</f>
        <v/>
      </c>
      <c r="K335" s="25" t="str">
        <f aca="false">IF($A335="","",IF(D335="Withdrawn",0,IF(E335&lt;&gt;"",N(E335),IFERROR(N(INDEX(Activities!$I$2:$I$201,MATCH($A335,Activities!$A$2:$A$201,0))),0))))</f>
        <v/>
      </c>
      <c r="L335" s="24" t="str">
        <f aca="false">IF(AND($A335="",$B335=""),"",IF(ISNA(MATCH($A335,Activities!$A$2:$A$201,0)),"Unknown activity",IF(ISNA(MATCH($B335,Students!$A$2:$A$301,0)),"Unknown student",IF(D335="","No status",IF(COUNTIFS($A$2:$A$1001,$A335,$B$2:$B$1001,$B335)&gt;1,"Duplicate",IF(AND(D335&lt;&gt;"Withdrawn",G335&lt;&gt;"",COUNTIFS($B$2:$B$1001,$B335,$G$2:$G$1001,G335,$D$2:$D$1001,"&lt;&gt;Withdrawn")&gt;1),"Same-day clash","OK"))))))</f>
        <v/>
      </c>
    </row>
    <row r="336" customFormat="false" ht="15" hidden="false" customHeight="false" outlineLevel="0" collapsed="false">
      <c r="E336" s="26"/>
      <c r="G336" s="23" t="str">
        <f aca="false">IF($A336="","",IFERROR(IF(INDEX(Activities!$C$2:$C$201,MATCH($A336,Activities!$A$2:$A$201,0))="","",INDEX(Activities!$C$2:$C$201,MATCH($A336,Activities!$A$2:$A$201,0))),""))</f>
        <v/>
      </c>
      <c r="H336" s="24" t="str">
        <f aca="false">IF($A336="","",IFERROR(IF(INDEX(Activities!$B$2:$B$201,MATCH($A336,Activities!$A$2:$A$201,0))="","",INDEX(Activities!$B$2:$B$201,MATCH($A336,Activities!$A$2:$A$201,0))),""))</f>
        <v/>
      </c>
      <c r="I336" s="24" t="str">
        <f aca="false">IF($B336="","",IFERROR(IF(INDEX(Students!$C$2:$C$301,MATCH($B336,Students!$A$2:$A$301,0))="","",INDEX(Students!$C$2:$C$301,MATCH($B336,Students!$A$2:$A$301,0))),""))</f>
        <v/>
      </c>
      <c r="J336" s="24" t="str">
        <f aca="false">IF($B336="","",IFERROR(IF(INDEX(Students!$B$2:$B$301,MATCH($B336,Students!$A$2:$A$301,0))="","",INDEX(Students!$B$2:$B$301,MATCH($B336,Students!$A$2:$A$301,0))),""))</f>
        <v/>
      </c>
      <c r="K336" s="25" t="str">
        <f aca="false">IF($A336="","",IF(D336="Withdrawn",0,IF(E336&lt;&gt;"",N(E336),IFERROR(N(INDEX(Activities!$I$2:$I$201,MATCH($A336,Activities!$A$2:$A$201,0))),0))))</f>
        <v/>
      </c>
      <c r="L336" s="24" t="str">
        <f aca="false">IF(AND($A336="",$B336=""),"",IF(ISNA(MATCH($A336,Activities!$A$2:$A$201,0)),"Unknown activity",IF(ISNA(MATCH($B336,Students!$A$2:$A$301,0)),"Unknown student",IF(D336="","No status",IF(COUNTIFS($A$2:$A$1001,$A336,$B$2:$B$1001,$B336)&gt;1,"Duplicate",IF(AND(D336&lt;&gt;"Withdrawn",G336&lt;&gt;"",COUNTIFS($B$2:$B$1001,$B336,$G$2:$G$1001,G336,$D$2:$D$1001,"&lt;&gt;Withdrawn")&gt;1),"Same-day clash","OK"))))))</f>
        <v/>
      </c>
    </row>
    <row r="337" customFormat="false" ht="15" hidden="false" customHeight="false" outlineLevel="0" collapsed="false">
      <c r="E337" s="26"/>
      <c r="G337" s="23" t="str">
        <f aca="false">IF($A337="","",IFERROR(IF(INDEX(Activities!$C$2:$C$201,MATCH($A337,Activities!$A$2:$A$201,0))="","",INDEX(Activities!$C$2:$C$201,MATCH($A337,Activities!$A$2:$A$201,0))),""))</f>
        <v/>
      </c>
      <c r="H337" s="24" t="str">
        <f aca="false">IF($A337="","",IFERROR(IF(INDEX(Activities!$B$2:$B$201,MATCH($A337,Activities!$A$2:$A$201,0))="","",INDEX(Activities!$B$2:$B$201,MATCH($A337,Activities!$A$2:$A$201,0))),""))</f>
        <v/>
      </c>
      <c r="I337" s="24" t="str">
        <f aca="false">IF($B337="","",IFERROR(IF(INDEX(Students!$C$2:$C$301,MATCH($B337,Students!$A$2:$A$301,0))="","",INDEX(Students!$C$2:$C$301,MATCH($B337,Students!$A$2:$A$301,0))),""))</f>
        <v/>
      </c>
      <c r="J337" s="24" t="str">
        <f aca="false">IF($B337="","",IFERROR(IF(INDEX(Students!$B$2:$B$301,MATCH($B337,Students!$A$2:$A$301,0))="","",INDEX(Students!$B$2:$B$301,MATCH($B337,Students!$A$2:$A$301,0))),""))</f>
        <v/>
      </c>
      <c r="K337" s="25" t="str">
        <f aca="false">IF($A337="","",IF(D337="Withdrawn",0,IF(E337&lt;&gt;"",N(E337),IFERROR(N(INDEX(Activities!$I$2:$I$201,MATCH($A337,Activities!$A$2:$A$201,0))),0))))</f>
        <v/>
      </c>
      <c r="L337" s="24" t="str">
        <f aca="false">IF(AND($A337="",$B337=""),"",IF(ISNA(MATCH($A337,Activities!$A$2:$A$201,0)),"Unknown activity",IF(ISNA(MATCH($B337,Students!$A$2:$A$301,0)),"Unknown student",IF(D337="","No status",IF(COUNTIFS($A$2:$A$1001,$A337,$B$2:$B$1001,$B337)&gt;1,"Duplicate",IF(AND(D337&lt;&gt;"Withdrawn",G337&lt;&gt;"",COUNTIFS($B$2:$B$1001,$B337,$G$2:$G$1001,G337,$D$2:$D$1001,"&lt;&gt;Withdrawn")&gt;1),"Same-day clash","OK"))))))</f>
        <v/>
      </c>
    </row>
    <row r="338" customFormat="false" ht="15" hidden="false" customHeight="false" outlineLevel="0" collapsed="false">
      <c r="E338" s="26"/>
      <c r="G338" s="23" t="str">
        <f aca="false">IF($A338="","",IFERROR(IF(INDEX(Activities!$C$2:$C$201,MATCH($A338,Activities!$A$2:$A$201,0))="","",INDEX(Activities!$C$2:$C$201,MATCH($A338,Activities!$A$2:$A$201,0))),""))</f>
        <v/>
      </c>
      <c r="H338" s="24" t="str">
        <f aca="false">IF($A338="","",IFERROR(IF(INDEX(Activities!$B$2:$B$201,MATCH($A338,Activities!$A$2:$A$201,0))="","",INDEX(Activities!$B$2:$B$201,MATCH($A338,Activities!$A$2:$A$201,0))),""))</f>
        <v/>
      </c>
      <c r="I338" s="24" t="str">
        <f aca="false">IF($B338="","",IFERROR(IF(INDEX(Students!$C$2:$C$301,MATCH($B338,Students!$A$2:$A$301,0))="","",INDEX(Students!$C$2:$C$301,MATCH($B338,Students!$A$2:$A$301,0))),""))</f>
        <v/>
      </c>
      <c r="J338" s="24" t="str">
        <f aca="false">IF($B338="","",IFERROR(IF(INDEX(Students!$B$2:$B$301,MATCH($B338,Students!$A$2:$A$301,0))="","",INDEX(Students!$B$2:$B$301,MATCH($B338,Students!$A$2:$A$301,0))),""))</f>
        <v/>
      </c>
      <c r="K338" s="25" t="str">
        <f aca="false">IF($A338="","",IF(D338="Withdrawn",0,IF(E338&lt;&gt;"",N(E338),IFERROR(N(INDEX(Activities!$I$2:$I$201,MATCH($A338,Activities!$A$2:$A$201,0))),0))))</f>
        <v/>
      </c>
      <c r="L338" s="24" t="str">
        <f aca="false">IF(AND($A338="",$B338=""),"",IF(ISNA(MATCH($A338,Activities!$A$2:$A$201,0)),"Unknown activity",IF(ISNA(MATCH($B338,Students!$A$2:$A$301,0)),"Unknown student",IF(D338="","No status",IF(COUNTIFS($A$2:$A$1001,$A338,$B$2:$B$1001,$B338)&gt;1,"Duplicate",IF(AND(D338&lt;&gt;"Withdrawn",G338&lt;&gt;"",COUNTIFS($B$2:$B$1001,$B338,$G$2:$G$1001,G338,$D$2:$D$1001,"&lt;&gt;Withdrawn")&gt;1),"Same-day clash","OK"))))))</f>
        <v/>
      </c>
    </row>
    <row r="339" customFormat="false" ht="15" hidden="false" customHeight="false" outlineLevel="0" collapsed="false">
      <c r="E339" s="26"/>
      <c r="G339" s="23" t="str">
        <f aca="false">IF($A339="","",IFERROR(IF(INDEX(Activities!$C$2:$C$201,MATCH($A339,Activities!$A$2:$A$201,0))="","",INDEX(Activities!$C$2:$C$201,MATCH($A339,Activities!$A$2:$A$201,0))),""))</f>
        <v/>
      </c>
      <c r="H339" s="24" t="str">
        <f aca="false">IF($A339="","",IFERROR(IF(INDEX(Activities!$B$2:$B$201,MATCH($A339,Activities!$A$2:$A$201,0))="","",INDEX(Activities!$B$2:$B$201,MATCH($A339,Activities!$A$2:$A$201,0))),""))</f>
        <v/>
      </c>
      <c r="I339" s="24" t="str">
        <f aca="false">IF($B339="","",IFERROR(IF(INDEX(Students!$C$2:$C$301,MATCH($B339,Students!$A$2:$A$301,0))="","",INDEX(Students!$C$2:$C$301,MATCH($B339,Students!$A$2:$A$301,0))),""))</f>
        <v/>
      </c>
      <c r="J339" s="24" t="str">
        <f aca="false">IF($B339="","",IFERROR(IF(INDEX(Students!$B$2:$B$301,MATCH($B339,Students!$A$2:$A$301,0))="","",INDEX(Students!$B$2:$B$301,MATCH($B339,Students!$A$2:$A$301,0))),""))</f>
        <v/>
      </c>
      <c r="K339" s="25" t="str">
        <f aca="false">IF($A339="","",IF(D339="Withdrawn",0,IF(E339&lt;&gt;"",N(E339),IFERROR(N(INDEX(Activities!$I$2:$I$201,MATCH($A339,Activities!$A$2:$A$201,0))),0))))</f>
        <v/>
      </c>
      <c r="L339" s="24" t="str">
        <f aca="false">IF(AND($A339="",$B339=""),"",IF(ISNA(MATCH($A339,Activities!$A$2:$A$201,0)),"Unknown activity",IF(ISNA(MATCH($B339,Students!$A$2:$A$301,0)),"Unknown student",IF(D339="","No status",IF(COUNTIFS($A$2:$A$1001,$A339,$B$2:$B$1001,$B339)&gt;1,"Duplicate",IF(AND(D339&lt;&gt;"Withdrawn",G339&lt;&gt;"",COUNTIFS($B$2:$B$1001,$B339,$G$2:$G$1001,G339,$D$2:$D$1001,"&lt;&gt;Withdrawn")&gt;1),"Same-day clash","OK"))))))</f>
        <v/>
      </c>
    </row>
    <row r="340" customFormat="false" ht="15" hidden="false" customHeight="false" outlineLevel="0" collapsed="false">
      <c r="E340" s="26"/>
      <c r="G340" s="23" t="str">
        <f aca="false">IF($A340="","",IFERROR(IF(INDEX(Activities!$C$2:$C$201,MATCH($A340,Activities!$A$2:$A$201,0))="","",INDEX(Activities!$C$2:$C$201,MATCH($A340,Activities!$A$2:$A$201,0))),""))</f>
        <v/>
      </c>
      <c r="H340" s="24" t="str">
        <f aca="false">IF($A340="","",IFERROR(IF(INDEX(Activities!$B$2:$B$201,MATCH($A340,Activities!$A$2:$A$201,0))="","",INDEX(Activities!$B$2:$B$201,MATCH($A340,Activities!$A$2:$A$201,0))),""))</f>
        <v/>
      </c>
      <c r="I340" s="24" t="str">
        <f aca="false">IF($B340="","",IFERROR(IF(INDEX(Students!$C$2:$C$301,MATCH($B340,Students!$A$2:$A$301,0))="","",INDEX(Students!$C$2:$C$301,MATCH($B340,Students!$A$2:$A$301,0))),""))</f>
        <v/>
      </c>
      <c r="J340" s="24" t="str">
        <f aca="false">IF($B340="","",IFERROR(IF(INDEX(Students!$B$2:$B$301,MATCH($B340,Students!$A$2:$A$301,0))="","",INDEX(Students!$B$2:$B$301,MATCH($B340,Students!$A$2:$A$301,0))),""))</f>
        <v/>
      </c>
      <c r="K340" s="25" t="str">
        <f aca="false">IF($A340="","",IF(D340="Withdrawn",0,IF(E340&lt;&gt;"",N(E340),IFERROR(N(INDEX(Activities!$I$2:$I$201,MATCH($A340,Activities!$A$2:$A$201,0))),0))))</f>
        <v/>
      </c>
      <c r="L340" s="24" t="str">
        <f aca="false">IF(AND($A340="",$B340=""),"",IF(ISNA(MATCH($A340,Activities!$A$2:$A$201,0)),"Unknown activity",IF(ISNA(MATCH($B340,Students!$A$2:$A$301,0)),"Unknown student",IF(D340="","No status",IF(COUNTIFS($A$2:$A$1001,$A340,$B$2:$B$1001,$B340)&gt;1,"Duplicate",IF(AND(D340&lt;&gt;"Withdrawn",G340&lt;&gt;"",COUNTIFS($B$2:$B$1001,$B340,$G$2:$G$1001,G340,$D$2:$D$1001,"&lt;&gt;Withdrawn")&gt;1),"Same-day clash","OK"))))))</f>
        <v/>
      </c>
    </row>
    <row r="341" customFormat="false" ht="15" hidden="false" customHeight="false" outlineLevel="0" collapsed="false">
      <c r="E341" s="26"/>
      <c r="G341" s="23" t="str">
        <f aca="false">IF($A341="","",IFERROR(IF(INDEX(Activities!$C$2:$C$201,MATCH($A341,Activities!$A$2:$A$201,0))="","",INDEX(Activities!$C$2:$C$201,MATCH($A341,Activities!$A$2:$A$201,0))),""))</f>
        <v/>
      </c>
      <c r="H341" s="24" t="str">
        <f aca="false">IF($A341="","",IFERROR(IF(INDEX(Activities!$B$2:$B$201,MATCH($A341,Activities!$A$2:$A$201,0))="","",INDEX(Activities!$B$2:$B$201,MATCH($A341,Activities!$A$2:$A$201,0))),""))</f>
        <v/>
      </c>
      <c r="I341" s="24" t="str">
        <f aca="false">IF($B341="","",IFERROR(IF(INDEX(Students!$C$2:$C$301,MATCH($B341,Students!$A$2:$A$301,0))="","",INDEX(Students!$C$2:$C$301,MATCH($B341,Students!$A$2:$A$301,0))),""))</f>
        <v/>
      </c>
      <c r="J341" s="24" t="str">
        <f aca="false">IF($B341="","",IFERROR(IF(INDEX(Students!$B$2:$B$301,MATCH($B341,Students!$A$2:$A$301,0))="","",INDEX(Students!$B$2:$B$301,MATCH($B341,Students!$A$2:$A$301,0))),""))</f>
        <v/>
      </c>
      <c r="K341" s="25" t="str">
        <f aca="false">IF($A341="","",IF(D341="Withdrawn",0,IF(E341&lt;&gt;"",N(E341),IFERROR(N(INDEX(Activities!$I$2:$I$201,MATCH($A341,Activities!$A$2:$A$201,0))),0))))</f>
        <v/>
      </c>
      <c r="L341" s="24" t="str">
        <f aca="false">IF(AND($A341="",$B341=""),"",IF(ISNA(MATCH($A341,Activities!$A$2:$A$201,0)),"Unknown activity",IF(ISNA(MATCH($B341,Students!$A$2:$A$301,0)),"Unknown student",IF(D341="","No status",IF(COUNTIFS($A$2:$A$1001,$A341,$B$2:$B$1001,$B341)&gt;1,"Duplicate",IF(AND(D341&lt;&gt;"Withdrawn",G341&lt;&gt;"",COUNTIFS($B$2:$B$1001,$B341,$G$2:$G$1001,G341,$D$2:$D$1001,"&lt;&gt;Withdrawn")&gt;1),"Same-day clash","OK"))))))</f>
        <v/>
      </c>
    </row>
    <row r="342" customFormat="false" ht="15" hidden="false" customHeight="false" outlineLevel="0" collapsed="false">
      <c r="E342" s="26"/>
      <c r="G342" s="23" t="str">
        <f aca="false">IF($A342="","",IFERROR(IF(INDEX(Activities!$C$2:$C$201,MATCH($A342,Activities!$A$2:$A$201,0))="","",INDEX(Activities!$C$2:$C$201,MATCH($A342,Activities!$A$2:$A$201,0))),""))</f>
        <v/>
      </c>
      <c r="H342" s="24" t="str">
        <f aca="false">IF($A342="","",IFERROR(IF(INDEX(Activities!$B$2:$B$201,MATCH($A342,Activities!$A$2:$A$201,0))="","",INDEX(Activities!$B$2:$B$201,MATCH($A342,Activities!$A$2:$A$201,0))),""))</f>
        <v/>
      </c>
      <c r="I342" s="24" t="str">
        <f aca="false">IF($B342="","",IFERROR(IF(INDEX(Students!$C$2:$C$301,MATCH($B342,Students!$A$2:$A$301,0))="","",INDEX(Students!$C$2:$C$301,MATCH($B342,Students!$A$2:$A$301,0))),""))</f>
        <v/>
      </c>
      <c r="J342" s="24" t="str">
        <f aca="false">IF($B342="","",IFERROR(IF(INDEX(Students!$B$2:$B$301,MATCH($B342,Students!$A$2:$A$301,0))="","",INDEX(Students!$B$2:$B$301,MATCH($B342,Students!$A$2:$A$301,0))),""))</f>
        <v/>
      </c>
      <c r="K342" s="25" t="str">
        <f aca="false">IF($A342="","",IF(D342="Withdrawn",0,IF(E342&lt;&gt;"",N(E342),IFERROR(N(INDEX(Activities!$I$2:$I$201,MATCH($A342,Activities!$A$2:$A$201,0))),0))))</f>
        <v/>
      </c>
      <c r="L342" s="24" t="str">
        <f aca="false">IF(AND($A342="",$B342=""),"",IF(ISNA(MATCH($A342,Activities!$A$2:$A$201,0)),"Unknown activity",IF(ISNA(MATCH($B342,Students!$A$2:$A$301,0)),"Unknown student",IF(D342="","No status",IF(COUNTIFS($A$2:$A$1001,$A342,$B$2:$B$1001,$B342)&gt;1,"Duplicate",IF(AND(D342&lt;&gt;"Withdrawn",G342&lt;&gt;"",COUNTIFS($B$2:$B$1001,$B342,$G$2:$G$1001,G342,$D$2:$D$1001,"&lt;&gt;Withdrawn")&gt;1),"Same-day clash","OK"))))))</f>
        <v/>
      </c>
    </row>
    <row r="343" customFormat="false" ht="15" hidden="false" customHeight="false" outlineLevel="0" collapsed="false">
      <c r="E343" s="26"/>
      <c r="G343" s="23" t="str">
        <f aca="false">IF($A343="","",IFERROR(IF(INDEX(Activities!$C$2:$C$201,MATCH($A343,Activities!$A$2:$A$201,0))="","",INDEX(Activities!$C$2:$C$201,MATCH($A343,Activities!$A$2:$A$201,0))),""))</f>
        <v/>
      </c>
      <c r="H343" s="24" t="str">
        <f aca="false">IF($A343="","",IFERROR(IF(INDEX(Activities!$B$2:$B$201,MATCH($A343,Activities!$A$2:$A$201,0))="","",INDEX(Activities!$B$2:$B$201,MATCH($A343,Activities!$A$2:$A$201,0))),""))</f>
        <v/>
      </c>
      <c r="I343" s="24" t="str">
        <f aca="false">IF($B343="","",IFERROR(IF(INDEX(Students!$C$2:$C$301,MATCH($B343,Students!$A$2:$A$301,0))="","",INDEX(Students!$C$2:$C$301,MATCH($B343,Students!$A$2:$A$301,0))),""))</f>
        <v/>
      </c>
      <c r="J343" s="24" t="str">
        <f aca="false">IF($B343="","",IFERROR(IF(INDEX(Students!$B$2:$B$301,MATCH($B343,Students!$A$2:$A$301,0))="","",INDEX(Students!$B$2:$B$301,MATCH($B343,Students!$A$2:$A$301,0))),""))</f>
        <v/>
      </c>
      <c r="K343" s="25" t="str">
        <f aca="false">IF($A343="","",IF(D343="Withdrawn",0,IF(E343&lt;&gt;"",N(E343),IFERROR(N(INDEX(Activities!$I$2:$I$201,MATCH($A343,Activities!$A$2:$A$201,0))),0))))</f>
        <v/>
      </c>
      <c r="L343" s="24" t="str">
        <f aca="false">IF(AND($A343="",$B343=""),"",IF(ISNA(MATCH($A343,Activities!$A$2:$A$201,0)),"Unknown activity",IF(ISNA(MATCH($B343,Students!$A$2:$A$301,0)),"Unknown student",IF(D343="","No status",IF(COUNTIFS($A$2:$A$1001,$A343,$B$2:$B$1001,$B343)&gt;1,"Duplicate",IF(AND(D343&lt;&gt;"Withdrawn",G343&lt;&gt;"",COUNTIFS($B$2:$B$1001,$B343,$G$2:$G$1001,G343,$D$2:$D$1001,"&lt;&gt;Withdrawn")&gt;1),"Same-day clash","OK"))))))</f>
        <v/>
      </c>
    </row>
    <row r="344" customFormat="false" ht="15" hidden="false" customHeight="false" outlineLevel="0" collapsed="false">
      <c r="E344" s="26"/>
      <c r="G344" s="23" t="str">
        <f aca="false">IF($A344="","",IFERROR(IF(INDEX(Activities!$C$2:$C$201,MATCH($A344,Activities!$A$2:$A$201,0))="","",INDEX(Activities!$C$2:$C$201,MATCH($A344,Activities!$A$2:$A$201,0))),""))</f>
        <v/>
      </c>
      <c r="H344" s="24" t="str">
        <f aca="false">IF($A344="","",IFERROR(IF(INDEX(Activities!$B$2:$B$201,MATCH($A344,Activities!$A$2:$A$201,0))="","",INDEX(Activities!$B$2:$B$201,MATCH($A344,Activities!$A$2:$A$201,0))),""))</f>
        <v/>
      </c>
      <c r="I344" s="24" t="str">
        <f aca="false">IF($B344="","",IFERROR(IF(INDEX(Students!$C$2:$C$301,MATCH($B344,Students!$A$2:$A$301,0))="","",INDEX(Students!$C$2:$C$301,MATCH($B344,Students!$A$2:$A$301,0))),""))</f>
        <v/>
      </c>
      <c r="J344" s="24" t="str">
        <f aca="false">IF($B344="","",IFERROR(IF(INDEX(Students!$B$2:$B$301,MATCH($B344,Students!$A$2:$A$301,0))="","",INDEX(Students!$B$2:$B$301,MATCH($B344,Students!$A$2:$A$301,0))),""))</f>
        <v/>
      </c>
      <c r="K344" s="25" t="str">
        <f aca="false">IF($A344="","",IF(D344="Withdrawn",0,IF(E344&lt;&gt;"",N(E344),IFERROR(N(INDEX(Activities!$I$2:$I$201,MATCH($A344,Activities!$A$2:$A$201,0))),0))))</f>
        <v/>
      </c>
      <c r="L344" s="24" t="str">
        <f aca="false">IF(AND($A344="",$B344=""),"",IF(ISNA(MATCH($A344,Activities!$A$2:$A$201,0)),"Unknown activity",IF(ISNA(MATCH($B344,Students!$A$2:$A$301,0)),"Unknown student",IF(D344="","No status",IF(COUNTIFS($A$2:$A$1001,$A344,$B$2:$B$1001,$B344)&gt;1,"Duplicate",IF(AND(D344&lt;&gt;"Withdrawn",G344&lt;&gt;"",COUNTIFS($B$2:$B$1001,$B344,$G$2:$G$1001,G344,$D$2:$D$1001,"&lt;&gt;Withdrawn")&gt;1),"Same-day clash","OK"))))))</f>
        <v/>
      </c>
    </row>
    <row r="345" customFormat="false" ht="15" hidden="false" customHeight="false" outlineLevel="0" collapsed="false">
      <c r="E345" s="26"/>
      <c r="G345" s="23" t="str">
        <f aca="false">IF($A345="","",IFERROR(IF(INDEX(Activities!$C$2:$C$201,MATCH($A345,Activities!$A$2:$A$201,0))="","",INDEX(Activities!$C$2:$C$201,MATCH($A345,Activities!$A$2:$A$201,0))),""))</f>
        <v/>
      </c>
      <c r="H345" s="24" t="str">
        <f aca="false">IF($A345="","",IFERROR(IF(INDEX(Activities!$B$2:$B$201,MATCH($A345,Activities!$A$2:$A$201,0))="","",INDEX(Activities!$B$2:$B$201,MATCH($A345,Activities!$A$2:$A$201,0))),""))</f>
        <v/>
      </c>
      <c r="I345" s="24" t="str">
        <f aca="false">IF($B345="","",IFERROR(IF(INDEX(Students!$C$2:$C$301,MATCH($B345,Students!$A$2:$A$301,0))="","",INDEX(Students!$C$2:$C$301,MATCH($B345,Students!$A$2:$A$301,0))),""))</f>
        <v/>
      </c>
      <c r="J345" s="24" t="str">
        <f aca="false">IF($B345="","",IFERROR(IF(INDEX(Students!$B$2:$B$301,MATCH($B345,Students!$A$2:$A$301,0))="","",INDEX(Students!$B$2:$B$301,MATCH($B345,Students!$A$2:$A$301,0))),""))</f>
        <v/>
      </c>
      <c r="K345" s="25" t="str">
        <f aca="false">IF($A345="","",IF(D345="Withdrawn",0,IF(E345&lt;&gt;"",N(E345),IFERROR(N(INDEX(Activities!$I$2:$I$201,MATCH($A345,Activities!$A$2:$A$201,0))),0))))</f>
        <v/>
      </c>
      <c r="L345" s="24" t="str">
        <f aca="false">IF(AND($A345="",$B345=""),"",IF(ISNA(MATCH($A345,Activities!$A$2:$A$201,0)),"Unknown activity",IF(ISNA(MATCH($B345,Students!$A$2:$A$301,0)),"Unknown student",IF(D345="","No status",IF(COUNTIFS($A$2:$A$1001,$A345,$B$2:$B$1001,$B345)&gt;1,"Duplicate",IF(AND(D345&lt;&gt;"Withdrawn",G345&lt;&gt;"",COUNTIFS($B$2:$B$1001,$B345,$G$2:$G$1001,G345,$D$2:$D$1001,"&lt;&gt;Withdrawn")&gt;1),"Same-day clash","OK"))))))</f>
        <v/>
      </c>
    </row>
    <row r="346" customFormat="false" ht="15" hidden="false" customHeight="false" outlineLevel="0" collapsed="false">
      <c r="E346" s="26"/>
      <c r="G346" s="23" t="str">
        <f aca="false">IF($A346="","",IFERROR(IF(INDEX(Activities!$C$2:$C$201,MATCH($A346,Activities!$A$2:$A$201,0))="","",INDEX(Activities!$C$2:$C$201,MATCH($A346,Activities!$A$2:$A$201,0))),""))</f>
        <v/>
      </c>
      <c r="H346" s="24" t="str">
        <f aca="false">IF($A346="","",IFERROR(IF(INDEX(Activities!$B$2:$B$201,MATCH($A346,Activities!$A$2:$A$201,0))="","",INDEX(Activities!$B$2:$B$201,MATCH($A346,Activities!$A$2:$A$201,0))),""))</f>
        <v/>
      </c>
      <c r="I346" s="24" t="str">
        <f aca="false">IF($B346="","",IFERROR(IF(INDEX(Students!$C$2:$C$301,MATCH($B346,Students!$A$2:$A$301,0))="","",INDEX(Students!$C$2:$C$301,MATCH($B346,Students!$A$2:$A$301,0))),""))</f>
        <v/>
      </c>
      <c r="J346" s="24" t="str">
        <f aca="false">IF($B346="","",IFERROR(IF(INDEX(Students!$B$2:$B$301,MATCH($B346,Students!$A$2:$A$301,0))="","",INDEX(Students!$B$2:$B$301,MATCH($B346,Students!$A$2:$A$301,0))),""))</f>
        <v/>
      </c>
      <c r="K346" s="25" t="str">
        <f aca="false">IF($A346="","",IF(D346="Withdrawn",0,IF(E346&lt;&gt;"",N(E346),IFERROR(N(INDEX(Activities!$I$2:$I$201,MATCH($A346,Activities!$A$2:$A$201,0))),0))))</f>
        <v/>
      </c>
      <c r="L346" s="24" t="str">
        <f aca="false">IF(AND($A346="",$B346=""),"",IF(ISNA(MATCH($A346,Activities!$A$2:$A$201,0)),"Unknown activity",IF(ISNA(MATCH($B346,Students!$A$2:$A$301,0)),"Unknown student",IF(D346="","No status",IF(COUNTIFS($A$2:$A$1001,$A346,$B$2:$B$1001,$B346)&gt;1,"Duplicate",IF(AND(D346&lt;&gt;"Withdrawn",G346&lt;&gt;"",COUNTIFS($B$2:$B$1001,$B346,$G$2:$G$1001,G346,$D$2:$D$1001,"&lt;&gt;Withdrawn")&gt;1),"Same-day clash","OK"))))))</f>
        <v/>
      </c>
    </row>
    <row r="347" customFormat="false" ht="15" hidden="false" customHeight="false" outlineLevel="0" collapsed="false">
      <c r="E347" s="26"/>
      <c r="G347" s="23" t="str">
        <f aca="false">IF($A347="","",IFERROR(IF(INDEX(Activities!$C$2:$C$201,MATCH($A347,Activities!$A$2:$A$201,0))="","",INDEX(Activities!$C$2:$C$201,MATCH($A347,Activities!$A$2:$A$201,0))),""))</f>
        <v/>
      </c>
      <c r="H347" s="24" t="str">
        <f aca="false">IF($A347="","",IFERROR(IF(INDEX(Activities!$B$2:$B$201,MATCH($A347,Activities!$A$2:$A$201,0))="","",INDEX(Activities!$B$2:$B$201,MATCH($A347,Activities!$A$2:$A$201,0))),""))</f>
        <v/>
      </c>
      <c r="I347" s="24" t="str">
        <f aca="false">IF($B347="","",IFERROR(IF(INDEX(Students!$C$2:$C$301,MATCH($B347,Students!$A$2:$A$301,0))="","",INDEX(Students!$C$2:$C$301,MATCH($B347,Students!$A$2:$A$301,0))),""))</f>
        <v/>
      </c>
      <c r="J347" s="24" t="str">
        <f aca="false">IF($B347="","",IFERROR(IF(INDEX(Students!$B$2:$B$301,MATCH($B347,Students!$A$2:$A$301,0))="","",INDEX(Students!$B$2:$B$301,MATCH($B347,Students!$A$2:$A$301,0))),""))</f>
        <v/>
      </c>
      <c r="K347" s="25" t="str">
        <f aca="false">IF($A347="","",IF(D347="Withdrawn",0,IF(E347&lt;&gt;"",N(E347),IFERROR(N(INDEX(Activities!$I$2:$I$201,MATCH($A347,Activities!$A$2:$A$201,0))),0))))</f>
        <v/>
      </c>
      <c r="L347" s="24" t="str">
        <f aca="false">IF(AND($A347="",$B347=""),"",IF(ISNA(MATCH($A347,Activities!$A$2:$A$201,0)),"Unknown activity",IF(ISNA(MATCH($B347,Students!$A$2:$A$301,0)),"Unknown student",IF(D347="","No status",IF(COUNTIFS($A$2:$A$1001,$A347,$B$2:$B$1001,$B347)&gt;1,"Duplicate",IF(AND(D347&lt;&gt;"Withdrawn",G347&lt;&gt;"",COUNTIFS($B$2:$B$1001,$B347,$G$2:$G$1001,G347,$D$2:$D$1001,"&lt;&gt;Withdrawn")&gt;1),"Same-day clash","OK"))))))</f>
        <v/>
      </c>
    </row>
    <row r="348" customFormat="false" ht="15" hidden="false" customHeight="false" outlineLevel="0" collapsed="false">
      <c r="E348" s="26"/>
      <c r="G348" s="23" t="str">
        <f aca="false">IF($A348="","",IFERROR(IF(INDEX(Activities!$C$2:$C$201,MATCH($A348,Activities!$A$2:$A$201,0))="","",INDEX(Activities!$C$2:$C$201,MATCH($A348,Activities!$A$2:$A$201,0))),""))</f>
        <v/>
      </c>
      <c r="H348" s="24" t="str">
        <f aca="false">IF($A348="","",IFERROR(IF(INDEX(Activities!$B$2:$B$201,MATCH($A348,Activities!$A$2:$A$201,0))="","",INDEX(Activities!$B$2:$B$201,MATCH($A348,Activities!$A$2:$A$201,0))),""))</f>
        <v/>
      </c>
      <c r="I348" s="24" t="str">
        <f aca="false">IF($B348="","",IFERROR(IF(INDEX(Students!$C$2:$C$301,MATCH($B348,Students!$A$2:$A$301,0))="","",INDEX(Students!$C$2:$C$301,MATCH($B348,Students!$A$2:$A$301,0))),""))</f>
        <v/>
      </c>
      <c r="J348" s="24" t="str">
        <f aca="false">IF($B348="","",IFERROR(IF(INDEX(Students!$B$2:$B$301,MATCH($B348,Students!$A$2:$A$301,0))="","",INDEX(Students!$B$2:$B$301,MATCH($B348,Students!$A$2:$A$301,0))),""))</f>
        <v/>
      </c>
      <c r="K348" s="25" t="str">
        <f aca="false">IF($A348="","",IF(D348="Withdrawn",0,IF(E348&lt;&gt;"",N(E348),IFERROR(N(INDEX(Activities!$I$2:$I$201,MATCH($A348,Activities!$A$2:$A$201,0))),0))))</f>
        <v/>
      </c>
      <c r="L348" s="24" t="str">
        <f aca="false">IF(AND($A348="",$B348=""),"",IF(ISNA(MATCH($A348,Activities!$A$2:$A$201,0)),"Unknown activity",IF(ISNA(MATCH($B348,Students!$A$2:$A$301,0)),"Unknown student",IF(D348="","No status",IF(COUNTIFS($A$2:$A$1001,$A348,$B$2:$B$1001,$B348)&gt;1,"Duplicate",IF(AND(D348&lt;&gt;"Withdrawn",G348&lt;&gt;"",COUNTIFS($B$2:$B$1001,$B348,$G$2:$G$1001,G348,$D$2:$D$1001,"&lt;&gt;Withdrawn")&gt;1),"Same-day clash","OK"))))))</f>
        <v/>
      </c>
    </row>
    <row r="349" customFormat="false" ht="15" hidden="false" customHeight="false" outlineLevel="0" collapsed="false">
      <c r="E349" s="26"/>
      <c r="G349" s="23" t="str">
        <f aca="false">IF($A349="","",IFERROR(IF(INDEX(Activities!$C$2:$C$201,MATCH($A349,Activities!$A$2:$A$201,0))="","",INDEX(Activities!$C$2:$C$201,MATCH($A349,Activities!$A$2:$A$201,0))),""))</f>
        <v/>
      </c>
      <c r="H349" s="24" t="str">
        <f aca="false">IF($A349="","",IFERROR(IF(INDEX(Activities!$B$2:$B$201,MATCH($A349,Activities!$A$2:$A$201,0))="","",INDEX(Activities!$B$2:$B$201,MATCH($A349,Activities!$A$2:$A$201,0))),""))</f>
        <v/>
      </c>
      <c r="I349" s="24" t="str">
        <f aca="false">IF($B349="","",IFERROR(IF(INDEX(Students!$C$2:$C$301,MATCH($B349,Students!$A$2:$A$301,0))="","",INDEX(Students!$C$2:$C$301,MATCH($B349,Students!$A$2:$A$301,0))),""))</f>
        <v/>
      </c>
      <c r="J349" s="24" t="str">
        <f aca="false">IF($B349="","",IFERROR(IF(INDEX(Students!$B$2:$B$301,MATCH($B349,Students!$A$2:$A$301,0))="","",INDEX(Students!$B$2:$B$301,MATCH($B349,Students!$A$2:$A$301,0))),""))</f>
        <v/>
      </c>
      <c r="K349" s="25" t="str">
        <f aca="false">IF($A349="","",IF(D349="Withdrawn",0,IF(E349&lt;&gt;"",N(E349),IFERROR(N(INDEX(Activities!$I$2:$I$201,MATCH($A349,Activities!$A$2:$A$201,0))),0))))</f>
        <v/>
      </c>
      <c r="L349" s="24" t="str">
        <f aca="false">IF(AND($A349="",$B349=""),"",IF(ISNA(MATCH($A349,Activities!$A$2:$A$201,0)),"Unknown activity",IF(ISNA(MATCH($B349,Students!$A$2:$A$301,0)),"Unknown student",IF(D349="","No status",IF(COUNTIFS($A$2:$A$1001,$A349,$B$2:$B$1001,$B349)&gt;1,"Duplicate",IF(AND(D349&lt;&gt;"Withdrawn",G349&lt;&gt;"",COUNTIFS($B$2:$B$1001,$B349,$G$2:$G$1001,G349,$D$2:$D$1001,"&lt;&gt;Withdrawn")&gt;1),"Same-day clash","OK"))))))</f>
        <v/>
      </c>
    </row>
    <row r="350" customFormat="false" ht="15" hidden="false" customHeight="false" outlineLevel="0" collapsed="false">
      <c r="E350" s="26"/>
      <c r="G350" s="23" t="str">
        <f aca="false">IF($A350="","",IFERROR(IF(INDEX(Activities!$C$2:$C$201,MATCH($A350,Activities!$A$2:$A$201,0))="","",INDEX(Activities!$C$2:$C$201,MATCH($A350,Activities!$A$2:$A$201,0))),""))</f>
        <v/>
      </c>
      <c r="H350" s="24" t="str">
        <f aca="false">IF($A350="","",IFERROR(IF(INDEX(Activities!$B$2:$B$201,MATCH($A350,Activities!$A$2:$A$201,0))="","",INDEX(Activities!$B$2:$B$201,MATCH($A350,Activities!$A$2:$A$201,0))),""))</f>
        <v/>
      </c>
      <c r="I350" s="24" t="str">
        <f aca="false">IF($B350="","",IFERROR(IF(INDEX(Students!$C$2:$C$301,MATCH($B350,Students!$A$2:$A$301,0))="","",INDEX(Students!$C$2:$C$301,MATCH($B350,Students!$A$2:$A$301,0))),""))</f>
        <v/>
      </c>
      <c r="J350" s="24" t="str">
        <f aca="false">IF($B350="","",IFERROR(IF(INDEX(Students!$B$2:$B$301,MATCH($B350,Students!$A$2:$A$301,0))="","",INDEX(Students!$B$2:$B$301,MATCH($B350,Students!$A$2:$A$301,0))),""))</f>
        <v/>
      </c>
      <c r="K350" s="25" t="str">
        <f aca="false">IF($A350="","",IF(D350="Withdrawn",0,IF(E350&lt;&gt;"",N(E350),IFERROR(N(INDEX(Activities!$I$2:$I$201,MATCH($A350,Activities!$A$2:$A$201,0))),0))))</f>
        <v/>
      </c>
      <c r="L350" s="24" t="str">
        <f aca="false">IF(AND($A350="",$B350=""),"",IF(ISNA(MATCH($A350,Activities!$A$2:$A$201,0)),"Unknown activity",IF(ISNA(MATCH($B350,Students!$A$2:$A$301,0)),"Unknown student",IF(D350="","No status",IF(COUNTIFS($A$2:$A$1001,$A350,$B$2:$B$1001,$B350)&gt;1,"Duplicate",IF(AND(D350&lt;&gt;"Withdrawn",G350&lt;&gt;"",COUNTIFS($B$2:$B$1001,$B350,$G$2:$G$1001,G350,$D$2:$D$1001,"&lt;&gt;Withdrawn")&gt;1),"Same-day clash","OK"))))))</f>
        <v/>
      </c>
    </row>
    <row r="351" customFormat="false" ht="15" hidden="false" customHeight="false" outlineLevel="0" collapsed="false">
      <c r="E351" s="26"/>
      <c r="G351" s="23" t="str">
        <f aca="false">IF($A351="","",IFERROR(IF(INDEX(Activities!$C$2:$C$201,MATCH($A351,Activities!$A$2:$A$201,0))="","",INDEX(Activities!$C$2:$C$201,MATCH($A351,Activities!$A$2:$A$201,0))),""))</f>
        <v/>
      </c>
      <c r="H351" s="24" t="str">
        <f aca="false">IF($A351="","",IFERROR(IF(INDEX(Activities!$B$2:$B$201,MATCH($A351,Activities!$A$2:$A$201,0))="","",INDEX(Activities!$B$2:$B$201,MATCH($A351,Activities!$A$2:$A$201,0))),""))</f>
        <v/>
      </c>
      <c r="I351" s="24" t="str">
        <f aca="false">IF($B351="","",IFERROR(IF(INDEX(Students!$C$2:$C$301,MATCH($B351,Students!$A$2:$A$301,0))="","",INDEX(Students!$C$2:$C$301,MATCH($B351,Students!$A$2:$A$301,0))),""))</f>
        <v/>
      </c>
      <c r="J351" s="24" t="str">
        <f aca="false">IF($B351="","",IFERROR(IF(INDEX(Students!$B$2:$B$301,MATCH($B351,Students!$A$2:$A$301,0))="","",INDEX(Students!$B$2:$B$301,MATCH($B351,Students!$A$2:$A$301,0))),""))</f>
        <v/>
      </c>
      <c r="K351" s="25" t="str">
        <f aca="false">IF($A351="","",IF(D351="Withdrawn",0,IF(E351&lt;&gt;"",N(E351),IFERROR(N(INDEX(Activities!$I$2:$I$201,MATCH($A351,Activities!$A$2:$A$201,0))),0))))</f>
        <v/>
      </c>
      <c r="L351" s="24" t="str">
        <f aca="false">IF(AND($A351="",$B351=""),"",IF(ISNA(MATCH($A351,Activities!$A$2:$A$201,0)),"Unknown activity",IF(ISNA(MATCH($B351,Students!$A$2:$A$301,0)),"Unknown student",IF(D351="","No status",IF(COUNTIFS($A$2:$A$1001,$A351,$B$2:$B$1001,$B351)&gt;1,"Duplicate",IF(AND(D351&lt;&gt;"Withdrawn",G351&lt;&gt;"",COUNTIFS($B$2:$B$1001,$B351,$G$2:$G$1001,G351,$D$2:$D$1001,"&lt;&gt;Withdrawn")&gt;1),"Same-day clash","OK"))))))</f>
        <v/>
      </c>
    </row>
    <row r="352" customFormat="false" ht="15" hidden="false" customHeight="false" outlineLevel="0" collapsed="false">
      <c r="E352" s="26"/>
      <c r="G352" s="23" t="str">
        <f aca="false">IF($A352="","",IFERROR(IF(INDEX(Activities!$C$2:$C$201,MATCH($A352,Activities!$A$2:$A$201,0))="","",INDEX(Activities!$C$2:$C$201,MATCH($A352,Activities!$A$2:$A$201,0))),""))</f>
        <v/>
      </c>
      <c r="H352" s="24" t="str">
        <f aca="false">IF($A352="","",IFERROR(IF(INDEX(Activities!$B$2:$B$201,MATCH($A352,Activities!$A$2:$A$201,0))="","",INDEX(Activities!$B$2:$B$201,MATCH($A352,Activities!$A$2:$A$201,0))),""))</f>
        <v/>
      </c>
      <c r="I352" s="24" t="str">
        <f aca="false">IF($B352="","",IFERROR(IF(INDEX(Students!$C$2:$C$301,MATCH($B352,Students!$A$2:$A$301,0))="","",INDEX(Students!$C$2:$C$301,MATCH($B352,Students!$A$2:$A$301,0))),""))</f>
        <v/>
      </c>
      <c r="J352" s="24" t="str">
        <f aca="false">IF($B352="","",IFERROR(IF(INDEX(Students!$B$2:$B$301,MATCH($B352,Students!$A$2:$A$301,0))="","",INDEX(Students!$B$2:$B$301,MATCH($B352,Students!$A$2:$A$301,0))),""))</f>
        <v/>
      </c>
      <c r="K352" s="25" t="str">
        <f aca="false">IF($A352="","",IF(D352="Withdrawn",0,IF(E352&lt;&gt;"",N(E352),IFERROR(N(INDEX(Activities!$I$2:$I$201,MATCH($A352,Activities!$A$2:$A$201,0))),0))))</f>
        <v/>
      </c>
      <c r="L352" s="24" t="str">
        <f aca="false">IF(AND($A352="",$B352=""),"",IF(ISNA(MATCH($A352,Activities!$A$2:$A$201,0)),"Unknown activity",IF(ISNA(MATCH($B352,Students!$A$2:$A$301,0)),"Unknown student",IF(D352="","No status",IF(COUNTIFS($A$2:$A$1001,$A352,$B$2:$B$1001,$B352)&gt;1,"Duplicate",IF(AND(D352&lt;&gt;"Withdrawn",G352&lt;&gt;"",COUNTIFS($B$2:$B$1001,$B352,$G$2:$G$1001,G352,$D$2:$D$1001,"&lt;&gt;Withdrawn")&gt;1),"Same-day clash","OK"))))))</f>
        <v/>
      </c>
    </row>
    <row r="353" customFormat="false" ht="15" hidden="false" customHeight="false" outlineLevel="0" collapsed="false">
      <c r="E353" s="26"/>
      <c r="G353" s="23" t="str">
        <f aca="false">IF($A353="","",IFERROR(IF(INDEX(Activities!$C$2:$C$201,MATCH($A353,Activities!$A$2:$A$201,0))="","",INDEX(Activities!$C$2:$C$201,MATCH($A353,Activities!$A$2:$A$201,0))),""))</f>
        <v/>
      </c>
      <c r="H353" s="24" t="str">
        <f aca="false">IF($A353="","",IFERROR(IF(INDEX(Activities!$B$2:$B$201,MATCH($A353,Activities!$A$2:$A$201,0))="","",INDEX(Activities!$B$2:$B$201,MATCH($A353,Activities!$A$2:$A$201,0))),""))</f>
        <v/>
      </c>
      <c r="I353" s="24" t="str">
        <f aca="false">IF($B353="","",IFERROR(IF(INDEX(Students!$C$2:$C$301,MATCH($B353,Students!$A$2:$A$301,0))="","",INDEX(Students!$C$2:$C$301,MATCH($B353,Students!$A$2:$A$301,0))),""))</f>
        <v/>
      </c>
      <c r="J353" s="24" t="str">
        <f aca="false">IF($B353="","",IFERROR(IF(INDEX(Students!$B$2:$B$301,MATCH($B353,Students!$A$2:$A$301,0))="","",INDEX(Students!$B$2:$B$301,MATCH($B353,Students!$A$2:$A$301,0))),""))</f>
        <v/>
      </c>
      <c r="K353" s="25" t="str">
        <f aca="false">IF($A353="","",IF(D353="Withdrawn",0,IF(E353&lt;&gt;"",N(E353),IFERROR(N(INDEX(Activities!$I$2:$I$201,MATCH($A353,Activities!$A$2:$A$201,0))),0))))</f>
        <v/>
      </c>
      <c r="L353" s="24" t="str">
        <f aca="false">IF(AND($A353="",$B353=""),"",IF(ISNA(MATCH($A353,Activities!$A$2:$A$201,0)),"Unknown activity",IF(ISNA(MATCH($B353,Students!$A$2:$A$301,0)),"Unknown student",IF(D353="","No status",IF(COUNTIFS($A$2:$A$1001,$A353,$B$2:$B$1001,$B353)&gt;1,"Duplicate",IF(AND(D353&lt;&gt;"Withdrawn",G353&lt;&gt;"",COUNTIFS($B$2:$B$1001,$B353,$G$2:$G$1001,G353,$D$2:$D$1001,"&lt;&gt;Withdrawn")&gt;1),"Same-day clash","OK"))))))</f>
        <v/>
      </c>
    </row>
    <row r="354" customFormat="false" ht="15" hidden="false" customHeight="false" outlineLevel="0" collapsed="false">
      <c r="E354" s="26"/>
      <c r="G354" s="23" t="str">
        <f aca="false">IF($A354="","",IFERROR(IF(INDEX(Activities!$C$2:$C$201,MATCH($A354,Activities!$A$2:$A$201,0))="","",INDEX(Activities!$C$2:$C$201,MATCH($A354,Activities!$A$2:$A$201,0))),""))</f>
        <v/>
      </c>
      <c r="H354" s="24" t="str">
        <f aca="false">IF($A354="","",IFERROR(IF(INDEX(Activities!$B$2:$B$201,MATCH($A354,Activities!$A$2:$A$201,0))="","",INDEX(Activities!$B$2:$B$201,MATCH($A354,Activities!$A$2:$A$201,0))),""))</f>
        <v/>
      </c>
      <c r="I354" s="24" t="str">
        <f aca="false">IF($B354="","",IFERROR(IF(INDEX(Students!$C$2:$C$301,MATCH($B354,Students!$A$2:$A$301,0))="","",INDEX(Students!$C$2:$C$301,MATCH($B354,Students!$A$2:$A$301,0))),""))</f>
        <v/>
      </c>
      <c r="J354" s="24" t="str">
        <f aca="false">IF($B354="","",IFERROR(IF(INDEX(Students!$B$2:$B$301,MATCH($B354,Students!$A$2:$A$301,0))="","",INDEX(Students!$B$2:$B$301,MATCH($B354,Students!$A$2:$A$301,0))),""))</f>
        <v/>
      </c>
      <c r="K354" s="25" t="str">
        <f aca="false">IF($A354="","",IF(D354="Withdrawn",0,IF(E354&lt;&gt;"",N(E354),IFERROR(N(INDEX(Activities!$I$2:$I$201,MATCH($A354,Activities!$A$2:$A$201,0))),0))))</f>
        <v/>
      </c>
      <c r="L354" s="24" t="str">
        <f aca="false">IF(AND($A354="",$B354=""),"",IF(ISNA(MATCH($A354,Activities!$A$2:$A$201,0)),"Unknown activity",IF(ISNA(MATCH($B354,Students!$A$2:$A$301,0)),"Unknown student",IF(D354="","No status",IF(COUNTIFS($A$2:$A$1001,$A354,$B$2:$B$1001,$B354)&gt;1,"Duplicate",IF(AND(D354&lt;&gt;"Withdrawn",G354&lt;&gt;"",COUNTIFS($B$2:$B$1001,$B354,$G$2:$G$1001,G354,$D$2:$D$1001,"&lt;&gt;Withdrawn")&gt;1),"Same-day clash","OK"))))))</f>
        <v/>
      </c>
    </row>
    <row r="355" customFormat="false" ht="15" hidden="false" customHeight="false" outlineLevel="0" collapsed="false">
      <c r="E355" s="26"/>
      <c r="G355" s="23" t="str">
        <f aca="false">IF($A355="","",IFERROR(IF(INDEX(Activities!$C$2:$C$201,MATCH($A355,Activities!$A$2:$A$201,0))="","",INDEX(Activities!$C$2:$C$201,MATCH($A355,Activities!$A$2:$A$201,0))),""))</f>
        <v/>
      </c>
      <c r="H355" s="24" t="str">
        <f aca="false">IF($A355="","",IFERROR(IF(INDEX(Activities!$B$2:$B$201,MATCH($A355,Activities!$A$2:$A$201,0))="","",INDEX(Activities!$B$2:$B$201,MATCH($A355,Activities!$A$2:$A$201,0))),""))</f>
        <v/>
      </c>
      <c r="I355" s="24" t="str">
        <f aca="false">IF($B355="","",IFERROR(IF(INDEX(Students!$C$2:$C$301,MATCH($B355,Students!$A$2:$A$301,0))="","",INDEX(Students!$C$2:$C$301,MATCH($B355,Students!$A$2:$A$301,0))),""))</f>
        <v/>
      </c>
      <c r="J355" s="24" t="str">
        <f aca="false">IF($B355="","",IFERROR(IF(INDEX(Students!$B$2:$B$301,MATCH($B355,Students!$A$2:$A$301,0))="","",INDEX(Students!$B$2:$B$301,MATCH($B355,Students!$A$2:$A$301,0))),""))</f>
        <v/>
      </c>
      <c r="K355" s="25" t="str">
        <f aca="false">IF($A355="","",IF(D355="Withdrawn",0,IF(E355&lt;&gt;"",N(E355),IFERROR(N(INDEX(Activities!$I$2:$I$201,MATCH($A355,Activities!$A$2:$A$201,0))),0))))</f>
        <v/>
      </c>
      <c r="L355" s="24" t="str">
        <f aca="false">IF(AND($A355="",$B355=""),"",IF(ISNA(MATCH($A355,Activities!$A$2:$A$201,0)),"Unknown activity",IF(ISNA(MATCH($B355,Students!$A$2:$A$301,0)),"Unknown student",IF(D355="","No status",IF(COUNTIFS($A$2:$A$1001,$A355,$B$2:$B$1001,$B355)&gt;1,"Duplicate",IF(AND(D355&lt;&gt;"Withdrawn",G355&lt;&gt;"",COUNTIFS($B$2:$B$1001,$B355,$G$2:$G$1001,G355,$D$2:$D$1001,"&lt;&gt;Withdrawn")&gt;1),"Same-day clash","OK"))))))</f>
        <v/>
      </c>
    </row>
    <row r="356" customFormat="false" ht="15" hidden="false" customHeight="false" outlineLevel="0" collapsed="false">
      <c r="E356" s="26"/>
      <c r="G356" s="23" t="str">
        <f aca="false">IF($A356="","",IFERROR(IF(INDEX(Activities!$C$2:$C$201,MATCH($A356,Activities!$A$2:$A$201,0))="","",INDEX(Activities!$C$2:$C$201,MATCH($A356,Activities!$A$2:$A$201,0))),""))</f>
        <v/>
      </c>
      <c r="H356" s="24" t="str">
        <f aca="false">IF($A356="","",IFERROR(IF(INDEX(Activities!$B$2:$B$201,MATCH($A356,Activities!$A$2:$A$201,0))="","",INDEX(Activities!$B$2:$B$201,MATCH($A356,Activities!$A$2:$A$201,0))),""))</f>
        <v/>
      </c>
      <c r="I356" s="24" t="str">
        <f aca="false">IF($B356="","",IFERROR(IF(INDEX(Students!$C$2:$C$301,MATCH($B356,Students!$A$2:$A$301,0))="","",INDEX(Students!$C$2:$C$301,MATCH($B356,Students!$A$2:$A$301,0))),""))</f>
        <v/>
      </c>
      <c r="J356" s="24" t="str">
        <f aca="false">IF($B356="","",IFERROR(IF(INDEX(Students!$B$2:$B$301,MATCH($B356,Students!$A$2:$A$301,0))="","",INDEX(Students!$B$2:$B$301,MATCH($B356,Students!$A$2:$A$301,0))),""))</f>
        <v/>
      </c>
      <c r="K356" s="25" t="str">
        <f aca="false">IF($A356="","",IF(D356="Withdrawn",0,IF(E356&lt;&gt;"",N(E356),IFERROR(N(INDEX(Activities!$I$2:$I$201,MATCH($A356,Activities!$A$2:$A$201,0))),0))))</f>
        <v/>
      </c>
      <c r="L356" s="24" t="str">
        <f aca="false">IF(AND($A356="",$B356=""),"",IF(ISNA(MATCH($A356,Activities!$A$2:$A$201,0)),"Unknown activity",IF(ISNA(MATCH($B356,Students!$A$2:$A$301,0)),"Unknown student",IF(D356="","No status",IF(COUNTIFS($A$2:$A$1001,$A356,$B$2:$B$1001,$B356)&gt;1,"Duplicate",IF(AND(D356&lt;&gt;"Withdrawn",G356&lt;&gt;"",COUNTIFS($B$2:$B$1001,$B356,$G$2:$G$1001,G356,$D$2:$D$1001,"&lt;&gt;Withdrawn")&gt;1),"Same-day clash","OK"))))))</f>
        <v/>
      </c>
    </row>
    <row r="357" customFormat="false" ht="15" hidden="false" customHeight="false" outlineLevel="0" collapsed="false">
      <c r="E357" s="26"/>
      <c r="G357" s="23" t="str">
        <f aca="false">IF($A357="","",IFERROR(IF(INDEX(Activities!$C$2:$C$201,MATCH($A357,Activities!$A$2:$A$201,0))="","",INDEX(Activities!$C$2:$C$201,MATCH($A357,Activities!$A$2:$A$201,0))),""))</f>
        <v/>
      </c>
      <c r="H357" s="24" t="str">
        <f aca="false">IF($A357="","",IFERROR(IF(INDEX(Activities!$B$2:$B$201,MATCH($A357,Activities!$A$2:$A$201,0))="","",INDEX(Activities!$B$2:$B$201,MATCH($A357,Activities!$A$2:$A$201,0))),""))</f>
        <v/>
      </c>
      <c r="I357" s="24" t="str">
        <f aca="false">IF($B357="","",IFERROR(IF(INDEX(Students!$C$2:$C$301,MATCH($B357,Students!$A$2:$A$301,0))="","",INDEX(Students!$C$2:$C$301,MATCH($B357,Students!$A$2:$A$301,0))),""))</f>
        <v/>
      </c>
      <c r="J357" s="24" t="str">
        <f aca="false">IF($B357="","",IFERROR(IF(INDEX(Students!$B$2:$B$301,MATCH($B357,Students!$A$2:$A$301,0))="","",INDEX(Students!$B$2:$B$301,MATCH($B357,Students!$A$2:$A$301,0))),""))</f>
        <v/>
      </c>
      <c r="K357" s="25" t="str">
        <f aca="false">IF($A357="","",IF(D357="Withdrawn",0,IF(E357&lt;&gt;"",N(E357),IFERROR(N(INDEX(Activities!$I$2:$I$201,MATCH($A357,Activities!$A$2:$A$201,0))),0))))</f>
        <v/>
      </c>
      <c r="L357" s="24" t="str">
        <f aca="false">IF(AND($A357="",$B357=""),"",IF(ISNA(MATCH($A357,Activities!$A$2:$A$201,0)),"Unknown activity",IF(ISNA(MATCH($B357,Students!$A$2:$A$301,0)),"Unknown student",IF(D357="","No status",IF(COUNTIFS($A$2:$A$1001,$A357,$B$2:$B$1001,$B357)&gt;1,"Duplicate",IF(AND(D357&lt;&gt;"Withdrawn",G357&lt;&gt;"",COUNTIFS($B$2:$B$1001,$B357,$G$2:$G$1001,G357,$D$2:$D$1001,"&lt;&gt;Withdrawn")&gt;1),"Same-day clash","OK"))))))</f>
        <v/>
      </c>
    </row>
    <row r="358" customFormat="false" ht="15" hidden="false" customHeight="false" outlineLevel="0" collapsed="false">
      <c r="E358" s="26"/>
      <c r="G358" s="23" t="str">
        <f aca="false">IF($A358="","",IFERROR(IF(INDEX(Activities!$C$2:$C$201,MATCH($A358,Activities!$A$2:$A$201,0))="","",INDEX(Activities!$C$2:$C$201,MATCH($A358,Activities!$A$2:$A$201,0))),""))</f>
        <v/>
      </c>
      <c r="H358" s="24" t="str">
        <f aca="false">IF($A358="","",IFERROR(IF(INDEX(Activities!$B$2:$B$201,MATCH($A358,Activities!$A$2:$A$201,0))="","",INDEX(Activities!$B$2:$B$201,MATCH($A358,Activities!$A$2:$A$201,0))),""))</f>
        <v/>
      </c>
      <c r="I358" s="24" t="str">
        <f aca="false">IF($B358="","",IFERROR(IF(INDEX(Students!$C$2:$C$301,MATCH($B358,Students!$A$2:$A$301,0))="","",INDEX(Students!$C$2:$C$301,MATCH($B358,Students!$A$2:$A$301,0))),""))</f>
        <v/>
      </c>
      <c r="J358" s="24" t="str">
        <f aca="false">IF($B358="","",IFERROR(IF(INDEX(Students!$B$2:$B$301,MATCH($B358,Students!$A$2:$A$301,0))="","",INDEX(Students!$B$2:$B$301,MATCH($B358,Students!$A$2:$A$301,0))),""))</f>
        <v/>
      </c>
      <c r="K358" s="25" t="str">
        <f aca="false">IF($A358="","",IF(D358="Withdrawn",0,IF(E358&lt;&gt;"",N(E358),IFERROR(N(INDEX(Activities!$I$2:$I$201,MATCH($A358,Activities!$A$2:$A$201,0))),0))))</f>
        <v/>
      </c>
      <c r="L358" s="24" t="str">
        <f aca="false">IF(AND($A358="",$B358=""),"",IF(ISNA(MATCH($A358,Activities!$A$2:$A$201,0)),"Unknown activity",IF(ISNA(MATCH($B358,Students!$A$2:$A$301,0)),"Unknown student",IF(D358="","No status",IF(COUNTIFS($A$2:$A$1001,$A358,$B$2:$B$1001,$B358)&gt;1,"Duplicate",IF(AND(D358&lt;&gt;"Withdrawn",G358&lt;&gt;"",COUNTIFS($B$2:$B$1001,$B358,$G$2:$G$1001,G358,$D$2:$D$1001,"&lt;&gt;Withdrawn")&gt;1),"Same-day clash","OK"))))))</f>
        <v/>
      </c>
    </row>
    <row r="359" customFormat="false" ht="15" hidden="false" customHeight="false" outlineLevel="0" collapsed="false">
      <c r="E359" s="26"/>
      <c r="G359" s="23" t="str">
        <f aca="false">IF($A359="","",IFERROR(IF(INDEX(Activities!$C$2:$C$201,MATCH($A359,Activities!$A$2:$A$201,0))="","",INDEX(Activities!$C$2:$C$201,MATCH($A359,Activities!$A$2:$A$201,0))),""))</f>
        <v/>
      </c>
      <c r="H359" s="24" t="str">
        <f aca="false">IF($A359="","",IFERROR(IF(INDEX(Activities!$B$2:$B$201,MATCH($A359,Activities!$A$2:$A$201,0))="","",INDEX(Activities!$B$2:$B$201,MATCH($A359,Activities!$A$2:$A$201,0))),""))</f>
        <v/>
      </c>
      <c r="I359" s="24" t="str">
        <f aca="false">IF($B359="","",IFERROR(IF(INDEX(Students!$C$2:$C$301,MATCH($B359,Students!$A$2:$A$301,0))="","",INDEX(Students!$C$2:$C$301,MATCH($B359,Students!$A$2:$A$301,0))),""))</f>
        <v/>
      </c>
      <c r="J359" s="24" t="str">
        <f aca="false">IF($B359="","",IFERROR(IF(INDEX(Students!$B$2:$B$301,MATCH($B359,Students!$A$2:$A$301,0))="","",INDEX(Students!$B$2:$B$301,MATCH($B359,Students!$A$2:$A$301,0))),""))</f>
        <v/>
      </c>
      <c r="K359" s="25" t="str">
        <f aca="false">IF($A359="","",IF(D359="Withdrawn",0,IF(E359&lt;&gt;"",N(E359),IFERROR(N(INDEX(Activities!$I$2:$I$201,MATCH($A359,Activities!$A$2:$A$201,0))),0))))</f>
        <v/>
      </c>
      <c r="L359" s="24" t="str">
        <f aca="false">IF(AND($A359="",$B359=""),"",IF(ISNA(MATCH($A359,Activities!$A$2:$A$201,0)),"Unknown activity",IF(ISNA(MATCH($B359,Students!$A$2:$A$301,0)),"Unknown student",IF(D359="","No status",IF(COUNTIFS($A$2:$A$1001,$A359,$B$2:$B$1001,$B359)&gt;1,"Duplicate",IF(AND(D359&lt;&gt;"Withdrawn",G359&lt;&gt;"",COUNTIFS($B$2:$B$1001,$B359,$G$2:$G$1001,G359,$D$2:$D$1001,"&lt;&gt;Withdrawn")&gt;1),"Same-day clash","OK"))))))</f>
        <v/>
      </c>
    </row>
    <row r="360" customFormat="false" ht="15" hidden="false" customHeight="false" outlineLevel="0" collapsed="false">
      <c r="E360" s="26"/>
      <c r="G360" s="23" t="str">
        <f aca="false">IF($A360="","",IFERROR(IF(INDEX(Activities!$C$2:$C$201,MATCH($A360,Activities!$A$2:$A$201,0))="","",INDEX(Activities!$C$2:$C$201,MATCH($A360,Activities!$A$2:$A$201,0))),""))</f>
        <v/>
      </c>
      <c r="H360" s="24" t="str">
        <f aca="false">IF($A360="","",IFERROR(IF(INDEX(Activities!$B$2:$B$201,MATCH($A360,Activities!$A$2:$A$201,0))="","",INDEX(Activities!$B$2:$B$201,MATCH($A360,Activities!$A$2:$A$201,0))),""))</f>
        <v/>
      </c>
      <c r="I360" s="24" t="str">
        <f aca="false">IF($B360="","",IFERROR(IF(INDEX(Students!$C$2:$C$301,MATCH($B360,Students!$A$2:$A$301,0))="","",INDEX(Students!$C$2:$C$301,MATCH($B360,Students!$A$2:$A$301,0))),""))</f>
        <v/>
      </c>
      <c r="J360" s="24" t="str">
        <f aca="false">IF($B360="","",IFERROR(IF(INDEX(Students!$B$2:$B$301,MATCH($B360,Students!$A$2:$A$301,0))="","",INDEX(Students!$B$2:$B$301,MATCH($B360,Students!$A$2:$A$301,0))),""))</f>
        <v/>
      </c>
      <c r="K360" s="25" t="str">
        <f aca="false">IF($A360="","",IF(D360="Withdrawn",0,IF(E360&lt;&gt;"",N(E360),IFERROR(N(INDEX(Activities!$I$2:$I$201,MATCH($A360,Activities!$A$2:$A$201,0))),0))))</f>
        <v/>
      </c>
      <c r="L360" s="24" t="str">
        <f aca="false">IF(AND($A360="",$B360=""),"",IF(ISNA(MATCH($A360,Activities!$A$2:$A$201,0)),"Unknown activity",IF(ISNA(MATCH($B360,Students!$A$2:$A$301,0)),"Unknown student",IF(D360="","No status",IF(COUNTIFS($A$2:$A$1001,$A360,$B$2:$B$1001,$B360)&gt;1,"Duplicate",IF(AND(D360&lt;&gt;"Withdrawn",G360&lt;&gt;"",COUNTIFS($B$2:$B$1001,$B360,$G$2:$G$1001,G360,$D$2:$D$1001,"&lt;&gt;Withdrawn")&gt;1),"Same-day clash","OK"))))))</f>
        <v/>
      </c>
    </row>
    <row r="361" customFormat="false" ht="15" hidden="false" customHeight="false" outlineLevel="0" collapsed="false">
      <c r="E361" s="26"/>
      <c r="G361" s="23" t="str">
        <f aca="false">IF($A361="","",IFERROR(IF(INDEX(Activities!$C$2:$C$201,MATCH($A361,Activities!$A$2:$A$201,0))="","",INDEX(Activities!$C$2:$C$201,MATCH($A361,Activities!$A$2:$A$201,0))),""))</f>
        <v/>
      </c>
      <c r="H361" s="24" t="str">
        <f aca="false">IF($A361="","",IFERROR(IF(INDEX(Activities!$B$2:$B$201,MATCH($A361,Activities!$A$2:$A$201,0))="","",INDEX(Activities!$B$2:$B$201,MATCH($A361,Activities!$A$2:$A$201,0))),""))</f>
        <v/>
      </c>
      <c r="I361" s="24" t="str">
        <f aca="false">IF($B361="","",IFERROR(IF(INDEX(Students!$C$2:$C$301,MATCH($B361,Students!$A$2:$A$301,0))="","",INDEX(Students!$C$2:$C$301,MATCH($B361,Students!$A$2:$A$301,0))),""))</f>
        <v/>
      </c>
      <c r="J361" s="24" t="str">
        <f aca="false">IF($B361="","",IFERROR(IF(INDEX(Students!$B$2:$B$301,MATCH($B361,Students!$A$2:$A$301,0))="","",INDEX(Students!$B$2:$B$301,MATCH($B361,Students!$A$2:$A$301,0))),""))</f>
        <v/>
      </c>
      <c r="K361" s="25" t="str">
        <f aca="false">IF($A361="","",IF(D361="Withdrawn",0,IF(E361&lt;&gt;"",N(E361),IFERROR(N(INDEX(Activities!$I$2:$I$201,MATCH($A361,Activities!$A$2:$A$201,0))),0))))</f>
        <v/>
      </c>
      <c r="L361" s="24" t="str">
        <f aca="false">IF(AND($A361="",$B361=""),"",IF(ISNA(MATCH($A361,Activities!$A$2:$A$201,0)),"Unknown activity",IF(ISNA(MATCH($B361,Students!$A$2:$A$301,0)),"Unknown student",IF(D361="","No status",IF(COUNTIFS($A$2:$A$1001,$A361,$B$2:$B$1001,$B361)&gt;1,"Duplicate",IF(AND(D361&lt;&gt;"Withdrawn",G361&lt;&gt;"",COUNTIFS($B$2:$B$1001,$B361,$G$2:$G$1001,G361,$D$2:$D$1001,"&lt;&gt;Withdrawn")&gt;1),"Same-day clash","OK"))))))</f>
        <v/>
      </c>
    </row>
    <row r="362" customFormat="false" ht="15" hidden="false" customHeight="false" outlineLevel="0" collapsed="false">
      <c r="E362" s="26"/>
      <c r="G362" s="23" t="str">
        <f aca="false">IF($A362="","",IFERROR(IF(INDEX(Activities!$C$2:$C$201,MATCH($A362,Activities!$A$2:$A$201,0))="","",INDEX(Activities!$C$2:$C$201,MATCH($A362,Activities!$A$2:$A$201,0))),""))</f>
        <v/>
      </c>
      <c r="H362" s="24" t="str">
        <f aca="false">IF($A362="","",IFERROR(IF(INDEX(Activities!$B$2:$B$201,MATCH($A362,Activities!$A$2:$A$201,0))="","",INDEX(Activities!$B$2:$B$201,MATCH($A362,Activities!$A$2:$A$201,0))),""))</f>
        <v/>
      </c>
      <c r="I362" s="24" t="str">
        <f aca="false">IF($B362="","",IFERROR(IF(INDEX(Students!$C$2:$C$301,MATCH($B362,Students!$A$2:$A$301,0))="","",INDEX(Students!$C$2:$C$301,MATCH($B362,Students!$A$2:$A$301,0))),""))</f>
        <v/>
      </c>
      <c r="J362" s="24" t="str">
        <f aca="false">IF($B362="","",IFERROR(IF(INDEX(Students!$B$2:$B$301,MATCH($B362,Students!$A$2:$A$301,0))="","",INDEX(Students!$B$2:$B$301,MATCH($B362,Students!$A$2:$A$301,0))),""))</f>
        <v/>
      </c>
      <c r="K362" s="25" t="str">
        <f aca="false">IF($A362="","",IF(D362="Withdrawn",0,IF(E362&lt;&gt;"",N(E362),IFERROR(N(INDEX(Activities!$I$2:$I$201,MATCH($A362,Activities!$A$2:$A$201,0))),0))))</f>
        <v/>
      </c>
      <c r="L362" s="24" t="str">
        <f aca="false">IF(AND($A362="",$B362=""),"",IF(ISNA(MATCH($A362,Activities!$A$2:$A$201,0)),"Unknown activity",IF(ISNA(MATCH($B362,Students!$A$2:$A$301,0)),"Unknown student",IF(D362="","No status",IF(COUNTIFS($A$2:$A$1001,$A362,$B$2:$B$1001,$B362)&gt;1,"Duplicate",IF(AND(D362&lt;&gt;"Withdrawn",G362&lt;&gt;"",COUNTIFS($B$2:$B$1001,$B362,$G$2:$G$1001,G362,$D$2:$D$1001,"&lt;&gt;Withdrawn")&gt;1),"Same-day clash","OK"))))))</f>
        <v/>
      </c>
    </row>
    <row r="363" customFormat="false" ht="15" hidden="false" customHeight="false" outlineLevel="0" collapsed="false">
      <c r="E363" s="26"/>
      <c r="G363" s="23" t="str">
        <f aca="false">IF($A363="","",IFERROR(IF(INDEX(Activities!$C$2:$C$201,MATCH($A363,Activities!$A$2:$A$201,0))="","",INDEX(Activities!$C$2:$C$201,MATCH($A363,Activities!$A$2:$A$201,0))),""))</f>
        <v/>
      </c>
      <c r="H363" s="24" t="str">
        <f aca="false">IF($A363="","",IFERROR(IF(INDEX(Activities!$B$2:$B$201,MATCH($A363,Activities!$A$2:$A$201,0))="","",INDEX(Activities!$B$2:$B$201,MATCH($A363,Activities!$A$2:$A$201,0))),""))</f>
        <v/>
      </c>
      <c r="I363" s="24" t="str">
        <f aca="false">IF($B363="","",IFERROR(IF(INDEX(Students!$C$2:$C$301,MATCH($B363,Students!$A$2:$A$301,0))="","",INDEX(Students!$C$2:$C$301,MATCH($B363,Students!$A$2:$A$301,0))),""))</f>
        <v/>
      </c>
      <c r="J363" s="24" t="str">
        <f aca="false">IF($B363="","",IFERROR(IF(INDEX(Students!$B$2:$B$301,MATCH($B363,Students!$A$2:$A$301,0))="","",INDEX(Students!$B$2:$B$301,MATCH($B363,Students!$A$2:$A$301,0))),""))</f>
        <v/>
      </c>
      <c r="K363" s="25" t="str">
        <f aca="false">IF($A363="","",IF(D363="Withdrawn",0,IF(E363&lt;&gt;"",N(E363),IFERROR(N(INDEX(Activities!$I$2:$I$201,MATCH($A363,Activities!$A$2:$A$201,0))),0))))</f>
        <v/>
      </c>
      <c r="L363" s="24" t="str">
        <f aca="false">IF(AND($A363="",$B363=""),"",IF(ISNA(MATCH($A363,Activities!$A$2:$A$201,0)),"Unknown activity",IF(ISNA(MATCH($B363,Students!$A$2:$A$301,0)),"Unknown student",IF(D363="","No status",IF(COUNTIFS($A$2:$A$1001,$A363,$B$2:$B$1001,$B363)&gt;1,"Duplicate",IF(AND(D363&lt;&gt;"Withdrawn",G363&lt;&gt;"",COUNTIFS($B$2:$B$1001,$B363,$G$2:$G$1001,G363,$D$2:$D$1001,"&lt;&gt;Withdrawn")&gt;1),"Same-day clash","OK"))))))</f>
        <v/>
      </c>
    </row>
    <row r="364" customFormat="false" ht="15" hidden="false" customHeight="false" outlineLevel="0" collapsed="false">
      <c r="E364" s="26"/>
      <c r="G364" s="23" t="str">
        <f aca="false">IF($A364="","",IFERROR(IF(INDEX(Activities!$C$2:$C$201,MATCH($A364,Activities!$A$2:$A$201,0))="","",INDEX(Activities!$C$2:$C$201,MATCH($A364,Activities!$A$2:$A$201,0))),""))</f>
        <v/>
      </c>
      <c r="H364" s="24" t="str">
        <f aca="false">IF($A364="","",IFERROR(IF(INDEX(Activities!$B$2:$B$201,MATCH($A364,Activities!$A$2:$A$201,0))="","",INDEX(Activities!$B$2:$B$201,MATCH($A364,Activities!$A$2:$A$201,0))),""))</f>
        <v/>
      </c>
      <c r="I364" s="24" t="str">
        <f aca="false">IF($B364="","",IFERROR(IF(INDEX(Students!$C$2:$C$301,MATCH($B364,Students!$A$2:$A$301,0))="","",INDEX(Students!$C$2:$C$301,MATCH($B364,Students!$A$2:$A$301,0))),""))</f>
        <v/>
      </c>
      <c r="J364" s="24" t="str">
        <f aca="false">IF($B364="","",IFERROR(IF(INDEX(Students!$B$2:$B$301,MATCH($B364,Students!$A$2:$A$301,0))="","",INDEX(Students!$B$2:$B$301,MATCH($B364,Students!$A$2:$A$301,0))),""))</f>
        <v/>
      </c>
      <c r="K364" s="25" t="str">
        <f aca="false">IF($A364="","",IF(D364="Withdrawn",0,IF(E364&lt;&gt;"",N(E364),IFERROR(N(INDEX(Activities!$I$2:$I$201,MATCH($A364,Activities!$A$2:$A$201,0))),0))))</f>
        <v/>
      </c>
      <c r="L364" s="24" t="str">
        <f aca="false">IF(AND($A364="",$B364=""),"",IF(ISNA(MATCH($A364,Activities!$A$2:$A$201,0)),"Unknown activity",IF(ISNA(MATCH($B364,Students!$A$2:$A$301,0)),"Unknown student",IF(D364="","No status",IF(COUNTIFS($A$2:$A$1001,$A364,$B$2:$B$1001,$B364)&gt;1,"Duplicate",IF(AND(D364&lt;&gt;"Withdrawn",G364&lt;&gt;"",COUNTIFS($B$2:$B$1001,$B364,$G$2:$G$1001,G364,$D$2:$D$1001,"&lt;&gt;Withdrawn")&gt;1),"Same-day clash","OK"))))))</f>
        <v/>
      </c>
    </row>
    <row r="365" customFormat="false" ht="15" hidden="false" customHeight="false" outlineLevel="0" collapsed="false">
      <c r="E365" s="26"/>
      <c r="G365" s="23" t="str">
        <f aca="false">IF($A365="","",IFERROR(IF(INDEX(Activities!$C$2:$C$201,MATCH($A365,Activities!$A$2:$A$201,0))="","",INDEX(Activities!$C$2:$C$201,MATCH($A365,Activities!$A$2:$A$201,0))),""))</f>
        <v/>
      </c>
      <c r="H365" s="24" t="str">
        <f aca="false">IF($A365="","",IFERROR(IF(INDEX(Activities!$B$2:$B$201,MATCH($A365,Activities!$A$2:$A$201,0))="","",INDEX(Activities!$B$2:$B$201,MATCH($A365,Activities!$A$2:$A$201,0))),""))</f>
        <v/>
      </c>
      <c r="I365" s="24" t="str">
        <f aca="false">IF($B365="","",IFERROR(IF(INDEX(Students!$C$2:$C$301,MATCH($B365,Students!$A$2:$A$301,0))="","",INDEX(Students!$C$2:$C$301,MATCH($B365,Students!$A$2:$A$301,0))),""))</f>
        <v/>
      </c>
      <c r="J365" s="24" t="str">
        <f aca="false">IF($B365="","",IFERROR(IF(INDEX(Students!$B$2:$B$301,MATCH($B365,Students!$A$2:$A$301,0))="","",INDEX(Students!$B$2:$B$301,MATCH($B365,Students!$A$2:$A$301,0))),""))</f>
        <v/>
      </c>
      <c r="K365" s="25" t="str">
        <f aca="false">IF($A365="","",IF(D365="Withdrawn",0,IF(E365&lt;&gt;"",N(E365),IFERROR(N(INDEX(Activities!$I$2:$I$201,MATCH($A365,Activities!$A$2:$A$201,0))),0))))</f>
        <v/>
      </c>
      <c r="L365" s="24" t="str">
        <f aca="false">IF(AND($A365="",$B365=""),"",IF(ISNA(MATCH($A365,Activities!$A$2:$A$201,0)),"Unknown activity",IF(ISNA(MATCH($B365,Students!$A$2:$A$301,0)),"Unknown student",IF(D365="","No status",IF(COUNTIFS($A$2:$A$1001,$A365,$B$2:$B$1001,$B365)&gt;1,"Duplicate",IF(AND(D365&lt;&gt;"Withdrawn",G365&lt;&gt;"",COUNTIFS($B$2:$B$1001,$B365,$G$2:$G$1001,G365,$D$2:$D$1001,"&lt;&gt;Withdrawn")&gt;1),"Same-day clash","OK"))))))</f>
        <v/>
      </c>
    </row>
    <row r="366" customFormat="false" ht="15" hidden="false" customHeight="false" outlineLevel="0" collapsed="false">
      <c r="E366" s="26"/>
      <c r="G366" s="23" t="str">
        <f aca="false">IF($A366="","",IFERROR(IF(INDEX(Activities!$C$2:$C$201,MATCH($A366,Activities!$A$2:$A$201,0))="","",INDEX(Activities!$C$2:$C$201,MATCH($A366,Activities!$A$2:$A$201,0))),""))</f>
        <v/>
      </c>
      <c r="H366" s="24" t="str">
        <f aca="false">IF($A366="","",IFERROR(IF(INDEX(Activities!$B$2:$B$201,MATCH($A366,Activities!$A$2:$A$201,0))="","",INDEX(Activities!$B$2:$B$201,MATCH($A366,Activities!$A$2:$A$201,0))),""))</f>
        <v/>
      </c>
      <c r="I366" s="24" t="str">
        <f aca="false">IF($B366="","",IFERROR(IF(INDEX(Students!$C$2:$C$301,MATCH($B366,Students!$A$2:$A$301,0))="","",INDEX(Students!$C$2:$C$301,MATCH($B366,Students!$A$2:$A$301,0))),""))</f>
        <v/>
      </c>
      <c r="J366" s="24" t="str">
        <f aca="false">IF($B366="","",IFERROR(IF(INDEX(Students!$B$2:$B$301,MATCH($B366,Students!$A$2:$A$301,0))="","",INDEX(Students!$B$2:$B$301,MATCH($B366,Students!$A$2:$A$301,0))),""))</f>
        <v/>
      </c>
      <c r="K366" s="25" t="str">
        <f aca="false">IF($A366="","",IF(D366="Withdrawn",0,IF(E366&lt;&gt;"",N(E366),IFERROR(N(INDEX(Activities!$I$2:$I$201,MATCH($A366,Activities!$A$2:$A$201,0))),0))))</f>
        <v/>
      </c>
      <c r="L366" s="24" t="str">
        <f aca="false">IF(AND($A366="",$B366=""),"",IF(ISNA(MATCH($A366,Activities!$A$2:$A$201,0)),"Unknown activity",IF(ISNA(MATCH($B366,Students!$A$2:$A$301,0)),"Unknown student",IF(D366="","No status",IF(COUNTIFS($A$2:$A$1001,$A366,$B$2:$B$1001,$B366)&gt;1,"Duplicate",IF(AND(D366&lt;&gt;"Withdrawn",G366&lt;&gt;"",COUNTIFS($B$2:$B$1001,$B366,$G$2:$G$1001,G366,$D$2:$D$1001,"&lt;&gt;Withdrawn")&gt;1),"Same-day clash","OK"))))))</f>
        <v/>
      </c>
    </row>
    <row r="367" customFormat="false" ht="15" hidden="false" customHeight="false" outlineLevel="0" collapsed="false">
      <c r="E367" s="26"/>
      <c r="G367" s="23" t="str">
        <f aca="false">IF($A367="","",IFERROR(IF(INDEX(Activities!$C$2:$C$201,MATCH($A367,Activities!$A$2:$A$201,0))="","",INDEX(Activities!$C$2:$C$201,MATCH($A367,Activities!$A$2:$A$201,0))),""))</f>
        <v/>
      </c>
      <c r="H367" s="24" t="str">
        <f aca="false">IF($A367="","",IFERROR(IF(INDEX(Activities!$B$2:$B$201,MATCH($A367,Activities!$A$2:$A$201,0))="","",INDEX(Activities!$B$2:$B$201,MATCH($A367,Activities!$A$2:$A$201,0))),""))</f>
        <v/>
      </c>
      <c r="I367" s="24" t="str">
        <f aca="false">IF($B367="","",IFERROR(IF(INDEX(Students!$C$2:$C$301,MATCH($B367,Students!$A$2:$A$301,0))="","",INDEX(Students!$C$2:$C$301,MATCH($B367,Students!$A$2:$A$301,0))),""))</f>
        <v/>
      </c>
      <c r="J367" s="24" t="str">
        <f aca="false">IF($B367="","",IFERROR(IF(INDEX(Students!$B$2:$B$301,MATCH($B367,Students!$A$2:$A$301,0))="","",INDEX(Students!$B$2:$B$301,MATCH($B367,Students!$A$2:$A$301,0))),""))</f>
        <v/>
      </c>
      <c r="K367" s="25" t="str">
        <f aca="false">IF($A367="","",IF(D367="Withdrawn",0,IF(E367&lt;&gt;"",N(E367),IFERROR(N(INDEX(Activities!$I$2:$I$201,MATCH($A367,Activities!$A$2:$A$201,0))),0))))</f>
        <v/>
      </c>
      <c r="L367" s="24" t="str">
        <f aca="false">IF(AND($A367="",$B367=""),"",IF(ISNA(MATCH($A367,Activities!$A$2:$A$201,0)),"Unknown activity",IF(ISNA(MATCH($B367,Students!$A$2:$A$301,0)),"Unknown student",IF(D367="","No status",IF(COUNTIFS($A$2:$A$1001,$A367,$B$2:$B$1001,$B367)&gt;1,"Duplicate",IF(AND(D367&lt;&gt;"Withdrawn",G367&lt;&gt;"",COUNTIFS($B$2:$B$1001,$B367,$G$2:$G$1001,G367,$D$2:$D$1001,"&lt;&gt;Withdrawn")&gt;1),"Same-day clash","OK"))))))</f>
        <v/>
      </c>
    </row>
    <row r="368" customFormat="false" ht="15" hidden="false" customHeight="false" outlineLevel="0" collapsed="false">
      <c r="E368" s="26"/>
      <c r="G368" s="23" t="str">
        <f aca="false">IF($A368="","",IFERROR(IF(INDEX(Activities!$C$2:$C$201,MATCH($A368,Activities!$A$2:$A$201,0))="","",INDEX(Activities!$C$2:$C$201,MATCH($A368,Activities!$A$2:$A$201,0))),""))</f>
        <v/>
      </c>
      <c r="H368" s="24" t="str">
        <f aca="false">IF($A368="","",IFERROR(IF(INDEX(Activities!$B$2:$B$201,MATCH($A368,Activities!$A$2:$A$201,0))="","",INDEX(Activities!$B$2:$B$201,MATCH($A368,Activities!$A$2:$A$201,0))),""))</f>
        <v/>
      </c>
      <c r="I368" s="24" t="str">
        <f aca="false">IF($B368="","",IFERROR(IF(INDEX(Students!$C$2:$C$301,MATCH($B368,Students!$A$2:$A$301,0))="","",INDEX(Students!$C$2:$C$301,MATCH($B368,Students!$A$2:$A$301,0))),""))</f>
        <v/>
      </c>
      <c r="J368" s="24" t="str">
        <f aca="false">IF($B368="","",IFERROR(IF(INDEX(Students!$B$2:$B$301,MATCH($B368,Students!$A$2:$A$301,0))="","",INDEX(Students!$B$2:$B$301,MATCH($B368,Students!$A$2:$A$301,0))),""))</f>
        <v/>
      </c>
      <c r="K368" s="25" t="str">
        <f aca="false">IF($A368="","",IF(D368="Withdrawn",0,IF(E368&lt;&gt;"",N(E368),IFERROR(N(INDEX(Activities!$I$2:$I$201,MATCH($A368,Activities!$A$2:$A$201,0))),0))))</f>
        <v/>
      </c>
      <c r="L368" s="24" t="str">
        <f aca="false">IF(AND($A368="",$B368=""),"",IF(ISNA(MATCH($A368,Activities!$A$2:$A$201,0)),"Unknown activity",IF(ISNA(MATCH($B368,Students!$A$2:$A$301,0)),"Unknown student",IF(D368="","No status",IF(COUNTIFS($A$2:$A$1001,$A368,$B$2:$B$1001,$B368)&gt;1,"Duplicate",IF(AND(D368&lt;&gt;"Withdrawn",G368&lt;&gt;"",COUNTIFS($B$2:$B$1001,$B368,$G$2:$G$1001,G368,$D$2:$D$1001,"&lt;&gt;Withdrawn")&gt;1),"Same-day clash","OK"))))))</f>
        <v/>
      </c>
    </row>
    <row r="369" customFormat="false" ht="15" hidden="false" customHeight="false" outlineLevel="0" collapsed="false">
      <c r="E369" s="26"/>
      <c r="G369" s="23" t="str">
        <f aca="false">IF($A369="","",IFERROR(IF(INDEX(Activities!$C$2:$C$201,MATCH($A369,Activities!$A$2:$A$201,0))="","",INDEX(Activities!$C$2:$C$201,MATCH($A369,Activities!$A$2:$A$201,0))),""))</f>
        <v/>
      </c>
      <c r="H369" s="24" t="str">
        <f aca="false">IF($A369="","",IFERROR(IF(INDEX(Activities!$B$2:$B$201,MATCH($A369,Activities!$A$2:$A$201,0))="","",INDEX(Activities!$B$2:$B$201,MATCH($A369,Activities!$A$2:$A$201,0))),""))</f>
        <v/>
      </c>
      <c r="I369" s="24" t="str">
        <f aca="false">IF($B369="","",IFERROR(IF(INDEX(Students!$C$2:$C$301,MATCH($B369,Students!$A$2:$A$301,0))="","",INDEX(Students!$C$2:$C$301,MATCH($B369,Students!$A$2:$A$301,0))),""))</f>
        <v/>
      </c>
      <c r="J369" s="24" t="str">
        <f aca="false">IF($B369="","",IFERROR(IF(INDEX(Students!$B$2:$B$301,MATCH($B369,Students!$A$2:$A$301,0))="","",INDEX(Students!$B$2:$B$301,MATCH($B369,Students!$A$2:$A$301,0))),""))</f>
        <v/>
      </c>
      <c r="K369" s="25" t="str">
        <f aca="false">IF($A369="","",IF(D369="Withdrawn",0,IF(E369&lt;&gt;"",N(E369),IFERROR(N(INDEX(Activities!$I$2:$I$201,MATCH($A369,Activities!$A$2:$A$201,0))),0))))</f>
        <v/>
      </c>
      <c r="L369" s="24" t="str">
        <f aca="false">IF(AND($A369="",$B369=""),"",IF(ISNA(MATCH($A369,Activities!$A$2:$A$201,0)),"Unknown activity",IF(ISNA(MATCH($B369,Students!$A$2:$A$301,0)),"Unknown student",IF(D369="","No status",IF(COUNTIFS($A$2:$A$1001,$A369,$B$2:$B$1001,$B369)&gt;1,"Duplicate",IF(AND(D369&lt;&gt;"Withdrawn",G369&lt;&gt;"",COUNTIFS($B$2:$B$1001,$B369,$G$2:$G$1001,G369,$D$2:$D$1001,"&lt;&gt;Withdrawn")&gt;1),"Same-day clash","OK"))))))</f>
        <v/>
      </c>
    </row>
    <row r="370" customFormat="false" ht="15" hidden="false" customHeight="false" outlineLevel="0" collapsed="false">
      <c r="E370" s="26"/>
      <c r="G370" s="23" t="str">
        <f aca="false">IF($A370="","",IFERROR(IF(INDEX(Activities!$C$2:$C$201,MATCH($A370,Activities!$A$2:$A$201,0))="","",INDEX(Activities!$C$2:$C$201,MATCH($A370,Activities!$A$2:$A$201,0))),""))</f>
        <v/>
      </c>
      <c r="H370" s="24" t="str">
        <f aca="false">IF($A370="","",IFERROR(IF(INDEX(Activities!$B$2:$B$201,MATCH($A370,Activities!$A$2:$A$201,0))="","",INDEX(Activities!$B$2:$B$201,MATCH($A370,Activities!$A$2:$A$201,0))),""))</f>
        <v/>
      </c>
      <c r="I370" s="24" t="str">
        <f aca="false">IF($B370="","",IFERROR(IF(INDEX(Students!$C$2:$C$301,MATCH($B370,Students!$A$2:$A$301,0))="","",INDEX(Students!$C$2:$C$301,MATCH($B370,Students!$A$2:$A$301,0))),""))</f>
        <v/>
      </c>
      <c r="J370" s="24" t="str">
        <f aca="false">IF($B370="","",IFERROR(IF(INDEX(Students!$B$2:$B$301,MATCH($B370,Students!$A$2:$A$301,0))="","",INDEX(Students!$B$2:$B$301,MATCH($B370,Students!$A$2:$A$301,0))),""))</f>
        <v/>
      </c>
      <c r="K370" s="25" t="str">
        <f aca="false">IF($A370="","",IF(D370="Withdrawn",0,IF(E370&lt;&gt;"",N(E370),IFERROR(N(INDEX(Activities!$I$2:$I$201,MATCH($A370,Activities!$A$2:$A$201,0))),0))))</f>
        <v/>
      </c>
      <c r="L370" s="24" t="str">
        <f aca="false">IF(AND($A370="",$B370=""),"",IF(ISNA(MATCH($A370,Activities!$A$2:$A$201,0)),"Unknown activity",IF(ISNA(MATCH($B370,Students!$A$2:$A$301,0)),"Unknown student",IF(D370="","No status",IF(COUNTIFS($A$2:$A$1001,$A370,$B$2:$B$1001,$B370)&gt;1,"Duplicate",IF(AND(D370&lt;&gt;"Withdrawn",G370&lt;&gt;"",COUNTIFS($B$2:$B$1001,$B370,$G$2:$G$1001,G370,$D$2:$D$1001,"&lt;&gt;Withdrawn")&gt;1),"Same-day clash","OK"))))))</f>
        <v/>
      </c>
    </row>
    <row r="371" customFormat="false" ht="15" hidden="false" customHeight="false" outlineLevel="0" collapsed="false">
      <c r="E371" s="26"/>
      <c r="G371" s="23" t="str">
        <f aca="false">IF($A371="","",IFERROR(IF(INDEX(Activities!$C$2:$C$201,MATCH($A371,Activities!$A$2:$A$201,0))="","",INDEX(Activities!$C$2:$C$201,MATCH($A371,Activities!$A$2:$A$201,0))),""))</f>
        <v/>
      </c>
      <c r="H371" s="24" t="str">
        <f aca="false">IF($A371="","",IFERROR(IF(INDEX(Activities!$B$2:$B$201,MATCH($A371,Activities!$A$2:$A$201,0))="","",INDEX(Activities!$B$2:$B$201,MATCH($A371,Activities!$A$2:$A$201,0))),""))</f>
        <v/>
      </c>
      <c r="I371" s="24" t="str">
        <f aca="false">IF($B371="","",IFERROR(IF(INDEX(Students!$C$2:$C$301,MATCH($B371,Students!$A$2:$A$301,0))="","",INDEX(Students!$C$2:$C$301,MATCH($B371,Students!$A$2:$A$301,0))),""))</f>
        <v/>
      </c>
      <c r="J371" s="24" t="str">
        <f aca="false">IF($B371="","",IFERROR(IF(INDEX(Students!$B$2:$B$301,MATCH($B371,Students!$A$2:$A$301,0))="","",INDEX(Students!$B$2:$B$301,MATCH($B371,Students!$A$2:$A$301,0))),""))</f>
        <v/>
      </c>
      <c r="K371" s="25" t="str">
        <f aca="false">IF($A371="","",IF(D371="Withdrawn",0,IF(E371&lt;&gt;"",N(E371),IFERROR(N(INDEX(Activities!$I$2:$I$201,MATCH($A371,Activities!$A$2:$A$201,0))),0))))</f>
        <v/>
      </c>
      <c r="L371" s="24" t="str">
        <f aca="false">IF(AND($A371="",$B371=""),"",IF(ISNA(MATCH($A371,Activities!$A$2:$A$201,0)),"Unknown activity",IF(ISNA(MATCH($B371,Students!$A$2:$A$301,0)),"Unknown student",IF(D371="","No status",IF(COUNTIFS($A$2:$A$1001,$A371,$B$2:$B$1001,$B371)&gt;1,"Duplicate",IF(AND(D371&lt;&gt;"Withdrawn",G371&lt;&gt;"",COUNTIFS($B$2:$B$1001,$B371,$G$2:$G$1001,G371,$D$2:$D$1001,"&lt;&gt;Withdrawn")&gt;1),"Same-day clash","OK"))))))</f>
        <v/>
      </c>
    </row>
    <row r="372" customFormat="false" ht="15" hidden="false" customHeight="false" outlineLevel="0" collapsed="false">
      <c r="E372" s="26"/>
      <c r="G372" s="23" t="str">
        <f aca="false">IF($A372="","",IFERROR(IF(INDEX(Activities!$C$2:$C$201,MATCH($A372,Activities!$A$2:$A$201,0))="","",INDEX(Activities!$C$2:$C$201,MATCH($A372,Activities!$A$2:$A$201,0))),""))</f>
        <v/>
      </c>
      <c r="H372" s="24" t="str">
        <f aca="false">IF($A372="","",IFERROR(IF(INDEX(Activities!$B$2:$B$201,MATCH($A372,Activities!$A$2:$A$201,0))="","",INDEX(Activities!$B$2:$B$201,MATCH($A372,Activities!$A$2:$A$201,0))),""))</f>
        <v/>
      </c>
      <c r="I372" s="24" t="str">
        <f aca="false">IF($B372="","",IFERROR(IF(INDEX(Students!$C$2:$C$301,MATCH($B372,Students!$A$2:$A$301,0))="","",INDEX(Students!$C$2:$C$301,MATCH($B372,Students!$A$2:$A$301,0))),""))</f>
        <v/>
      </c>
      <c r="J372" s="24" t="str">
        <f aca="false">IF($B372="","",IFERROR(IF(INDEX(Students!$B$2:$B$301,MATCH($B372,Students!$A$2:$A$301,0))="","",INDEX(Students!$B$2:$B$301,MATCH($B372,Students!$A$2:$A$301,0))),""))</f>
        <v/>
      </c>
      <c r="K372" s="25" t="str">
        <f aca="false">IF($A372="","",IF(D372="Withdrawn",0,IF(E372&lt;&gt;"",N(E372),IFERROR(N(INDEX(Activities!$I$2:$I$201,MATCH($A372,Activities!$A$2:$A$201,0))),0))))</f>
        <v/>
      </c>
      <c r="L372" s="24" t="str">
        <f aca="false">IF(AND($A372="",$B372=""),"",IF(ISNA(MATCH($A372,Activities!$A$2:$A$201,0)),"Unknown activity",IF(ISNA(MATCH($B372,Students!$A$2:$A$301,0)),"Unknown student",IF(D372="","No status",IF(COUNTIFS($A$2:$A$1001,$A372,$B$2:$B$1001,$B372)&gt;1,"Duplicate",IF(AND(D372&lt;&gt;"Withdrawn",G372&lt;&gt;"",COUNTIFS($B$2:$B$1001,$B372,$G$2:$G$1001,G372,$D$2:$D$1001,"&lt;&gt;Withdrawn")&gt;1),"Same-day clash","OK"))))))</f>
        <v/>
      </c>
    </row>
    <row r="373" customFormat="false" ht="15" hidden="false" customHeight="false" outlineLevel="0" collapsed="false">
      <c r="E373" s="26"/>
      <c r="G373" s="23" t="str">
        <f aca="false">IF($A373="","",IFERROR(IF(INDEX(Activities!$C$2:$C$201,MATCH($A373,Activities!$A$2:$A$201,0))="","",INDEX(Activities!$C$2:$C$201,MATCH($A373,Activities!$A$2:$A$201,0))),""))</f>
        <v/>
      </c>
      <c r="H373" s="24" t="str">
        <f aca="false">IF($A373="","",IFERROR(IF(INDEX(Activities!$B$2:$B$201,MATCH($A373,Activities!$A$2:$A$201,0))="","",INDEX(Activities!$B$2:$B$201,MATCH($A373,Activities!$A$2:$A$201,0))),""))</f>
        <v/>
      </c>
      <c r="I373" s="24" t="str">
        <f aca="false">IF($B373="","",IFERROR(IF(INDEX(Students!$C$2:$C$301,MATCH($B373,Students!$A$2:$A$301,0))="","",INDEX(Students!$C$2:$C$301,MATCH($B373,Students!$A$2:$A$301,0))),""))</f>
        <v/>
      </c>
      <c r="J373" s="24" t="str">
        <f aca="false">IF($B373="","",IFERROR(IF(INDEX(Students!$B$2:$B$301,MATCH($B373,Students!$A$2:$A$301,0))="","",INDEX(Students!$B$2:$B$301,MATCH($B373,Students!$A$2:$A$301,0))),""))</f>
        <v/>
      </c>
      <c r="K373" s="25" t="str">
        <f aca="false">IF($A373="","",IF(D373="Withdrawn",0,IF(E373&lt;&gt;"",N(E373),IFERROR(N(INDEX(Activities!$I$2:$I$201,MATCH($A373,Activities!$A$2:$A$201,0))),0))))</f>
        <v/>
      </c>
      <c r="L373" s="24" t="str">
        <f aca="false">IF(AND($A373="",$B373=""),"",IF(ISNA(MATCH($A373,Activities!$A$2:$A$201,0)),"Unknown activity",IF(ISNA(MATCH($B373,Students!$A$2:$A$301,0)),"Unknown student",IF(D373="","No status",IF(COUNTIFS($A$2:$A$1001,$A373,$B$2:$B$1001,$B373)&gt;1,"Duplicate",IF(AND(D373&lt;&gt;"Withdrawn",G373&lt;&gt;"",COUNTIFS($B$2:$B$1001,$B373,$G$2:$G$1001,G373,$D$2:$D$1001,"&lt;&gt;Withdrawn")&gt;1),"Same-day clash","OK"))))))</f>
        <v/>
      </c>
    </row>
    <row r="374" customFormat="false" ht="15" hidden="false" customHeight="false" outlineLevel="0" collapsed="false">
      <c r="E374" s="26"/>
      <c r="G374" s="23" t="str">
        <f aca="false">IF($A374="","",IFERROR(IF(INDEX(Activities!$C$2:$C$201,MATCH($A374,Activities!$A$2:$A$201,0))="","",INDEX(Activities!$C$2:$C$201,MATCH($A374,Activities!$A$2:$A$201,0))),""))</f>
        <v/>
      </c>
      <c r="H374" s="24" t="str">
        <f aca="false">IF($A374="","",IFERROR(IF(INDEX(Activities!$B$2:$B$201,MATCH($A374,Activities!$A$2:$A$201,0))="","",INDEX(Activities!$B$2:$B$201,MATCH($A374,Activities!$A$2:$A$201,0))),""))</f>
        <v/>
      </c>
      <c r="I374" s="24" t="str">
        <f aca="false">IF($B374="","",IFERROR(IF(INDEX(Students!$C$2:$C$301,MATCH($B374,Students!$A$2:$A$301,0))="","",INDEX(Students!$C$2:$C$301,MATCH($B374,Students!$A$2:$A$301,0))),""))</f>
        <v/>
      </c>
      <c r="J374" s="24" t="str">
        <f aca="false">IF($B374="","",IFERROR(IF(INDEX(Students!$B$2:$B$301,MATCH($B374,Students!$A$2:$A$301,0))="","",INDEX(Students!$B$2:$B$301,MATCH($B374,Students!$A$2:$A$301,0))),""))</f>
        <v/>
      </c>
      <c r="K374" s="25" t="str">
        <f aca="false">IF($A374="","",IF(D374="Withdrawn",0,IF(E374&lt;&gt;"",N(E374),IFERROR(N(INDEX(Activities!$I$2:$I$201,MATCH($A374,Activities!$A$2:$A$201,0))),0))))</f>
        <v/>
      </c>
      <c r="L374" s="24" t="str">
        <f aca="false">IF(AND($A374="",$B374=""),"",IF(ISNA(MATCH($A374,Activities!$A$2:$A$201,0)),"Unknown activity",IF(ISNA(MATCH($B374,Students!$A$2:$A$301,0)),"Unknown student",IF(D374="","No status",IF(COUNTIFS($A$2:$A$1001,$A374,$B$2:$B$1001,$B374)&gt;1,"Duplicate",IF(AND(D374&lt;&gt;"Withdrawn",G374&lt;&gt;"",COUNTIFS($B$2:$B$1001,$B374,$G$2:$G$1001,G374,$D$2:$D$1001,"&lt;&gt;Withdrawn")&gt;1),"Same-day clash","OK"))))))</f>
        <v/>
      </c>
    </row>
    <row r="375" customFormat="false" ht="15" hidden="false" customHeight="false" outlineLevel="0" collapsed="false">
      <c r="E375" s="26"/>
      <c r="G375" s="23" t="str">
        <f aca="false">IF($A375="","",IFERROR(IF(INDEX(Activities!$C$2:$C$201,MATCH($A375,Activities!$A$2:$A$201,0))="","",INDEX(Activities!$C$2:$C$201,MATCH($A375,Activities!$A$2:$A$201,0))),""))</f>
        <v/>
      </c>
      <c r="H375" s="24" t="str">
        <f aca="false">IF($A375="","",IFERROR(IF(INDEX(Activities!$B$2:$B$201,MATCH($A375,Activities!$A$2:$A$201,0))="","",INDEX(Activities!$B$2:$B$201,MATCH($A375,Activities!$A$2:$A$201,0))),""))</f>
        <v/>
      </c>
      <c r="I375" s="24" t="str">
        <f aca="false">IF($B375="","",IFERROR(IF(INDEX(Students!$C$2:$C$301,MATCH($B375,Students!$A$2:$A$301,0))="","",INDEX(Students!$C$2:$C$301,MATCH($B375,Students!$A$2:$A$301,0))),""))</f>
        <v/>
      </c>
      <c r="J375" s="24" t="str">
        <f aca="false">IF($B375="","",IFERROR(IF(INDEX(Students!$B$2:$B$301,MATCH($B375,Students!$A$2:$A$301,0))="","",INDEX(Students!$B$2:$B$301,MATCH($B375,Students!$A$2:$A$301,0))),""))</f>
        <v/>
      </c>
      <c r="K375" s="25" t="str">
        <f aca="false">IF($A375="","",IF(D375="Withdrawn",0,IF(E375&lt;&gt;"",N(E375),IFERROR(N(INDEX(Activities!$I$2:$I$201,MATCH($A375,Activities!$A$2:$A$201,0))),0))))</f>
        <v/>
      </c>
      <c r="L375" s="24" t="str">
        <f aca="false">IF(AND($A375="",$B375=""),"",IF(ISNA(MATCH($A375,Activities!$A$2:$A$201,0)),"Unknown activity",IF(ISNA(MATCH($B375,Students!$A$2:$A$301,0)),"Unknown student",IF(D375="","No status",IF(COUNTIFS($A$2:$A$1001,$A375,$B$2:$B$1001,$B375)&gt;1,"Duplicate",IF(AND(D375&lt;&gt;"Withdrawn",G375&lt;&gt;"",COUNTIFS($B$2:$B$1001,$B375,$G$2:$G$1001,G375,$D$2:$D$1001,"&lt;&gt;Withdrawn")&gt;1),"Same-day clash","OK"))))))</f>
        <v/>
      </c>
    </row>
    <row r="376" customFormat="false" ht="15" hidden="false" customHeight="false" outlineLevel="0" collapsed="false">
      <c r="E376" s="26"/>
      <c r="G376" s="23" t="str">
        <f aca="false">IF($A376="","",IFERROR(IF(INDEX(Activities!$C$2:$C$201,MATCH($A376,Activities!$A$2:$A$201,0))="","",INDEX(Activities!$C$2:$C$201,MATCH($A376,Activities!$A$2:$A$201,0))),""))</f>
        <v/>
      </c>
      <c r="H376" s="24" t="str">
        <f aca="false">IF($A376="","",IFERROR(IF(INDEX(Activities!$B$2:$B$201,MATCH($A376,Activities!$A$2:$A$201,0))="","",INDEX(Activities!$B$2:$B$201,MATCH($A376,Activities!$A$2:$A$201,0))),""))</f>
        <v/>
      </c>
      <c r="I376" s="24" t="str">
        <f aca="false">IF($B376="","",IFERROR(IF(INDEX(Students!$C$2:$C$301,MATCH($B376,Students!$A$2:$A$301,0))="","",INDEX(Students!$C$2:$C$301,MATCH($B376,Students!$A$2:$A$301,0))),""))</f>
        <v/>
      </c>
      <c r="J376" s="24" t="str">
        <f aca="false">IF($B376="","",IFERROR(IF(INDEX(Students!$B$2:$B$301,MATCH($B376,Students!$A$2:$A$301,0))="","",INDEX(Students!$B$2:$B$301,MATCH($B376,Students!$A$2:$A$301,0))),""))</f>
        <v/>
      </c>
      <c r="K376" s="25" t="str">
        <f aca="false">IF($A376="","",IF(D376="Withdrawn",0,IF(E376&lt;&gt;"",N(E376),IFERROR(N(INDEX(Activities!$I$2:$I$201,MATCH($A376,Activities!$A$2:$A$201,0))),0))))</f>
        <v/>
      </c>
      <c r="L376" s="24" t="str">
        <f aca="false">IF(AND($A376="",$B376=""),"",IF(ISNA(MATCH($A376,Activities!$A$2:$A$201,0)),"Unknown activity",IF(ISNA(MATCH($B376,Students!$A$2:$A$301,0)),"Unknown student",IF(D376="","No status",IF(COUNTIFS($A$2:$A$1001,$A376,$B$2:$B$1001,$B376)&gt;1,"Duplicate",IF(AND(D376&lt;&gt;"Withdrawn",G376&lt;&gt;"",COUNTIFS($B$2:$B$1001,$B376,$G$2:$G$1001,G376,$D$2:$D$1001,"&lt;&gt;Withdrawn")&gt;1),"Same-day clash","OK"))))))</f>
        <v/>
      </c>
    </row>
    <row r="377" customFormat="false" ht="15" hidden="false" customHeight="false" outlineLevel="0" collapsed="false">
      <c r="E377" s="26"/>
      <c r="G377" s="23" t="str">
        <f aca="false">IF($A377="","",IFERROR(IF(INDEX(Activities!$C$2:$C$201,MATCH($A377,Activities!$A$2:$A$201,0))="","",INDEX(Activities!$C$2:$C$201,MATCH($A377,Activities!$A$2:$A$201,0))),""))</f>
        <v/>
      </c>
      <c r="H377" s="24" t="str">
        <f aca="false">IF($A377="","",IFERROR(IF(INDEX(Activities!$B$2:$B$201,MATCH($A377,Activities!$A$2:$A$201,0))="","",INDEX(Activities!$B$2:$B$201,MATCH($A377,Activities!$A$2:$A$201,0))),""))</f>
        <v/>
      </c>
      <c r="I377" s="24" t="str">
        <f aca="false">IF($B377="","",IFERROR(IF(INDEX(Students!$C$2:$C$301,MATCH($B377,Students!$A$2:$A$301,0))="","",INDEX(Students!$C$2:$C$301,MATCH($B377,Students!$A$2:$A$301,0))),""))</f>
        <v/>
      </c>
      <c r="J377" s="24" t="str">
        <f aca="false">IF($B377="","",IFERROR(IF(INDEX(Students!$B$2:$B$301,MATCH($B377,Students!$A$2:$A$301,0))="","",INDEX(Students!$B$2:$B$301,MATCH($B377,Students!$A$2:$A$301,0))),""))</f>
        <v/>
      </c>
      <c r="K377" s="25" t="str">
        <f aca="false">IF($A377="","",IF(D377="Withdrawn",0,IF(E377&lt;&gt;"",N(E377),IFERROR(N(INDEX(Activities!$I$2:$I$201,MATCH($A377,Activities!$A$2:$A$201,0))),0))))</f>
        <v/>
      </c>
      <c r="L377" s="24" t="str">
        <f aca="false">IF(AND($A377="",$B377=""),"",IF(ISNA(MATCH($A377,Activities!$A$2:$A$201,0)),"Unknown activity",IF(ISNA(MATCH($B377,Students!$A$2:$A$301,0)),"Unknown student",IF(D377="","No status",IF(COUNTIFS($A$2:$A$1001,$A377,$B$2:$B$1001,$B377)&gt;1,"Duplicate",IF(AND(D377&lt;&gt;"Withdrawn",G377&lt;&gt;"",COUNTIFS($B$2:$B$1001,$B377,$G$2:$G$1001,G377,$D$2:$D$1001,"&lt;&gt;Withdrawn")&gt;1),"Same-day clash","OK"))))))</f>
        <v/>
      </c>
    </row>
    <row r="378" customFormat="false" ht="15" hidden="false" customHeight="false" outlineLevel="0" collapsed="false">
      <c r="E378" s="26"/>
      <c r="G378" s="23" t="str">
        <f aca="false">IF($A378="","",IFERROR(IF(INDEX(Activities!$C$2:$C$201,MATCH($A378,Activities!$A$2:$A$201,0))="","",INDEX(Activities!$C$2:$C$201,MATCH($A378,Activities!$A$2:$A$201,0))),""))</f>
        <v/>
      </c>
      <c r="H378" s="24" t="str">
        <f aca="false">IF($A378="","",IFERROR(IF(INDEX(Activities!$B$2:$B$201,MATCH($A378,Activities!$A$2:$A$201,0))="","",INDEX(Activities!$B$2:$B$201,MATCH($A378,Activities!$A$2:$A$201,0))),""))</f>
        <v/>
      </c>
      <c r="I378" s="24" t="str">
        <f aca="false">IF($B378="","",IFERROR(IF(INDEX(Students!$C$2:$C$301,MATCH($B378,Students!$A$2:$A$301,0))="","",INDEX(Students!$C$2:$C$301,MATCH($B378,Students!$A$2:$A$301,0))),""))</f>
        <v/>
      </c>
      <c r="J378" s="24" t="str">
        <f aca="false">IF($B378="","",IFERROR(IF(INDEX(Students!$B$2:$B$301,MATCH($B378,Students!$A$2:$A$301,0))="","",INDEX(Students!$B$2:$B$301,MATCH($B378,Students!$A$2:$A$301,0))),""))</f>
        <v/>
      </c>
      <c r="K378" s="25" t="str">
        <f aca="false">IF($A378="","",IF(D378="Withdrawn",0,IF(E378&lt;&gt;"",N(E378),IFERROR(N(INDEX(Activities!$I$2:$I$201,MATCH($A378,Activities!$A$2:$A$201,0))),0))))</f>
        <v/>
      </c>
      <c r="L378" s="24" t="str">
        <f aca="false">IF(AND($A378="",$B378=""),"",IF(ISNA(MATCH($A378,Activities!$A$2:$A$201,0)),"Unknown activity",IF(ISNA(MATCH($B378,Students!$A$2:$A$301,0)),"Unknown student",IF(D378="","No status",IF(COUNTIFS($A$2:$A$1001,$A378,$B$2:$B$1001,$B378)&gt;1,"Duplicate",IF(AND(D378&lt;&gt;"Withdrawn",G378&lt;&gt;"",COUNTIFS($B$2:$B$1001,$B378,$G$2:$G$1001,G378,$D$2:$D$1001,"&lt;&gt;Withdrawn")&gt;1),"Same-day clash","OK"))))))</f>
        <v/>
      </c>
    </row>
    <row r="379" customFormat="false" ht="15" hidden="false" customHeight="false" outlineLevel="0" collapsed="false">
      <c r="E379" s="26"/>
      <c r="G379" s="23" t="str">
        <f aca="false">IF($A379="","",IFERROR(IF(INDEX(Activities!$C$2:$C$201,MATCH($A379,Activities!$A$2:$A$201,0))="","",INDEX(Activities!$C$2:$C$201,MATCH($A379,Activities!$A$2:$A$201,0))),""))</f>
        <v/>
      </c>
      <c r="H379" s="24" t="str">
        <f aca="false">IF($A379="","",IFERROR(IF(INDEX(Activities!$B$2:$B$201,MATCH($A379,Activities!$A$2:$A$201,0))="","",INDEX(Activities!$B$2:$B$201,MATCH($A379,Activities!$A$2:$A$201,0))),""))</f>
        <v/>
      </c>
      <c r="I379" s="24" t="str">
        <f aca="false">IF($B379="","",IFERROR(IF(INDEX(Students!$C$2:$C$301,MATCH($B379,Students!$A$2:$A$301,0))="","",INDEX(Students!$C$2:$C$301,MATCH($B379,Students!$A$2:$A$301,0))),""))</f>
        <v/>
      </c>
      <c r="J379" s="24" t="str">
        <f aca="false">IF($B379="","",IFERROR(IF(INDEX(Students!$B$2:$B$301,MATCH($B379,Students!$A$2:$A$301,0))="","",INDEX(Students!$B$2:$B$301,MATCH($B379,Students!$A$2:$A$301,0))),""))</f>
        <v/>
      </c>
      <c r="K379" s="25" t="str">
        <f aca="false">IF($A379="","",IF(D379="Withdrawn",0,IF(E379&lt;&gt;"",N(E379),IFERROR(N(INDEX(Activities!$I$2:$I$201,MATCH($A379,Activities!$A$2:$A$201,0))),0))))</f>
        <v/>
      </c>
      <c r="L379" s="24" t="str">
        <f aca="false">IF(AND($A379="",$B379=""),"",IF(ISNA(MATCH($A379,Activities!$A$2:$A$201,0)),"Unknown activity",IF(ISNA(MATCH($B379,Students!$A$2:$A$301,0)),"Unknown student",IF(D379="","No status",IF(COUNTIFS($A$2:$A$1001,$A379,$B$2:$B$1001,$B379)&gt;1,"Duplicate",IF(AND(D379&lt;&gt;"Withdrawn",G379&lt;&gt;"",COUNTIFS($B$2:$B$1001,$B379,$G$2:$G$1001,G379,$D$2:$D$1001,"&lt;&gt;Withdrawn")&gt;1),"Same-day clash","OK"))))))</f>
        <v/>
      </c>
    </row>
    <row r="380" customFormat="false" ht="15" hidden="false" customHeight="false" outlineLevel="0" collapsed="false">
      <c r="E380" s="26"/>
      <c r="G380" s="23" t="str">
        <f aca="false">IF($A380="","",IFERROR(IF(INDEX(Activities!$C$2:$C$201,MATCH($A380,Activities!$A$2:$A$201,0))="","",INDEX(Activities!$C$2:$C$201,MATCH($A380,Activities!$A$2:$A$201,0))),""))</f>
        <v/>
      </c>
      <c r="H380" s="24" t="str">
        <f aca="false">IF($A380="","",IFERROR(IF(INDEX(Activities!$B$2:$B$201,MATCH($A380,Activities!$A$2:$A$201,0))="","",INDEX(Activities!$B$2:$B$201,MATCH($A380,Activities!$A$2:$A$201,0))),""))</f>
        <v/>
      </c>
      <c r="I380" s="24" t="str">
        <f aca="false">IF($B380="","",IFERROR(IF(INDEX(Students!$C$2:$C$301,MATCH($B380,Students!$A$2:$A$301,0))="","",INDEX(Students!$C$2:$C$301,MATCH($B380,Students!$A$2:$A$301,0))),""))</f>
        <v/>
      </c>
      <c r="J380" s="24" t="str">
        <f aca="false">IF($B380="","",IFERROR(IF(INDEX(Students!$B$2:$B$301,MATCH($B380,Students!$A$2:$A$301,0))="","",INDEX(Students!$B$2:$B$301,MATCH($B380,Students!$A$2:$A$301,0))),""))</f>
        <v/>
      </c>
      <c r="K380" s="25" t="str">
        <f aca="false">IF($A380="","",IF(D380="Withdrawn",0,IF(E380&lt;&gt;"",N(E380),IFERROR(N(INDEX(Activities!$I$2:$I$201,MATCH($A380,Activities!$A$2:$A$201,0))),0))))</f>
        <v/>
      </c>
      <c r="L380" s="24" t="str">
        <f aca="false">IF(AND($A380="",$B380=""),"",IF(ISNA(MATCH($A380,Activities!$A$2:$A$201,0)),"Unknown activity",IF(ISNA(MATCH($B380,Students!$A$2:$A$301,0)),"Unknown student",IF(D380="","No status",IF(COUNTIFS($A$2:$A$1001,$A380,$B$2:$B$1001,$B380)&gt;1,"Duplicate",IF(AND(D380&lt;&gt;"Withdrawn",G380&lt;&gt;"",COUNTIFS($B$2:$B$1001,$B380,$G$2:$G$1001,G380,$D$2:$D$1001,"&lt;&gt;Withdrawn")&gt;1),"Same-day clash","OK"))))))</f>
        <v/>
      </c>
    </row>
    <row r="381" customFormat="false" ht="15" hidden="false" customHeight="false" outlineLevel="0" collapsed="false">
      <c r="E381" s="26"/>
      <c r="G381" s="23" t="str">
        <f aca="false">IF($A381="","",IFERROR(IF(INDEX(Activities!$C$2:$C$201,MATCH($A381,Activities!$A$2:$A$201,0))="","",INDEX(Activities!$C$2:$C$201,MATCH($A381,Activities!$A$2:$A$201,0))),""))</f>
        <v/>
      </c>
      <c r="H381" s="24" t="str">
        <f aca="false">IF($A381="","",IFERROR(IF(INDEX(Activities!$B$2:$B$201,MATCH($A381,Activities!$A$2:$A$201,0))="","",INDEX(Activities!$B$2:$B$201,MATCH($A381,Activities!$A$2:$A$201,0))),""))</f>
        <v/>
      </c>
      <c r="I381" s="24" t="str">
        <f aca="false">IF($B381="","",IFERROR(IF(INDEX(Students!$C$2:$C$301,MATCH($B381,Students!$A$2:$A$301,0))="","",INDEX(Students!$C$2:$C$301,MATCH($B381,Students!$A$2:$A$301,0))),""))</f>
        <v/>
      </c>
      <c r="J381" s="24" t="str">
        <f aca="false">IF($B381="","",IFERROR(IF(INDEX(Students!$B$2:$B$301,MATCH($B381,Students!$A$2:$A$301,0))="","",INDEX(Students!$B$2:$B$301,MATCH($B381,Students!$A$2:$A$301,0))),""))</f>
        <v/>
      </c>
      <c r="K381" s="25" t="str">
        <f aca="false">IF($A381="","",IF(D381="Withdrawn",0,IF(E381&lt;&gt;"",N(E381),IFERROR(N(INDEX(Activities!$I$2:$I$201,MATCH($A381,Activities!$A$2:$A$201,0))),0))))</f>
        <v/>
      </c>
      <c r="L381" s="24" t="str">
        <f aca="false">IF(AND($A381="",$B381=""),"",IF(ISNA(MATCH($A381,Activities!$A$2:$A$201,0)),"Unknown activity",IF(ISNA(MATCH($B381,Students!$A$2:$A$301,0)),"Unknown student",IF(D381="","No status",IF(COUNTIFS($A$2:$A$1001,$A381,$B$2:$B$1001,$B381)&gt;1,"Duplicate",IF(AND(D381&lt;&gt;"Withdrawn",G381&lt;&gt;"",COUNTIFS($B$2:$B$1001,$B381,$G$2:$G$1001,G381,$D$2:$D$1001,"&lt;&gt;Withdrawn")&gt;1),"Same-day clash","OK"))))))</f>
        <v/>
      </c>
    </row>
    <row r="382" customFormat="false" ht="15" hidden="false" customHeight="false" outlineLevel="0" collapsed="false">
      <c r="E382" s="26"/>
      <c r="G382" s="23" t="str">
        <f aca="false">IF($A382="","",IFERROR(IF(INDEX(Activities!$C$2:$C$201,MATCH($A382,Activities!$A$2:$A$201,0))="","",INDEX(Activities!$C$2:$C$201,MATCH($A382,Activities!$A$2:$A$201,0))),""))</f>
        <v/>
      </c>
      <c r="H382" s="24" t="str">
        <f aca="false">IF($A382="","",IFERROR(IF(INDEX(Activities!$B$2:$B$201,MATCH($A382,Activities!$A$2:$A$201,0))="","",INDEX(Activities!$B$2:$B$201,MATCH($A382,Activities!$A$2:$A$201,0))),""))</f>
        <v/>
      </c>
      <c r="I382" s="24" t="str">
        <f aca="false">IF($B382="","",IFERROR(IF(INDEX(Students!$C$2:$C$301,MATCH($B382,Students!$A$2:$A$301,0))="","",INDEX(Students!$C$2:$C$301,MATCH($B382,Students!$A$2:$A$301,0))),""))</f>
        <v/>
      </c>
      <c r="J382" s="24" t="str">
        <f aca="false">IF($B382="","",IFERROR(IF(INDEX(Students!$B$2:$B$301,MATCH($B382,Students!$A$2:$A$301,0))="","",INDEX(Students!$B$2:$B$301,MATCH($B382,Students!$A$2:$A$301,0))),""))</f>
        <v/>
      </c>
      <c r="K382" s="25" t="str">
        <f aca="false">IF($A382="","",IF(D382="Withdrawn",0,IF(E382&lt;&gt;"",N(E382),IFERROR(N(INDEX(Activities!$I$2:$I$201,MATCH($A382,Activities!$A$2:$A$201,0))),0))))</f>
        <v/>
      </c>
      <c r="L382" s="24" t="str">
        <f aca="false">IF(AND($A382="",$B382=""),"",IF(ISNA(MATCH($A382,Activities!$A$2:$A$201,0)),"Unknown activity",IF(ISNA(MATCH($B382,Students!$A$2:$A$301,0)),"Unknown student",IF(D382="","No status",IF(COUNTIFS($A$2:$A$1001,$A382,$B$2:$B$1001,$B382)&gt;1,"Duplicate",IF(AND(D382&lt;&gt;"Withdrawn",G382&lt;&gt;"",COUNTIFS($B$2:$B$1001,$B382,$G$2:$G$1001,G382,$D$2:$D$1001,"&lt;&gt;Withdrawn")&gt;1),"Same-day clash","OK"))))))</f>
        <v/>
      </c>
    </row>
    <row r="383" customFormat="false" ht="15" hidden="false" customHeight="false" outlineLevel="0" collapsed="false">
      <c r="E383" s="26"/>
      <c r="G383" s="23" t="str">
        <f aca="false">IF($A383="","",IFERROR(IF(INDEX(Activities!$C$2:$C$201,MATCH($A383,Activities!$A$2:$A$201,0))="","",INDEX(Activities!$C$2:$C$201,MATCH($A383,Activities!$A$2:$A$201,0))),""))</f>
        <v/>
      </c>
      <c r="H383" s="24" t="str">
        <f aca="false">IF($A383="","",IFERROR(IF(INDEX(Activities!$B$2:$B$201,MATCH($A383,Activities!$A$2:$A$201,0))="","",INDEX(Activities!$B$2:$B$201,MATCH($A383,Activities!$A$2:$A$201,0))),""))</f>
        <v/>
      </c>
      <c r="I383" s="24" t="str">
        <f aca="false">IF($B383="","",IFERROR(IF(INDEX(Students!$C$2:$C$301,MATCH($B383,Students!$A$2:$A$301,0))="","",INDEX(Students!$C$2:$C$301,MATCH($B383,Students!$A$2:$A$301,0))),""))</f>
        <v/>
      </c>
      <c r="J383" s="24" t="str">
        <f aca="false">IF($B383="","",IFERROR(IF(INDEX(Students!$B$2:$B$301,MATCH($B383,Students!$A$2:$A$301,0))="","",INDEX(Students!$B$2:$B$301,MATCH($B383,Students!$A$2:$A$301,0))),""))</f>
        <v/>
      </c>
      <c r="K383" s="25" t="str">
        <f aca="false">IF($A383="","",IF(D383="Withdrawn",0,IF(E383&lt;&gt;"",N(E383),IFERROR(N(INDEX(Activities!$I$2:$I$201,MATCH($A383,Activities!$A$2:$A$201,0))),0))))</f>
        <v/>
      </c>
      <c r="L383" s="24" t="str">
        <f aca="false">IF(AND($A383="",$B383=""),"",IF(ISNA(MATCH($A383,Activities!$A$2:$A$201,0)),"Unknown activity",IF(ISNA(MATCH($B383,Students!$A$2:$A$301,0)),"Unknown student",IF(D383="","No status",IF(COUNTIFS($A$2:$A$1001,$A383,$B$2:$B$1001,$B383)&gt;1,"Duplicate",IF(AND(D383&lt;&gt;"Withdrawn",G383&lt;&gt;"",COUNTIFS($B$2:$B$1001,$B383,$G$2:$G$1001,G383,$D$2:$D$1001,"&lt;&gt;Withdrawn")&gt;1),"Same-day clash","OK"))))))</f>
        <v/>
      </c>
    </row>
    <row r="384" customFormat="false" ht="15" hidden="false" customHeight="false" outlineLevel="0" collapsed="false">
      <c r="E384" s="26"/>
      <c r="G384" s="23" t="str">
        <f aca="false">IF($A384="","",IFERROR(IF(INDEX(Activities!$C$2:$C$201,MATCH($A384,Activities!$A$2:$A$201,0))="","",INDEX(Activities!$C$2:$C$201,MATCH($A384,Activities!$A$2:$A$201,0))),""))</f>
        <v/>
      </c>
      <c r="H384" s="24" t="str">
        <f aca="false">IF($A384="","",IFERROR(IF(INDEX(Activities!$B$2:$B$201,MATCH($A384,Activities!$A$2:$A$201,0))="","",INDEX(Activities!$B$2:$B$201,MATCH($A384,Activities!$A$2:$A$201,0))),""))</f>
        <v/>
      </c>
      <c r="I384" s="24" t="str">
        <f aca="false">IF($B384="","",IFERROR(IF(INDEX(Students!$C$2:$C$301,MATCH($B384,Students!$A$2:$A$301,0))="","",INDEX(Students!$C$2:$C$301,MATCH($B384,Students!$A$2:$A$301,0))),""))</f>
        <v/>
      </c>
      <c r="J384" s="24" t="str">
        <f aca="false">IF($B384="","",IFERROR(IF(INDEX(Students!$B$2:$B$301,MATCH($B384,Students!$A$2:$A$301,0))="","",INDEX(Students!$B$2:$B$301,MATCH($B384,Students!$A$2:$A$301,0))),""))</f>
        <v/>
      </c>
      <c r="K384" s="25" t="str">
        <f aca="false">IF($A384="","",IF(D384="Withdrawn",0,IF(E384&lt;&gt;"",N(E384),IFERROR(N(INDEX(Activities!$I$2:$I$201,MATCH($A384,Activities!$A$2:$A$201,0))),0))))</f>
        <v/>
      </c>
      <c r="L384" s="24" t="str">
        <f aca="false">IF(AND($A384="",$B384=""),"",IF(ISNA(MATCH($A384,Activities!$A$2:$A$201,0)),"Unknown activity",IF(ISNA(MATCH($B384,Students!$A$2:$A$301,0)),"Unknown student",IF(D384="","No status",IF(COUNTIFS($A$2:$A$1001,$A384,$B$2:$B$1001,$B384)&gt;1,"Duplicate",IF(AND(D384&lt;&gt;"Withdrawn",G384&lt;&gt;"",COUNTIFS($B$2:$B$1001,$B384,$G$2:$G$1001,G384,$D$2:$D$1001,"&lt;&gt;Withdrawn")&gt;1),"Same-day clash","OK"))))))</f>
        <v/>
      </c>
    </row>
    <row r="385" customFormat="false" ht="15" hidden="false" customHeight="false" outlineLevel="0" collapsed="false">
      <c r="E385" s="26"/>
      <c r="G385" s="23" t="str">
        <f aca="false">IF($A385="","",IFERROR(IF(INDEX(Activities!$C$2:$C$201,MATCH($A385,Activities!$A$2:$A$201,0))="","",INDEX(Activities!$C$2:$C$201,MATCH($A385,Activities!$A$2:$A$201,0))),""))</f>
        <v/>
      </c>
      <c r="H385" s="24" t="str">
        <f aca="false">IF($A385="","",IFERROR(IF(INDEX(Activities!$B$2:$B$201,MATCH($A385,Activities!$A$2:$A$201,0))="","",INDEX(Activities!$B$2:$B$201,MATCH($A385,Activities!$A$2:$A$201,0))),""))</f>
        <v/>
      </c>
      <c r="I385" s="24" t="str">
        <f aca="false">IF($B385="","",IFERROR(IF(INDEX(Students!$C$2:$C$301,MATCH($B385,Students!$A$2:$A$301,0))="","",INDEX(Students!$C$2:$C$301,MATCH($B385,Students!$A$2:$A$301,0))),""))</f>
        <v/>
      </c>
      <c r="J385" s="24" t="str">
        <f aca="false">IF($B385="","",IFERROR(IF(INDEX(Students!$B$2:$B$301,MATCH($B385,Students!$A$2:$A$301,0))="","",INDEX(Students!$B$2:$B$301,MATCH($B385,Students!$A$2:$A$301,0))),""))</f>
        <v/>
      </c>
      <c r="K385" s="25" t="str">
        <f aca="false">IF($A385="","",IF(D385="Withdrawn",0,IF(E385&lt;&gt;"",N(E385),IFERROR(N(INDEX(Activities!$I$2:$I$201,MATCH($A385,Activities!$A$2:$A$201,0))),0))))</f>
        <v/>
      </c>
      <c r="L385" s="24" t="str">
        <f aca="false">IF(AND($A385="",$B385=""),"",IF(ISNA(MATCH($A385,Activities!$A$2:$A$201,0)),"Unknown activity",IF(ISNA(MATCH($B385,Students!$A$2:$A$301,0)),"Unknown student",IF(D385="","No status",IF(COUNTIFS($A$2:$A$1001,$A385,$B$2:$B$1001,$B385)&gt;1,"Duplicate",IF(AND(D385&lt;&gt;"Withdrawn",G385&lt;&gt;"",COUNTIFS($B$2:$B$1001,$B385,$G$2:$G$1001,G385,$D$2:$D$1001,"&lt;&gt;Withdrawn")&gt;1),"Same-day clash","OK"))))))</f>
        <v/>
      </c>
    </row>
    <row r="386" customFormat="false" ht="15" hidden="false" customHeight="false" outlineLevel="0" collapsed="false">
      <c r="E386" s="26"/>
      <c r="G386" s="23" t="str">
        <f aca="false">IF($A386="","",IFERROR(IF(INDEX(Activities!$C$2:$C$201,MATCH($A386,Activities!$A$2:$A$201,0))="","",INDEX(Activities!$C$2:$C$201,MATCH($A386,Activities!$A$2:$A$201,0))),""))</f>
        <v/>
      </c>
      <c r="H386" s="24" t="str">
        <f aca="false">IF($A386="","",IFERROR(IF(INDEX(Activities!$B$2:$B$201,MATCH($A386,Activities!$A$2:$A$201,0))="","",INDEX(Activities!$B$2:$B$201,MATCH($A386,Activities!$A$2:$A$201,0))),""))</f>
        <v/>
      </c>
      <c r="I386" s="24" t="str">
        <f aca="false">IF($B386="","",IFERROR(IF(INDEX(Students!$C$2:$C$301,MATCH($B386,Students!$A$2:$A$301,0))="","",INDEX(Students!$C$2:$C$301,MATCH($B386,Students!$A$2:$A$301,0))),""))</f>
        <v/>
      </c>
      <c r="J386" s="24" t="str">
        <f aca="false">IF($B386="","",IFERROR(IF(INDEX(Students!$B$2:$B$301,MATCH($B386,Students!$A$2:$A$301,0))="","",INDEX(Students!$B$2:$B$301,MATCH($B386,Students!$A$2:$A$301,0))),""))</f>
        <v/>
      </c>
      <c r="K386" s="25" t="str">
        <f aca="false">IF($A386="","",IF(D386="Withdrawn",0,IF(E386&lt;&gt;"",N(E386),IFERROR(N(INDEX(Activities!$I$2:$I$201,MATCH($A386,Activities!$A$2:$A$201,0))),0))))</f>
        <v/>
      </c>
      <c r="L386" s="24" t="str">
        <f aca="false">IF(AND($A386="",$B386=""),"",IF(ISNA(MATCH($A386,Activities!$A$2:$A$201,0)),"Unknown activity",IF(ISNA(MATCH($B386,Students!$A$2:$A$301,0)),"Unknown student",IF(D386="","No status",IF(COUNTIFS($A$2:$A$1001,$A386,$B$2:$B$1001,$B386)&gt;1,"Duplicate",IF(AND(D386&lt;&gt;"Withdrawn",G386&lt;&gt;"",COUNTIFS($B$2:$B$1001,$B386,$G$2:$G$1001,G386,$D$2:$D$1001,"&lt;&gt;Withdrawn")&gt;1),"Same-day clash","OK"))))))</f>
        <v/>
      </c>
    </row>
    <row r="387" customFormat="false" ht="15" hidden="false" customHeight="false" outlineLevel="0" collapsed="false">
      <c r="E387" s="26"/>
      <c r="G387" s="23" t="str">
        <f aca="false">IF($A387="","",IFERROR(IF(INDEX(Activities!$C$2:$C$201,MATCH($A387,Activities!$A$2:$A$201,0))="","",INDEX(Activities!$C$2:$C$201,MATCH($A387,Activities!$A$2:$A$201,0))),""))</f>
        <v/>
      </c>
      <c r="H387" s="24" t="str">
        <f aca="false">IF($A387="","",IFERROR(IF(INDEX(Activities!$B$2:$B$201,MATCH($A387,Activities!$A$2:$A$201,0))="","",INDEX(Activities!$B$2:$B$201,MATCH($A387,Activities!$A$2:$A$201,0))),""))</f>
        <v/>
      </c>
      <c r="I387" s="24" t="str">
        <f aca="false">IF($B387="","",IFERROR(IF(INDEX(Students!$C$2:$C$301,MATCH($B387,Students!$A$2:$A$301,0))="","",INDEX(Students!$C$2:$C$301,MATCH($B387,Students!$A$2:$A$301,0))),""))</f>
        <v/>
      </c>
      <c r="J387" s="24" t="str">
        <f aca="false">IF($B387="","",IFERROR(IF(INDEX(Students!$B$2:$B$301,MATCH($B387,Students!$A$2:$A$301,0))="","",INDEX(Students!$B$2:$B$301,MATCH($B387,Students!$A$2:$A$301,0))),""))</f>
        <v/>
      </c>
      <c r="K387" s="25" t="str">
        <f aca="false">IF($A387="","",IF(D387="Withdrawn",0,IF(E387&lt;&gt;"",N(E387),IFERROR(N(INDEX(Activities!$I$2:$I$201,MATCH($A387,Activities!$A$2:$A$201,0))),0))))</f>
        <v/>
      </c>
      <c r="L387" s="24" t="str">
        <f aca="false">IF(AND($A387="",$B387=""),"",IF(ISNA(MATCH($A387,Activities!$A$2:$A$201,0)),"Unknown activity",IF(ISNA(MATCH($B387,Students!$A$2:$A$301,0)),"Unknown student",IF(D387="","No status",IF(COUNTIFS($A$2:$A$1001,$A387,$B$2:$B$1001,$B387)&gt;1,"Duplicate",IF(AND(D387&lt;&gt;"Withdrawn",G387&lt;&gt;"",COUNTIFS($B$2:$B$1001,$B387,$G$2:$G$1001,G387,$D$2:$D$1001,"&lt;&gt;Withdrawn")&gt;1),"Same-day clash","OK"))))))</f>
        <v/>
      </c>
    </row>
    <row r="388" customFormat="false" ht="15" hidden="false" customHeight="false" outlineLevel="0" collapsed="false">
      <c r="E388" s="26"/>
      <c r="G388" s="23" t="str">
        <f aca="false">IF($A388="","",IFERROR(IF(INDEX(Activities!$C$2:$C$201,MATCH($A388,Activities!$A$2:$A$201,0))="","",INDEX(Activities!$C$2:$C$201,MATCH($A388,Activities!$A$2:$A$201,0))),""))</f>
        <v/>
      </c>
      <c r="H388" s="24" t="str">
        <f aca="false">IF($A388="","",IFERROR(IF(INDEX(Activities!$B$2:$B$201,MATCH($A388,Activities!$A$2:$A$201,0))="","",INDEX(Activities!$B$2:$B$201,MATCH($A388,Activities!$A$2:$A$201,0))),""))</f>
        <v/>
      </c>
      <c r="I388" s="24" t="str">
        <f aca="false">IF($B388="","",IFERROR(IF(INDEX(Students!$C$2:$C$301,MATCH($B388,Students!$A$2:$A$301,0))="","",INDEX(Students!$C$2:$C$301,MATCH($B388,Students!$A$2:$A$301,0))),""))</f>
        <v/>
      </c>
      <c r="J388" s="24" t="str">
        <f aca="false">IF($B388="","",IFERROR(IF(INDEX(Students!$B$2:$B$301,MATCH($B388,Students!$A$2:$A$301,0))="","",INDEX(Students!$B$2:$B$301,MATCH($B388,Students!$A$2:$A$301,0))),""))</f>
        <v/>
      </c>
      <c r="K388" s="25" t="str">
        <f aca="false">IF($A388="","",IF(D388="Withdrawn",0,IF(E388&lt;&gt;"",N(E388),IFERROR(N(INDEX(Activities!$I$2:$I$201,MATCH($A388,Activities!$A$2:$A$201,0))),0))))</f>
        <v/>
      </c>
      <c r="L388" s="24" t="str">
        <f aca="false">IF(AND($A388="",$B388=""),"",IF(ISNA(MATCH($A388,Activities!$A$2:$A$201,0)),"Unknown activity",IF(ISNA(MATCH($B388,Students!$A$2:$A$301,0)),"Unknown student",IF(D388="","No status",IF(COUNTIFS($A$2:$A$1001,$A388,$B$2:$B$1001,$B388)&gt;1,"Duplicate",IF(AND(D388&lt;&gt;"Withdrawn",G388&lt;&gt;"",COUNTIFS($B$2:$B$1001,$B388,$G$2:$G$1001,G388,$D$2:$D$1001,"&lt;&gt;Withdrawn")&gt;1),"Same-day clash","OK"))))))</f>
        <v/>
      </c>
    </row>
    <row r="389" customFormat="false" ht="15" hidden="false" customHeight="false" outlineLevel="0" collapsed="false">
      <c r="E389" s="26"/>
      <c r="G389" s="23" t="str">
        <f aca="false">IF($A389="","",IFERROR(IF(INDEX(Activities!$C$2:$C$201,MATCH($A389,Activities!$A$2:$A$201,0))="","",INDEX(Activities!$C$2:$C$201,MATCH($A389,Activities!$A$2:$A$201,0))),""))</f>
        <v/>
      </c>
      <c r="H389" s="24" t="str">
        <f aca="false">IF($A389="","",IFERROR(IF(INDEX(Activities!$B$2:$B$201,MATCH($A389,Activities!$A$2:$A$201,0))="","",INDEX(Activities!$B$2:$B$201,MATCH($A389,Activities!$A$2:$A$201,0))),""))</f>
        <v/>
      </c>
      <c r="I389" s="24" t="str">
        <f aca="false">IF($B389="","",IFERROR(IF(INDEX(Students!$C$2:$C$301,MATCH($B389,Students!$A$2:$A$301,0))="","",INDEX(Students!$C$2:$C$301,MATCH($B389,Students!$A$2:$A$301,0))),""))</f>
        <v/>
      </c>
      <c r="J389" s="24" t="str">
        <f aca="false">IF($B389="","",IFERROR(IF(INDEX(Students!$B$2:$B$301,MATCH($B389,Students!$A$2:$A$301,0))="","",INDEX(Students!$B$2:$B$301,MATCH($B389,Students!$A$2:$A$301,0))),""))</f>
        <v/>
      </c>
      <c r="K389" s="25" t="str">
        <f aca="false">IF($A389="","",IF(D389="Withdrawn",0,IF(E389&lt;&gt;"",N(E389),IFERROR(N(INDEX(Activities!$I$2:$I$201,MATCH($A389,Activities!$A$2:$A$201,0))),0))))</f>
        <v/>
      </c>
      <c r="L389" s="24" t="str">
        <f aca="false">IF(AND($A389="",$B389=""),"",IF(ISNA(MATCH($A389,Activities!$A$2:$A$201,0)),"Unknown activity",IF(ISNA(MATCH($B389,Students!$A$2:$A$301,0)),"Unknown student",IF(D389="","No status",IF(COUNTIFS($A$2:$A$1001,$A389,$B$2:$B$1001,$B389)&gt;1,"Duplicate",IF(AND(D389&lt;&gt;"Withdrawn",G389&lt;&gt;"",COUNTIFS($B$2:$B$1001,$B389,$G$2:$G$1001,G389,$D$2:$D$1001,"&lt;&gt;Withdrawn")&gt;1),"Same-day clash","OK"))))))</f>
        <v/>
      </c>
    </row>
    <row r="390" customFormat="false" ht="15" hidden="false" customHeight="false" outlineLevel="0" collapsed="false">
      <c r="E390" s="26"/>
      <c r="G390" s="23" t="str">
        <f aca="false">IF($A390="","",IFERROR(IF(INDEX(Activities!$C$2:$C$201,MATCH($A390,Activities!$A$2:$A$201,0))="","",INDEX(Activities!$C$2:$C$201,MATCH($A390,Activities!$A$2:$A$201,0))),""))</f>
        <v/>
      </c>
      <c r="H390" s="24" t="str">
        <f aca="false">IF($A390="","",IFERROR(IF(INDEX(Activities!$B$2:$B$201,MATCH($A390,Activities!$A$2:$A$201,0))="","",INDEX(Activities!$B$2:$B$201,MATCH($A390,Activities!$A$2:$A$201,0))),""))</f>
        <v/>
      </c>
      <c r="I390" s="24" t="str">
        <f aca="false">IF($B390="","",IFERROR(IF(INDEX(Students!$C$2:$C$301,MATCH($B390,Students!$A$2:$A$301,0))="","",INDEX(Students!$C$2:$C$301,MATCH($B390,Students!$A$2:$A$301,0))),""))</f>
        <v/>
      </c>
      <c r="J390" s="24" t="str">
        <f aca="false">IF($B390="","",IFERROR(IF(INDEX(Students!$B$2:$B$301,MATCH($B390,Students!$A$2:$A$301,0))="","",INDEX(Students!$B$2:$B$301,MATCH($B390,Students!$A$2:$A$301,0))),""))</f>
        <v/>
      </c>
      <c r="K390" s="25" t="str">
        <f aca="false">IF($A390="","",IF(D390="Withdrawn",0,IF(E390&lt;&gt;"",N(E390),IFERROR(N(INDEX(Activities!$I$2:$I$201,MATCH($A390,Activities!$A$2:$A$201,0))),0))))</f>
        <v/>
      </c>
      <c r="L390" s="24" t="str">
        <f aca="false">IF(AND($A390="",$B390=""),"",IF(ISNA(MATCH($A390,Activities!$A$2:$A$201,0)),"Unknown activity",IF(ISNA(MATCH($B390,Students!$A$2:$A$301,0)),"Unknown student",IF(D390="","No status",IF(COUNTIFS($A$2:$A$1001,$A390,$B$2:$B$1001,$B390)&gt;1,"Duplicate",IF(AND(D390&lt;&gt;"Withdrawn",G390&lt;&gt;"",COUNTIFS($B$2:$B$1001,$B390,$G$2:$G$1001,G390,$D$2:$D$1001,"&lt;&gt;Withdrawn")&gt;1),"Same-day clash","OK"))))))</f>
        <v/>
      </c>
    </row>
    <row r="391" customFormat="false" ht="15" hidden="false" customHeight="false" outlineLevel="0" collapsed="false">
      <c r="E391" s="26"/>
      <c r="G391" s="23" t="str">
        <f aca="false">IF($A391="","",IFERROR(IF(INDEX(Activities!$C$2:$C$201,MATCH($A391,Activities!$A$2:$A$201,0))="","",INDEX(Activities!$C$2:$C$201,MATCH($A391,Activities!$A$2:$A$201,0))),""))</f>
        <v/>
      </c>
      <c r="H391" s="24" t="str">
        <f aca="false">IF($A391="","",IFERROR(IF(INDEX(Activities!$B$2:$B$201,MATCH($A391,Activities!$A$2:$A$201,0))="","",INDEX(Activities!$B$2:$B$201,MATCH($A391,Activities!$A$2:$A$201,0))),""))</f>
        <v/>
      </c>
      <c r="I391" s="24" t="str">
        <f aca="false">IF($B391="","",IFERROR(IF(INDEX(Students!$C$2:$C$301,MATCH($B391,Students!$A$2:$A$301,0))="","",INDEX(Students!$C$2:$C$301,MATCH($B391,Students!$A$2:$A$301,0))),""))</f>
        <v/>
      </c>
      <c r="J391" s="24" t="str">
        <f aca="false">IF($B391="","",IFERROR(IF(INDEX(Students!$B$2:$B$301,MATCH($B391,Students!$A$2:$A$301,0))="","",INDEX(Students!$B$2:$B$301,MATCH($B391,Students!$A$2:$A$301,0))),""))</f>
        <v/>
      </c>
      <c r="K391" s="25" t="str">
        <f aca="false">IF($A391="","",IF(D391="Withdrawn",0,IF(E391&lt;&gt;"",N(E391),IFERROR(N(INDEX(Activities!$I$2:$I$201,MATCH($A391,Activities!$A$2:$A$201,0))),0))))</f>
        <v/>
      </c>
      <c r="L391" s="24" t="str">
        <f aca="false">IF(AND($A391="",$B391=""),"",IF(ISNA(MATCH($A391,Activities!$A$2:$A$201,0)),"Unknown activity",IF(ISNA(MATCH($B391,Students!$A$2:$A$301,0)),"Unknown student",IF(D391="","No status",IF(COUNTIFS($A$2:$A$1001,$A391,$B$2:$B$1001,$B391)&gt;1,"Duplicate",IF(AND(D391&lt;&gt;"Withdrawn",G391&lt;&gt;"",COUNTIFS($B$2:$B$1001,$B391,$G$2:$G$1001,G391,$D$2:$D$1001,"&lt;&gt;Withdrawn")&gt;1),"Same-day clash","OK"))))))</f>
        <v/>
      </c>
    </row>
    <row r="392" customFormat="false" ht="15" hidden="false" customHeight="false" outlineLevel="0" collapsed="false">
      <c r="E392" s="26"/>
      <c r="G392" s="23" t="str">
        <f aca="false">IF($A392="","",IFERROR(IF(INDEX(Activities!$C$2:$C$201,MATCH($A392,Activities!$A$2:$A$201,0))="","",INDEX(Activities!$C$2:$C$201,MATCH($A392,Activities!$A$2:$A$201,0))),""))</f>
        <v/>
      </c>
      <c r="H392" s="24" t="str">
        <f aca="false">IF($A392="","",IFERROR(IF(INDEX(Activities!$B$2:$B$201,MATCH($A392,Activities!$A$2:$A$201,0))="","",INDEX(Activities!$B$2:$B$201,MATCH($A392,Activities!$A$2:$A$201,0))),""))</f>
        <v/>
      </c>
      <c r="I392" s="24" t="str">
        <f aca="false">IF($B392="","",IFERROR(IF(INDEX(Students!$C$2:$C$301,MATCH($B392,Students!$A$2:$A$301,0))="","",INDEX(Students!$C$2:$C$301,MATCH($B392,Students!$A$2:$A$301,0))),""))</f>
        <v/>
      </c>
      <c r="J392" s="24" t="str">
        <f aca="false">IF($B392="","",IFERROR(IF(INDEX(Students!$B$2:$B$301,MATCH($B392,Students!$A$2:$A$301,0))="","",INDEX(Students!$B$2:$B$301,MATCH($B392,Students!$A$2:$A$301,0))),""))</f>
        <v/>
      </c>
      <c r="K392" s="25" t="str">
        <f aca="false">IF($A392="","",IF(D392="Withdrawn",0,IF(E392&lt;&gt;"",N(E392),IFERROR(N(INDEX(Activities!$I$2:$I$201,MATCH($A392,Activities!$A$2:$A$201,0))),0))))</f>
        <v/>
      </c>
      <c r="L392" s="24" t="str">
        <f aca="false">IF(AND($A392="",$B392=""),"",IF(ISNA(MATCH($A392,Activities!$A$2:$A$201,0)),"Unknown activity",IF(ISNA(MATCH($B392,Students!$A$2:$A$301,0)),"Unknown student",IF(D392="","No status",IF(COUNTIFS($A$2:$A$1001,$A392,$B$2:$B$1001,$B392)&gt;1,"Duplicate",IF(AND(D392&lt;&gt;"Withdrawn",G392&lt;&gt;"",COUNTIFS($B$2:$B$1001,$B392,$G$2:$G$1001,G392,$D$2:$D$1001,"&lt;&gt;Withdrawn")&gt;1),"Same-day clash","OK"))))))</f>
        <v/>
      </c>
    </row>
    <row r="393" customFormat="false" ht="15" hidden="false" customHeight="false" outlineLevel="0" collapsed="false">
      <c r="E393" s="26"/>
      <c r="G393" s="23" t="str">
        <f aca="false">IF($A393="","",IFERROR(IF(INDEX(Activities!$C$2:$C$201,MATCH($A393,Activities!$A$2:$A$201,0))="","",INDEX(Activities!$C$2:$C$201,MATCH($A393,Activities!$A$2:$A$201,0))),""))</f>
        <v/>
      </c>
      <c r="H393" s="24" t="str">
        <f aca="false">IF($A393="","",IFERROR(IF(INDEX(Activities!$B$2:$B$201,MATCH($A393,Activities!$A$2:$A$201,0))="","",INDEX(Activities!$B$2:$B$201,MATCH($A393,Activities!$A$2:$A$201,0))),""))</f>
        <v/>
      </c>
      <c r="I393" s="24" t="str">
        <f aca="false">IF($B393="","",IFERROR(IF(INDEX(Students!$C$2:$C$301,MATCH($B393,Students!$A$2:$A$301,0))="","",INDEX(Students!$C$2:$C$301,MATCH($B393,Students!$A$2:$A$301,0))),""))</f>
        <v/>
      </c>
      <c r="J393" s="24" t="str">
        <f aca="false">IF($B393="","",IFERROR(IF(INDEX(Students!$B$2:$B$301,MATCH($B393,Students!$A$2:$A$301,0))="","",INDEX(Students!$B$2:$B$301,MATCH($B393,Students!$A$2:$A$301,0))),""))</f>
        <v/>
      </c>
      <c r="K393" s="25" t="str">
        <f aca="false">IF($A393="","",IF(D393="Withdrawn",0,IF(E393&lt;&gt;"",N(E393),IFERROR(N(INDEX(Activities!$I$2:$I$201,MATCH($A393,Activities!$A$2:$A$201,0))),0))))</f>
        <v/>
      </c>
      <c r="L393" s="24" t="str">
        <f aca="false">IF(AND($A393="",$B393=""),"",IF(ISNA(MATCH($A393,Activities!$A$2:$A$201,0)),"Unknown activity",IF(ISNA(MATCH($B393,Students!$A$2:$A$301,0)),"Unknown student",IF(D393="","No status",IF(COUNTIFS($A$2:$A$1001,$A393,$B$2:$B$1001,$B393)&gt;1,"Duplicate",IF(AND(D393&lt;&gt;"Withdrawn",G393&lt;&gt;"",COUNTIFS($B$2:$B$1001,$B393,$G$2:$G$1001,G393,$D$2:$D$1001,"&lt;&gt;Withdrawn")&gt;1),"Same-day clash","OK"))))))</f>
        <v/>
      </c>
    </row>
    <row r="394" customFormat="false" ht="15" hidden="false" customHeight="false" outlineLevel="0" collapsed="false">
      <c r="E394" s="26"/>
      <c r="G394" s="23" t="str">
        <f aca="false">IF($A394="","",IFERROR(IF(INDEX(Activities!$C$2:$C$201,MATCH($A394,Activities!$A$2:$A$201,0))="","",INDEX(Activities!$C$2:$C$201,MATCH($A394,Activities!$A$2:$A$201,0))),""))</f>
        <v/>
      </c>
      <c r="H394" s="24" t="str">
        <f aca="false">IF($A394="","",IFERROR(IF(INDEX(Activities!$B$2:$B$201,MATCH($A394,Activities!$A$2:$A$201,0))="","",INDEX(Activities!$B$2:$B$201,MATCH($A394,Activities!$A$2:$A$201,0))),""))</f>
        <v/>
      </c>
      <c r="I394" s="24" t="str">
        <f aca="false">IF($B394="","",IFERROR(IF(INDEX(Students!$C$2:$C$301,MATCH($B394,Students!$A$2:$A$301,0))="","",INDEX(Students!$C$2:$C$301,MATCH($B394,Students!$A$2:$A$301,0))),""))</f>
        <v/>
      </c>
      <c r="J394" s="24" t="str">
        <f aca="false">IF($B394="","",IFERROR(IF(INDEX(Students!$B$2:$B$301,MATCH($B394,Students!$A$2:$A$301,0))="","",INDEX(Students!$B$2:$B$301,MATCH($B394,Students!$A$2:$A$301,0))),""))</f>
        <v/>
      </c>
      <c r="K394" s="25" t="str">
        <f aca="false">IF($A394="","",IF(D394="Withdrawn",0,IF(E394&lt;&gt;"",N(E394),IFERROR(N(INDEX(Activities!$I$2:$I$201,MATCH($A394,Activities!$A$2:$A$201,0))),0))))</f>
        <v/>
      </c>
      <c r="L394" s="24" t="str">
        <f aca="false">IF(AND($A394="",$B394=""),"",IF(ISNA(MATCH($A394,Activities!$A$2:$A$201,0)),"Unknown activity",IF(ISNA(MATCH($B394,Students!$A$2:$A$301,0)),"Unknown student",IF(D394="","No status",IF(COUNTIFS($A$2:$A$1001,$A394,$B$2:$B$1001,$B394)&gt;1,"Duplicate",IF(AND(D394&lt;&gt;"Withdrawn",G394&lt;&gt;"",COUNTIFS($B$2:$B$1001,$B394,$G$2:$G$1001,G394,$D$2:$D$1001,"&lt;&gt;Withdrawn")&gt;1),"Same-day clash","OK"))))))</f>
        <v/>
      </c>
    </row>
    <row r="395" customFormat="false" ht="15" hidden="false" customHeight="false" outlineLevel="0" collapsed="false">
      <c r="E395" s="26"/>
      <c r="G395" s="23" t="str">
        <f aca="false">IF($A395="","",IFERROR(IF(INDEX(Activities!$C$2:$C$201,MATCH($A395,Activities!$A$2:$A$201,0))="","",INDEX(Activities!$C$2:$C$201,MATCH($A395,Activities!$A$2:$A$201,0))),""))</f>
        <v/>
      </c>
      <c r="H395" s="24" t="str">
        <f aca="false">IF($A395="","",IFERROR(IF(INDEX(Activities!$B$2:$B$201,MATCH($A395,Activities!$A$2:$A$201,0))="","",INDEX(Activities!$B$2:$B$201,MATCH($A395,Activities!$A$2:$A$201,0))),""))</f>
        <v/>
      </c>
      <c r="I395" s="24" t="str">
        <f aca="false">IF($B395="","",IFERROR(IF(INDEX(Students!$C$2:$C$301,MATCH($B395,Students!$A$2:$A$301,0))="","",INDEX(Students!$C$2:$C$301,MATCH($B395,Students!$A$2:$A$301,0))),""))</f>
        <v/>
      </c>
      <c r="J395" s="24" t="str">
        <f aca="false">IF($B395="","",IFERROR(IF(INDEX(Students!$B$2:$B$301,MATCH($B395,Students!$A$2:$A$301,0))="","",INDEX(Students!$B$2:$B$301,MATCH($B395,Students!$A$2:$A$301,0))),""))</f>
        <v/>
      </c>
      <c r="K395" s="25" t="str">
        <f aca="false">IF($A395="","",IF(D395="Withdrawn",0,IF(E395&lt;&gt;"",N(E395),IFERROR(N(INDEX(Activities!$I$2:$I$201,MATCH($A395,Activities!$A$2:$A$201,0))),0))))</f>
        <v/>
      </c>
      <c r="L395" s="24" t="str">
        <f aca="false">IF(AND($A395="",$B395=""),"",IF(ISNA(MATCH($A395,Activities!$A$2:$A$201,0)),"Unknown activity",IF(ISNA(MATCH($B395,Students!$A$2:$A$301,0)),"Unknown student",IF(D395="","No status",IF(COUNTIFS($A$2:$A$1001,$A395,$B$2:$B$1001,$B395)&gt;1,"Duplicate",IF(AND(D395&lt;&gt;"Withdrawn",G395&lt;&gt;"",COUNTIFS($B$2:$B$1001,$B395,$G$2:$G$1001,G395,$D$2:$D$1001,"&lt;&gt;Withdrawn")&gt;1),"Same-day clash","OK"))))))</f>
        <v/>
      </c>
    </row>
    <row r="396" customFormat="false" ht="15" hidden="false" customHeight="false" outlineLevel="0" collapsed="false">
      <c r="E396" s="26"/>
      <c r="G396" s="23" t="str">
        <f aca="false">IF($A396="","",IFERROR(IF(INDEX(Activities!$C$2:$C$201,MATCH($A396,Activities!$A$2:$A$201,0))="","",INDEX(Activities!$C$2:$C$201,MATCH($A396,Activities!$A$2:$A$201,0))),""))</f>
        <v/>
      </c>
      <c r="H396" s="24" t="str">
        <f aca="false">IF($A396="","",IFERROR(IF(INDEX(Activities!$B$2:$B$201,MATCH($A396,Activities!$A$2:$A$201,0))="","",INDEX(Activities!$B$2:$B$201,MATCH($A396,Activities!$A$2:$A$201,0))),""))</f>
        <v/>
      </c>
      <c r="I396" s="24" t="str">
        <f aca="false">IF($B396="","",IFERROR(IF(INDEX(Students!$C$2:$C$301,MATCH($B396,Students!$A$2:$A$301,0))="","",INDEX(Students!$C$2:$C$301,MATCH($B396,Students!$A$2:$A$301,0))),""))</f>
        <v/>
      </c>
      <c r="J396" s="24" t="str">
        <f aca="false">IF($B396="","",IFERROR(IF(INDEX(Students!$B$2:$B$301,MATCH($B396,Students!$A$2:$A$301,0))="","",INDEX(Students!$B$2:$B$301,MATCH($B396,Students!$A$2:$A$301,0))),""))</f>
        <v/>
      </c>
      <c r="K396" s="25" t="str">
        <f aca="false">IF($A396="","",IF(D396="Withdrawn",0,IF(E396&lt;&gt;"",N(E396),IFERROR(N(INDEX(Activities!$I$2:$I$201,MATCH($A396,Activities!$A$2:$A$201,0))),0))))</f>
        <v/>
      </c>
      <c r="L396" s="24" t="str">
        <f aca="false">IF(AND($A396="",$B396=""),"",IF(ISNA(MATCH($A396,Activities!$A$2:$A$201,0)),"Unknown activity",IF(ISNA(MATCH($B396,Students!$A$2:$A$301,0)),"Unknown student",IF(D396="","No status",IF(COUNTIFS($A$2:$A$1001,$A396,$B$2:$B$1001,$B396)&gt;1,"Duplicate",IF(AND(D396&lt;&gt;"Withdrawn",G396&lt;&gt;"",COUNTIFS($B$2:$B$1001,$B396,$G$2:$G$1001,G396,$D$2:$D$1001,"&lt;&gt;Withdrawn")&gt;1),"Same-day clash","OK"))))))</f>
        <v/>
      </c>
    </row>
    <row r="397" customFormat="false" ht="15" hidden="false" customHeight="false" outlineLevel="0" collapsed="false">
      <c r="E397" s="26"/>
      <c r="G397" s="23" t="str">
        <f aca="false">IF($A397="","",IFERROR(IF(INDEX(Activities!$C$2:$C$201,MATCH($A397,Activities!$A$2:$A$201,0))="","",INDEX(Activities!$C$2:$C$201,MATCH($A397,Activities!$A$2:$A$201,0))),""))</f>
        <v/>
      </c>
      <c r="H397" s="24" t="str">
        <f aca="false">IF($A397="","",IFERROR(IF(INDEX(Activities!$B$2:$B$201,MATCH($A397,Activities!$A$2:$A$201,0))="","",INDEX(Activities!$B$2:$B$201,MATCH($A397,Activities!$A$2:$A$201,0))),""))</f>
        <v/>
      </c>
      <c r="I397" s="24" t="str">
        <f aca="false">IF($B397="","",IFERROR(IF(INDEX(Students!$C$2:$C$301,MATCH($B397,Students!$A$2:$A$301,0))="","",INDEX(Students!$C$2:$C$301,MATCH($B397,Students!$A$2:$A$301,0))),""))</f>
        <v/>
      </c>
      <c r="J397" s="24" t="str">
        <f aca="false">IF($B397="","",IFERROR(IF(INDEX(Students!$B$2:$B$301,MATCH($B397,Students!$A$2:$A$301,0))="","",INDEX(Students!$B$2:$B$301,MATCH($B397,Students!$A$2:$A$301,0))),""))</f>
        <v/>
      </c>
      <c r="K397" s="25" t="str">
        <f aca="false">IF($A397="","",IF(D397="Withdrawn",0,IF(E397&lt;&gt;"",N(E397),IFERROR(N(INDEX(Activities!$I$2:$I$201,MATCH($A397,Activities!$A$2:$A$201,0))),0))))</f>
        <v/>
      </c>
      <c r="L397" s="24" t="str">
        <f aca="false">IF(AND($A397="",$B397=""),"",IF(ISNA(MATCH($A397,Activities!$A$2:$A$201,0)),"Unknown activity",IF(ISNA(MATCH($B397,Students!$A$2:$A$301,0)),"Unknown student",IF(D397="","No status",IF(COUNTIFS($A$2:$A$1001,$A397,$B$2:$B$1001,$B397)&gt;1,"Duplicate",IF(AND(D397&lt;&gt;"Withdrawn",G397&lt;&gt;"",COUNTIFS($B$2:$B$1001,$B397,$G$2:$G$1001,G397,$D$2:$D$1001,"&lt;&gt;Withdrawn")&gt;1),"Same-day clash","OK"))))))</f>
        <v/>
      </c>
    </row>
    <row r="398" customFormat="false" ht="15" hidden="false" customHeight="false" outlineLevel="0" collapsed="false">
      <c r="E398" s="26"/>
      <c r="G398" s="23" t="str">
        <f aca="false">IF($A398="","",IFERROR(IF(INDEX(Activities!$C$2:$C$201,MATCH($A398,Activities!$A$2:$A$201,0))="","",INDEX(Activities!$C$2:$C$201,MATCH($A398,Activities!$A$2:$A$201,0))),""))</f>
        <v/>
      </c>
      <c r="H398" s="24" t="str">
        <f aca="false">IF($A398="","",IFERROR(IF(INDEX(Activities!$B$2:$B$201,MATCH($A398,Activities!$A$2:$A$201,0))="","",INDEX(Activities!$B$2:$B$201,MATCH($A398,Activities!$A$2:$A$201,0))),""))</f>
        <v/>
      </c>
      <c r="I398" s="24" t="str">
        <f aca="false">IF($B398="","",IFERROR(IF(INDEX(Students!$C$2:$C$301,MATCH($B398,Students!$A$2:$A$301,0))="","",INDEX(Students!$C$2:$C$301,MATCH($B398,Students!$A$2:$A$301,0))),""))</f>
        <v/>
      </c>
      <c r="J398" s="24" t="str">
        <f aca="false">IF($B398="","",IFERROR(IF(INDEX(Students!$B$2:$B$301,MATCH($B398,Students!$A$2:$A$301,0))="","",INDEX(Students!$B$2:$B$301,MATCH($B398,Students!$A$2:$A$301,0))),""))</f>
        <v/>
      </c>
      <c r="K398" s="25" t="str">
        <f aca="false">IF($A398="","",IF(D398="Withdrawn",0,IF(E398&lt;&gt;"",N(E398),IFERROR(N(INDEX(Activities!$I$2:$I$201,MATCH($A398,Activities!$A$2:$A$201,0))),0))))</f>
        <v/>
      </c>
      <c r="L398" s="24" t="str">
        <f aca="false">IF(AND($A398="",$B398=""),"",IF(ISNA(MATCH($A398,Activities!$A$2:$A$201,0)),"Unknown activity",IF(ISNA(MATCH($B398,Students!$A$2:$A$301,0)),"Unknown student",IF(D398="","No status",IF(COUNTIFS($A$2:$A$1001,$A398,$B$2:$B$1001,$B398)&gt;1,"Duplicate",IF(AND(D398&lt;&gt;"Withdrawn",G398&lt;&gt;"",COUNTIFS($B$2:$B$1001,$B398,$G$2:$G$1001,G398,$D$2:$D$1001,"&lt;&gt;Withdrawn")&gt;1),"Same-day clash","OK"))))))</f>
        <v/>
      </c>
    </row>
    <row r="399" customFormat="false" ht="15" hidden="false" customHeight="false" outlineLevel="0" collapsed="false">
      <c r="E399" s="26"/>
      <c r="G399" s="23" t="str">
        <f aca="false">IF($A399="","",IFERROR(IF(INDEX(Activities!$C$2:$C$201,MATCH($A399,Activities!$A$2:$A$201,0))="","",INDEX(Activities!$C$2:$C$201,MATCH($A399,Activities!$A$2:$A$201,0))),""))</f>
        <v/>
      </c>
      <c r="H399" s="24" t="str">
        <f aca="false">IF($A399="","",IFERROR(IF(INDEX(Activities!$B$2:$B$201,MATCH($A399,Activities!$A$2:$A$201,0))="","",INDEX(Activities!$B$2:$B$201,MATCH($A399,Activities!$A$2:$A$201,0))),""))</f>
        <v/>
      </c>
      <c r="I399" s="24" t="str">
        <f aca="false">IF($B399="","",IFERROR(IF(INDEX(Students!$C$2:$C$301,MATCH($B399,Students!$A$2:$A$301,0))="","",INDEX(Students!$C$2:$C$301,MATCH($B399,Students!$A$2:$A$301,0))),""))</f>
        <v/>
      </c>
      <c r="J399" s="24" t="str">
        <f aca="false">IF($B399="","",IFERROR(IF(INDEX(Students!$B$2:$B$301,MATCH($B399,Students!$A$2:$A$301,0))="","",INDEX(Students!$B$2:$B$301,MATCH($B399,Students!$A$2:$A$301,0))),""))</f>
        <v/>
      </c>
      <c r="K399" s="25" t="str">
        <f aca="false">IF($A399="","",IF(D399="Withdrawn",0,IF(E399&lt;&gt;"",N(E399),IFERROR(N(INDEX(Activities!$I$2:$I$201,MATCH($A399,Activities!$A$2:$A$201,0))),0))))</f>
        <v/>
      </c>
      <c r="L399" s="24" t="str">
        <f aca="false">IF(AND($A399="",$B399=""),"",IF(ISNA(MATCH($A399,Activities!$A$2:$A$201,0)),"Unknown activity",IF(ISNA(MATCH($B399,Students!$A$2:$A$301,0)),"Unknown student",IF(D399="","No status",IF(COUNTIFS($A$2:$A$1001,$A399,$B$2:$B$1001,$B399)&gt;1,"Duplicate",IF(AND(D399&lt;&gt;"Withdrawn",G399&lt;&gt;"",COUNTIFS($B$2:$B$1001,$B399,$G$2:$G$1001,G399,$D$2:$D$1001,"&lt;&gt;Withdrawn")&gt;1),"Same-day clash","OK"))))))</f>
        <v/>
      </c>
    </row>
    <row r="400" customFormat="false" ht="15" hidden="false" customHeight="false" outlineLevel="0" collapsed="false">
      <c r="E400" s="26"/>
      <c r="G400" s="23" t="str">
        <f aca="false">IF($A400="","",IFERROR(IF(INDEX(Activities!$C$2:$C$201,MATCH($A400,Activities!$A$2:$A$201,0))="","",INDEX(Activities!$C$2:$C$201,MATCH($A400,Activities!$A$2:$A$201,0))),""))</f>
        <v/>
      </c>
      <c r="H400" s="24" t="str">
        <f aca="false">IF($A400="","",IFERROR(IF(INDEX(Activities!$B$2:$B$201,MATCH($A400,Activities!$A$2:$A$201,0))="","",INDEX(Activities!$B$2:$B$201,MATCH($A400,Activities!$A$2:$A$201,0))),""))</f>
        <v/>
      </c>
      <c r="I400" s="24" t="str">
        <f aca="false">IF($B400="","",IFERROR(IF(INDEX(Students!$C$2:$C$301,MATCH($B400,Students!$A$2:$A$301,0))="","",INDEX(Students!$C$2:$C$301,MATCH($B400,Students!$A$2:$A$301,0))),""))</f>
        <v/>
      </c>
      <c r="J400" s="24" t="str">
        <f aca="false">IF($B400="","",IFERROR(IF(INDEX(Students!$B$2:$B$301,MATCH($B400,Students!$A$2:$A$301,0))="","",INDEX(Students!$B$2:$B$301,MATCH($B400,Students!$A$2:$A$301,0))),""))</f>
        <v/>
      </c>
      <c r="K400" s="25" t="str">
        <f aca="false">IF($A400="","",IF(D400="Withdrawn",0,IF(E400&lt;&gt;"",N(E400),IFERROR(N(INDEX(Activities!$I$2:$I$201,MATCH($A400,Activities!$A$2:$A$201,0))),0))))</f>
        <v/>
      </c>
      <c r="L400" s="24" t="str">
        <f aca="false">IF(AND($A400="",$B400=""),"",IF(ISNA(MATCH($A400,Activities!$A$2:$A$201,0)),"Unknown activity",IF(ISNA(MATCH($B400,Students!$A$2:$A$301,0)),"Unknown student",IF(D400="","No status",IF(COUNTIFS($A$2:$A$1001,$A400,$B$2:$B$1001,$B400)&gt;1,"Duplicate",IF(AND(D400&lt;&gt;"Withdrawn",G400&lt;&gt;"",COUNTIFS($B$2:$B$1001,$B400,$G$2:$G$1001,G400,$D$2:$D$1001,"&lt;&gt;Withdrawn")&gt;1),"Same-day clash","OK"))))))</f>
        <v/>
      </c>
    </row>
    <row r="401" customFormat="false" ht="15" hidden="false" customHeight="false" outlineLevel="0" collapsed="false">
      <c r="E401" s="26"/>
      <c r="G401" s="23" t="str">
        <f aca="false">IF($A401="","",IFERROR(IF(INDEX(Activities!$C$2:$C$201,MATCH($A401,Activities!$A$2:$A$201,0))="","",INDEX(Activities!$C$2:$C$201,MATCH($A401,Activities!$A$2:$A$201,0))),""))</f>
        <v/>
      </c>
      <c r="H401" s="24" t="str">
        <f aca="false">IF($A401="","",IFERROR(IF(INDEX(Activities!$B$2:$B$201,MATCH($A401,Activities!$A$2:$A$201,0))="","",INDEX(Activities!$B$2:$B$201,MATCH($A401,Activities!$A$2:$A$201,0))),""))</f>
        <v/>
      </c>
      <c r="I401" s="24" t="str">
        <f aca="false">IF($B401="","",IFERROR(IF(INDEX(Students!$C$2:$C$301,MATCH($B401,Students!$A$2:$A$301,0))="","",INDEX(Students!$C$2:$C$301,MATCH($B401,Students!$A$2:$A$301,0))),""))</f>
        <v/>
      </c>
      <c r="J401" s="24" t="str">
        <f aca="false">IF($B401="","",IFERROR(IF(INDEX(Students!$B$2:$B$301,MATCH($B401,Students!$A$2:$A$301,0))="","",INDEX(Students!$B$2:$B$301,MATCH($B401,Students!$A$2:$A$301,0))),""))</f>
        <v/>
      </c>
      <c r="K401" s="25" t="str">
        <f aca="false">IF($A401="","",IF(D401="Withdrawn",0,IF(E401&lt;&gt;"",N(E401),IFERROR(N(INDEX(Activities!$I$2:$I$201,MATCH($A401,Activities!$A$2:$A$201,0))),0))))</f>
        <v/>
      </c>
      <c r="L401" s="24" t="str">
        <f aca="false">IF(AND($A401="",$B401=""),"",IF(ISNA(MATCH($A401,Activities!$A$2:$A$201,0)),"Unknown activity",IF(ISNA(MATCH($B401,Students!$A$2:$A$301,0)),"Unknown student",IF(D401="","No status",IF(COUNTIFS($A$2:$A$1001,$A401,$B$2:$B$1001,$B401)&gt;1,"Duplicate",IF(AND(D401&lt;&gt;"Withdrawn",G401&lt;&gt;"",COUNTIFS($B$2:$B$1001,$B401,$G$2:$G$1001,G401,$D$2:$D$1001,"&lt;&gt;Withdrawn")&gt;1),"Same-day clash","OK"))))))</f>
        <v/>
      </c>
    </row>
    <row r="402" customFormat="false" ht="15" hidden="false" customHeight="false" outlineLevel="0" collapsed="false">
      <c r="E402" s="26"/>
      <c r="G402" s="23" t="str">
        <f aca="false">IF($A402="","",IFERROR(IF(INDEX(Activities!$C$2:$C$201,MATCH($A402,Activities!$A$2:$A$201,0))="","",INDEX(Activities!$C$2:$C$201,MATCH($A402,Activities!$A$2:$A$201,0))),""))</f>
        <v/>
      </c>
      <c r="H402" s="24" t="str">
        <f aca="false">IF($A402="","",IFERROR(IF(INDEX(Activities!$B$2:$B$201,MATCH($A402,Activities!$A$2:$A$201,0))="","",INDEX(Activities!$B$2:$B$201,MATCH($A402,Activities!$A$2:$A$201,0))),""))</f>
        <v/>
      </c>
      <c r="I402" s="24" t="str">
        <f aca="false">IF($B402="","",IFERROR(IF(INDEX(Students!$C$2:$C$301,MATCH($B402,Students!$A$2:$A$301,0))="","",INDEX(Students!$C$2:$C$301,MATCH($B402,Students!$A$2:$A$301,0))),""))</f>
        <v/>
      </c>
      <c r="J402" s="24" t="str">
        <f aca="false">IF($B402="","",IFERROR(IF(INDEX(Students!$B$2:$B$301,MATCH($B402,Students!$A$2:$A$301,0))="","",INDEX(Students!$B$2:$B$301,MATCH($B402,Students!$A$2:$A$301,0))),""))</f>
        <v/>
      </c>
      <c r="K402" s="25" t="str">
        <f aca="false">IF($A402="","",IF(D402="Withdrawn",0,IF(E402&lt;&gt;"",N(E402),IFERROR(N(INDEX(Activities!$I$2:$I$201,MATCH($A402,Activities!$A$2:$A$201,0))),0))))</f>
        <v/>
      </c>
      <c r="L402" s="24" t="str">
        <f aca="false">IF(AND($A402="",$B402=""),"",IF(ISNA(MATCH($A402,Activities!$A$2:$A$201,0)),"Unknown activity",IF(ISNA(MATCH($B402,Students!$A$2:$A$301,0)),"Unknown student",IF(D402="","No status",IF(COUNTIFS($A$2:$A$1001,$A402,$B$2:$B$1001,$B402)&gt;1,"Duplicate",IF(AND(D402&lt;&gt;"Withdrawn",G402&lt;&gt;"",COUNTIFS($B$2:$B$1001,$B402,$G$2:$G$1001,G402,$D$2:$D$1001,"&lt;&gt;Withdrawn")&gt;1),"Same-day clash","OK"))))))</f>
        <v/>
      </c>
    </row>
    <row r="403" customFormat="false" ht="15" hidden="false" customHeight="false" outlineLevel="0" collapsed="false">
      <c r="E403" s="26"/>
      <c r="G403" s="23" t="str">
        <f aca="false">IF($A403="","",IFERROR(IF(INDEX(Activities!$C$2:$C$201,MATCH($A403,Activities!$A$2:$A$201,0))="","",INDEX(Activities!$C$2:$C$201,MATCH($A403,Activities!$A$2:$A$201,0))),""))</f>
        <v/>
      </c>
      <c r="H403" s="24" t="str">
        <f aca="false">IF($A403="","",IFERROR(IF(INDEX(Activities!$B$2:$B$201,MATCH($A403,Activities!$A$2:$A$201,0))="","",INDEX(Activities!$B$2:$B$201,MATCH($A403,Activities!$A$2:$A$201,0))),""))</f>
        <v/>
      </c>
      <c r="I403" s="24" t="str">
        <f aca="false">IF($B403="","",IFERROR(IF(INDEX(Students!$C$2:$C$301,MATCH($B403,Students!$A$2:$A$301,0))="","",INDEX(Students!$C$2:$C$301,MATCH($B403,Students!$A$2:$A$301,0))),""))</f>
        <v/>
      </c>
      <c r="J403" s="24" t="str">
        <f aca="false">IF($B403="","",IFERROR(IF(INDEX(Students!$B$2:$B$301,MATCH($B403,Students!$A$2:$A$301,0))="","",INDEX(Students!$B$2:$B$301,MATCH($B403,Students!$A$2:$A$301,0))),""))</f>
        <v/>
      </c>
      <c r="K403" s="25" t="str">
        <f aca="false">IF($A403="","",IF(D403="Withdrawn",0,IF(E403&lt;&gt;"",N(E403),IFERROR(N(INDEX(Activities!$I$2:$I$201,MATCH($A403,Activities!$A$2:$A$201,0))),0))))</f>
        <v/>
      </c>
      <c r="L403" s="24" t="str">
        <f aca="false">IF(AND($A403="",$B403=""),"",IF(ISNA(MATCH($A403,Activities!$A$2:$A$201,0)),"Unknown activity",IF(ISNA(MATCH($B403,Students!$A$2:$A$301,0)),"Unknown student",IF(D403="","No status",IF(COUNTIFS($A$2:$A$1001,$A403,$B$2:$B$1001,$B403)&gt;1,"Duplicate",IF(AND(D403&lt;&gt;"Withdrawn",G403&lt;&gt;"",COUNTIFS($B$2:$B$1001,$B403,$G$2:$G$1001,G403,$D$2:$D$1001,"&lt;&gt;Withdrawn")&gt;1),"Same-day clash","OK"))))))</f>
        <v/>
      </c>
    </row>
    <row r="404" customFormat="false" ht="15" hidden="false" customHeight="false" outlineLevel="0" collapsed="false">
      <c r="E404" s="26"/>
      <c r="G404" s="23" t="str">
        <f aca="false">IF($A404="","",IFERROR(IF(INDEX(Activities!$C$2:$C$201,MATCH($A404,Activities!$A$2:$A$201,0))="","",INDEX(Activities!$C$2:$C$201,MATCH($A404,Activities!$A$2:$A$201,0))),""))</f>
        <v/>
      </c>
      <c r="H404" s="24" t="str">
        <f aca="false">IF($A404="","",IFERROR(IF(INDEX(Activities!$B$2:$B$201,MATCH($A404,Activities!$A$2:$A$201,0))="","",INDEX(Activities!$B$2:$B$201,MATCH($A404,Activities!$A$2:$A$201,0))),""))</f>
        <v/>
      </c>
      <c r="I404" s="24" t="str">
        <f aca="false">IF($B404="","",IFERROR(IF(INDEX(Students!$C$2:$C$301,MATCH($B404,Students!$A$2:$A$301,0))="","",INDEX(Students!$C$2:$C$301,MATCH($B404,Students!$A$2:$A$301,0))),""))</f>
        <v/>
      </c>
      <c r="J404" s="24" t="str">
        <f aca="false">IF($B404="","",IFERROR(IF(INDEX(Students!$B$2:$B$301,MATCH($B404,Students!$A$2:$A$301,0))="","",INDEX(Students!$B$2:$B$301,MATCH($B404,Students!$A$2:$A$301,0))),""))</f>
        <v/>
      </c>
      <c r="K404" s="25" t="str">
        <f aca="false">IF($A404="","",IF(D404="Withdrawn",0,IF(E404&lt;&gt;"",N(E404),IFERROR(N(INDEX(Activities!$I$2:$I$201,MATCH($A404,Activities!$A$2:$A$201,0))),0))))</f>
        <v/>
      </c>
      <c r="L404" s="24" t="str">
        <f aca="false">IF(AND($A404="",$B404=""),"",IF(ISNA(MATCH($A404,Activities!$A$2:$A$201,0)),"Unknown activity",IF(ISNA(MATCH($B404,Students!$A$2:$A$301,0)),"Unknown student",IF(D404="","No status",IF(COUNTIFS($A$2:$A$1001,$A404,$B$2:$B$1001,$B404)&gt;1,"Duplicate",IF(AND(D404&lt;&gt;"Withdrawn",G404&lt;&gt;"",COUNTIFS($B$2:$B$1001,$B404,$G$2:$G$1001,G404,$D$2:$D$1001,"&lt;&gt;Withdrawn")&gt;1),"Same-day clash","OK"))))))</f>
        <v/>
      </c>
    </row>
    <row r="405" customFormat="false" ht="15" hidden="false" customHeight="false" outlineLevel="0" collapsed="false">
      <c r="E405" s="26"/>
      <c r="G405" s="23" t="str">
        <f aca="false">IF($A405="","",IFERROR(IF(INDEX(Activities!$C$2:$C$201,MATCH($A405,Activities!$A$2:$A$201,0))="","",INDEX(Activities!$C$2:$C$201,MATCH($A405,Activities!$A$2:$A$201,0))),""))</f>
        <v/>
      </c>
      <c r="H405" s="24" t="str">
        <f aca="false">IF($A405="","",IFERROR(IF(INDEX(Activities!$B$2:$B$201,MATCH($A405,Activities!$A$2:$A$201,0))="","",INDEX(Activities!$B$2:$B$201,MATCH($A405,Activities!$A$2:$A$201,0))),""))</f>
        <v/>
      </c>
      <c r="I405" s="24" t="str">
        <f aca="false">IF($B405="","",IFERROR(IF(INDEX(Students!$C$2:$C$301,MATCH($B405,Students!$A$2:$A$301,0))="","",INDEX(Students!$C$2:$C$301,MATCH($B405,Students!$A$2:$A$301,0))),""))</f>
        <v/>
      </c>
      <c r="J405" s="24" t="str">
        <f aca="false">IF($B405="","",IFERROR(IF(INDEX(Students!$B$2:$B$301,MATCH($B405,Students!$A$2:$A$301,0))="","",INDEX(Students!$B$2:$B$301,MATCH($B405,Students!$A$2:$A$301,0))),""))</f>
        <v/>
      </c>
      <c r="K405" s="25" t="str">
        <f aca="false">IF($A405="","",IF(D405="Withdrawn",0,IF(E405&lt;&gt;"",N(E405),IFERROR(N(INDEX(Activities!$I$2:$I$201,MATCH($A405,Activities!$A$2:$A$201,0))),0))))</f>
        <v/>
      </c>
      <c r="L405" s="24" t="str">
        <f aca="false">IF(AND($A405="",$B405=""),"",IF(ISNA(MATCH($A405,Activities!$A$2:$A$201,0)),"Unknown activity",IF(ISNA(MATCH($B405,Students!$A$2:$A$301,0)),"Unknown student",IF(D405="","No status",IF(COUNTIFS($A$2:$A$1001,$A405,$B$2:$B$1001,$B405)&gt;1,"Duplicate",IF(AND(D405&lt;&gt;"Withdrawn",G405&lt;&gt;"",COUNTIFS($B$2:$B$1001,$B405,$G$2:$G$1001,G405,$D$2:$D$1001,"&lt;&gt;Withdrawn")&gt;1),"Same-day clash","OK"))))))</f>
        <v/>
      </c>
    </row>
    <row r="406" customFormat="false" ht="15" hidden="false" customHeight="false" outlineLevel="0" collapsed="false">
      <c r="E406" s="26"/>
      <c r="G406" s="23" t="str">
        <f aca="false">IF($A406="","",IFERROR(IF(INDEX(Activities!$C$2:$C$201,MATCH($A406,Activities!$A$2:$A$201,0))="","",INDEX(Activities!$C$2:$C$201,MATCH($A406,Activities!$A$2:$A$201,0))),""))</f>
        <v/>
      </c>
      <c r="H406" s="24" t="str">
        <f aca="false">IF($A406="","",IFERROR(IF(INDEX(Activities!$B$2:$B$201,MATCH($A406,Activities!$A$2:$A$201,0))="","",INDEX(Activities!$B$2:$B$201,MATCH($A406,Activities!$A$2:$A$201,0))),""))</f>
        <v/>
      </c>
      <c r="I406" s="24" t="str">
        <f aca="false">IF($B406="","",IFERROR(IF(INDEX(Students!$C$2:$C$301,MATCH($B406,Students!$A$2:$A$301,0))="","",INDEX(Students!$C$2:$C$301,MATCH($B406,Students!$A$2:$A$301,0))),""))</f>
        <v/>
      </c>
      <c r="J406" s="24" t="str">
        <f aca="false">IF($B406="","",IFERROR(IF(INDEX(Students!$B$2:$B$301,MATCH($B406,Students!$A$2:$A$301,0))="","",INDEX(Students!$B$2:$B$301,MATCH($B406,Students!$A$2:$A$301,0))),""))</f>
        <v/>
      </c>
      <c r="K406" s="25" t="str">
        <f aca="false">IF($A406="","",IF(D406="Withdrawn",0,IF(E406&lt;&gt;"",N(E406),IFERROR(N(INDEX(Activities!$I$2:$I$201,MATCH($A406,Activities!$A$2:$A$201,0))),0))))</f>
        <v/>
      </c>
      <c r="L406" s="24" t="str">
        <f aca="false">IF(AND($A406="",$B406=""),"",IF(ISNA(MATCH($A406,Activities!$A$2:$A$201,0)),"Unknown activity",IF(ISNA(MATCH($B406,Students!$A$2:$A$301,0)),"Unknown student",IF(D406="","No status",IF(COUNTIFS($A$2:$A$1001,$A406,$B$2:$B$1001,$B406)&gt;1,"Duplicate",IF(AND(D406&lt;&gt;"Withdrawn",G406&lt;&gt;"",COUNTIFS($B$2:$B$1001,$B406,$G$2:$G$1001,G406,$D$2:$D$1001,"&lt;&gt;Withdrawn")&gt;1),"Same-day clash","OK"))))))</f>
        <v/>
      </c>
    </row>
    <row r="407" customFormat="false" ht="15" hidden="false" customHeight="false" outlineLevel="0" collapsed="false">
      <c r="E407" s="26"/>
      <c r="G407" s="23" t="str">
        <f aca="false">IF($A407="","",IFERROR(IF(INDEX(Activities!$C$2:$C$201,MATCH($A407,Activities!$A$2:$A$201,0))="","",INDEX(Activities!$C$2:$C$201,MATCH($A407,Activities!$A$2:$A$201,0))),""))</f>
        <v/>
      </c>
      <c r="H407" s="24" t="str">
        <f aca="false">IF($A407="","",IFERROR(IF(INDEX(Activities!$B$2:$B$201,MATCH($A407,Activities!$A$2:$A$201,0))="","",INDEX(Activities!$B$2:$B$201,MATCH($A407,Activities!$A$2:$A$201,0))),""))</f>
        <v/>
      </c>
      <c r="I407" s="24" t="str">
        <f aca="false">IF($B407="","",IFERROR(IF(INDEX(Students!$C$2:$C$301,MATCH($B407,Students!$A$2:$A$301,0))="","",INDEX(Students!$C$2:$C$301,MATCH($B407,Students!$A$2:$A$301,0))),""))</f>
        <v/>
      </c>
      <c r="J407" s="24" t="str">
        <f aca="false">IF($B407="","",IFERROR(IF(INDEX(Students!$B$2:$B$301,MATCH($B407,Students!$A$2:$A$301,0))="","",INDEX(Students!$B$2:$B$301,MATCH($B407,Students!$A$2:$A$301,0))),""))</f>
        <v/>
      </c>
      <c r="K407" s="25" t="str">
        <f aca="false">IF($A407="","",IF(D407="Withdrawn",0,IF(E407&lt;&gt;"",N(E407),IFERROR(N(INDEX(Activities!$I$2:$I$201,MATCH($A407,Activities!$A$2:$A$201,0))),0))))</f>
        <v/>
      </c>
      <c r="L407" s="24" t="str">
        <f aca="false">IF(AND($A407="",$B407=""),"",IF(ISNA(MATCH($A407,Activities!$A$2:$A$201,0)),"Unknown activity",IF(ISNA(MATCH($B407,Students!$A$2:$A$301,0)),"Unknown student",IF(D407="","No status",IF(COUNTIFS($A$2:$A$1001,$A407,$B$2:$B$1001,$B407)&gt;1,"Duplicate",IF(AND(D407&lt;&gt;"Withdrawn",G407&lt;&gt;"",COUNTIFS($B$2:$B$1001,$B407,$G$2:$G$1001,G407,$D$2:$D$1001,"&lt;&gt;Withdrawn")&gt;1),"Same-day clash","OK"))))))</f>
        <v/>
      </c>
    </row>
    <row r="408" customFormat="false" ht="15" hidden="false" customHeight="false" outlineLevel="0" collapsed="false">
      <c r="E408" s="26"/>
      <c r="G408" s="23" t="str">
        <f aca="false">IF($A408="","",IFERROR(IF(INDEX(Activities!$C$2:$C$201,MATCH($A408,Activities!$A$2:$A$201,0))="","",INDEX(Activities!$C$2:$C$201,MATCH($A408,Activities!$A$2:$A$201,0))),""))</f>
        <v/>
      </c>
      <c r="H408" s="24" t="str">
        <f aca="false">IF($A408="","",IFERROR(IF(INDEX(Activities!$B$2:$B$201,MATCH($A408,Activities!$A$2:$A$201,0))="","",INDEX(Activities!$B$2:$B$201,MATCH($A408,Activities!$A$2:$A$201,0))),""))</f>
        <v/>
      </c>
      <c r="I408" s="24" t="str">
        <f aca="false">IF($B408="","",IFERROR(IF(INDEX(Students!$C$2:$C$301,MATCH($B408,Students!$A$2:$A$301,0))="","",INDEX(Students!$C$2:$C$301,MATCH($B408,Students!$A$2:$A$301,0))),""))</f>
        <v/>
      </c>
      <c r="J408" s="24" t="str">
        <f aca="false">IF($B408="","",IFERROR(IF(INDEX(Students!$B$2:$B$301,MATCH($B408,Students!$A$2:$A$301,0))="","",INDEX(Students!$B$2:$B$301,MATCH($B408,Students!$A$2:$A$301,0))),""))</f>
        <v/>
      </c>
      <c r="K408" s="25" t="str">
        <f aca="false">IF($A408="","",IF(D408="Withdrawn",0,IF(E408&lt;&gt;"",N(E408),IFERROR(N(INDEX(Activities!$I$2:$I$201,MATCH($A408,Activities!$A$2:$A$201,0))),0))))</f>
        <v/>
      </c>
      <c r="L408" s="24" t="str">
        <f aca="false">IF(AND($A408="",$B408=""),"",IF(ISNA(MATCH($A408,Activities!$A$2:$A$201,0)),"Unknown activity",IF(ISNA(MATCH($B408,Students!$A$2:$A$301,0)),"Unknown student",IF(D408="","No status",IF(COUNTIFS($A$2:$A$1001,$A408,$B$2:$B$1001,$B408)&gt;1,"Duplicate",IF(AND(D408&lt;&gt;"Withdrawn",G408&lt;&gt;"",COUNTIFS($B$2:$B$1001,$B408,$G$2:$G$1001,G408,$D$2:$D$1001,"&lt;&gt;Withdrawn")&gt;1),"Same-day clash","OK"))))))</f>
        <v/>
      </c>
    </row>
    <row r="409" customFormat="false" ht="15" hidden="false" customHeight="false" outlineLevel="0" collapsed="false">
      <c r="E409" s="26"/>
      <c r="G409" s="23" t="str">
        <f aca="false">IF($A409="","",IFERROR(IF(INDEX(Activities!$C$2:$C$201,MATCH($A409,Activities!$A$2:$A$201,0))="","",INDEX(Activities!$C$2:$C$201,MATCH($A409,Activities!$A$2:$A$201,0))),""))</f>
        <v/>
      </c>
      <c r="H409" s="24" t="str">
        <f aca="false">IF($A409="","",IFERROR(IF(INDEX(Activities!$B$2:$B$201,MATCH($A409,Activities!$A$2:$A$201,0))="","",INDEX(Activities!$B$2:$B$201,MATCH($A409,Activities!$A$2:$A$201,0))),""))</f>
        <v/>
      </c>
      <c r="I409" s="24" t="str">
        <f aca="false">IF($B409="","",IFERROR(IF(INDEX(Students!$C$2:$C$301,MATCH($B409,Students!$A$2:$A$301,0))="","",INDEX(Students!$C$2:$C$301,MATCH($B409,Students!$A$2:$A$301,0))),""))</f>
        <v/>
      </c>
      <c r="J409" s="24" t="str">
        <f aca="false">IF($B409="","",IFERROR(IF(INDEX(Students!$B$2:$B$301,MATCH($B409,Students!$A$2:$A$301,0))="","",INDEX(Students!$B$2:$B$301,MATCH($B409,Students!$A$2:$A$301,0))),""))</f>
        <v/>
      </c>
      <c r="K409" s="25" t="str">
        <f aca="false">IF($A409="","",IF(D409="Withdrawn",0,IF(E409&lt;&gt;"",N(E409),IFERROR(N(INDEX(Activities!$I$2:$I$201,MATCH($A409,Activities!$A$2:$A$201,0))),0))))</f>
        <v/>
      </c>
      <c r="L409" s="24" t="str">
        <f aca="false">IF(AND($A409="",$B409=""),"",IF(ISNA(MATCH($A409,Activities!$A$2:$A$201,0)),"Unknown activity",IF(ISNA(MATCH($B409,Students!$A$2:$A$301,0)),"Unknown student",IF(D409="","No status",IF(COUNTIFS($A$2:$A$1001,$A409,$B$2:$B$1001,$B409)&gt;1,"Duplicate",IF(AND(D409&lt;&gt;"Withdrawn",G409&lt;&gt;"",COUNTIFS($B$2:$B$1001,$B409,$G$2:$G$1001,G409,$D$2:$D$1001,"&lt;&gt;Withdrawn")&gt;1),"Same-day clash","OK"))))))</f>
        <v/>
      </c>
    </row>
    <row r="410" customFormat="false" ht="15" hidden="false" customHeight="false" outlineLevel="0" collapsed="false">
      <c r="E410" s="26"/>
      <c r="G410" s="23" t="str">
        <f aca="false">IF($A410="","",IFERROR(IF(INDEX(Activities!$C$2:$C$201,MATCH($A410,Activities!$A$2:$A$201,0))="","",INDEX(Activities!$C$2:$C$201,MATCH($A410,Activities!$A$2:$A$201,0))),""))</f>
        <v/>
      </c>
      <c r="H410" s="24" t="str">
        <f aca="false">IF($A410="","",IFERROR(IF(INDEX(Activities!$B$2:$B$201,MATCH($A410,Activities!$A$2:$A$201,0))="","",INDEX(Activities!$B$2:$B$201,MATCH($A410,Activities!$A$2:$A$201,0))),""))</f>
        <v/>
      </c>
      <c r="I410" s="24" t="str">
        <f aca="false">IF($B410="","",IFERROR(IF(INDEX(Students!$C$2:$C$301,MATCH($B410,Students!$A$2:$A$301,0))="","",INDEX(Students!$C$2:$C$301,MATCH($B410,Students!$A$2:$A$301,0))),""))</f>
        <v/>
      </c>
      <c r="J410" s="24" t="str">
        <f aca="false">IF($B410="","",IFERROR(IF(INDEX(Students!$B$2:$B$301,MATCH($B410,Students!$A$2:$A$301,0))="","",INDEX(Students!$B$2:$B$301,MATCH($B410,Students!$A$2:$A$301,0))),""))</f>
        <v/>
      </c>
      <c r="K410" s="25" t="str">
        <f aca="false">IF($A410="","",IF(D410="Withdrawn",0,IF(E410&lt;&gt;"",N(E410),IFERROR(N(INDEX(Activities!$I$2:$I$201,MATCH($A410,Activities!$A$2:$A$201,0))),0))))</f>
        <v/>
      </c>
      <c r="L410" s="24" t="str">
        <f aca="false">IF(AND($A410="",$B410=""),"",IF(ISNA(MATCH($A410,Activities!$A$2:$A$201,0)),"Unknown activity",IF(ISNA(MATCH($B410,Students!$A$2:$A$301,0)),"Unknown student",IF(D410="","No status",IF(COUNTIFS($A$2:$A$1001,$A410,$B$2:$B$1001,$B410)&gt;1,"Duplicate",IF(AND(D410&lt;&gt;"Withdrawn",G410&lt;&gt;"",COUNTIFS($B$2:$B$1001,$B410,$G$2:$G$1001,G410,$D$2:$D$1001,"&lt;&gt;Withdrawn")&gt;1),"Same-day clash","OK"))))))</f>
        <v/>
      </c>
    </row>
    <row r="411" customFormat="false" ht="15" hidden="false" customHeight="false" outlineLevel="0" collapsed="false">
      <c r="E411" s="26"/>
      <c r="G411" s="23" t="str">
        <f aca="false">IF($A411="","",IFERROR(IF(INDEX(Activities!$C$2:$C$201,MATCH($A411,Activities!$A$2:$A$201,0))="","",INDEX(Activities!$C$2:$C$201,MATCH($A411,Activities!$A$2:$A$201,0))),""))</f>
        <v/>
      </c>
      <c r="H411" s="24" t="str">
        <f aca="false">IF($A411="","",IFERROR(IF(INDEX(Activities!$B$2:$B$201,MATCH($A411,Activities!$A$2:$A$201,0))="","",INDEX(Activities!$B$2:$B$201,MATCH($A411,Activities!$A$2:$A$201,0))),""))</f>
        <v/>
      </c>
      <c r="I411" s="24" t="str">
        <f aca="false">IF($B411="","",IFERROR(IF(INDEX(Students!$C$2:$C$301,MATCH($B411,Students!$A$2:$A$301,0))="","",INDEX(Students!$C$2:$C$301,MATCH($B411,Students!$A$2:$A$301,0))),""))</f>
        <v/>
      </c>
      <c r="J411" s="24" t="str">
        <f aca="false">IF($B411="","",IFERROR(IF(INDEX(Students!$B$2:$B$301,MATCH($B411,Students!$A$2:$A$301,0))="","",INDEX(Students!$B$2:$B$301,MATCH($B411,Students!$A$2:$A$301,0))),""))</f>
        <v/>
      </c>
      <c r="K411" s="25" t="str">
        <f aca="false">IF($A411="","",IF(D411="Withdrawn",0,IF(E411&lt;&gt;"",N(E411),IFERROR(N(INDEX(Activities!$I$2:$I$201,MATCH($A411,Activities!$A$2:$A$201,0))),0))))</f>
        <v/>
      </c>
      <c r="L411" s="24" t="str">
        <f aca="false">IF(AND($A411="",$B411=""),"",IF(ISNA(MATCH($A411,Activities!$A$2:$A$201,0)),"Unknown activity",IF(ISNA(MATCH($B411,Students!$A$2:$A$301,0)),"Unknown student",IF(D411="","No status",IF(COUNTIFS($A$2:$A$1001,$A411,$B$2:$B$1001,$B411)&gt;1,"Duplicate",IF(AND(D411&lt;&gt;"Withdrawn",G411&lt;&gt;"",COUNTIFS($B$2:$B$1001,$B411,$G$2:$G$1001,G411,$D$2:$D$1001,"&lt;&gt;Withdrawn")&gt;1),"Same-day clash","OK"))))))</f>
        <v/>
      </c>
    </row>
    <row r="412" customFormat="false" ht="15" hidden="false" customHeight="false" outlineLevel="0" collapsed="false">
      <c r="E412" s="26"/>
      <c r="G412" s="23" t="str">
        <f aca="false">IF($A412="","",IFERROR(IF(INDEX(Activities!$C$2:$C$201,MATCH($A412,Activities!$A$2:$A$201,0))="","",INDEX(Activities!$C$2:$C$201,MATCH($A412,Activities!$A$2:$A$201,0))),""))</f>
        <v/>
      </c>
      <c r="H412" s="24" t="str">
        <f aca="false">IF($A412="","",IFERROR(IF(INDEX(Activities!$B$2:$B$201,MATCH($A412,Activities!$A$2:$A$201,0))="","",INDEX(Activities!$B$2:$B$201,MATCH($A412,Activities!$A$2:$A$201,0))),""))</f>
        <v/>
      </c>
      <c r="I412" s="24" t="str">
        <f aca="false">IF($B412="","",IFERROR(IF(INDEX(Students!$C$2:$C$301,MATCH($B412,Students!$A$2:$A$301,0))="","",INDEX(Students!$C$2:$C$301,MATCH($B412,Students!$A$2:$A$301,0))),""))</f>
        <v/>
      </c>
      <c r="J412" s="24" t="str">
        <f aca="false">IF($B412="","",IFERROR(IF(INDEX(Students!$B$2:$B$301,MATCH($B412,Students!$A$2:$A$301,0))="","",INDEX(Students!$B$2:$B$301,MATCH($B412,Students!$A$2:$A$301,0))),""))</f>
        <v/>
      </c>
      <c r="K412" s="25" t="str">
        <f aca="false">IF($A412="","",IF(D412="Withdrawn",0,IF(E412&lt;&gt;"",N(E412),IFERROR(N(INDEX(Activities!$I$2:$I$201,MATCH($A412,Activities!$A$2:$A$201,0))),0))))</f>
        <v/>
      </c>
      <c r="L412" s="24" t="str">
        <f aca="false">IF(AND($A412="",$B412=""),"",IF(ISNA(MATCH($A412,Activities!$A$2:$A$201,0)),"Unknown activity",IF(ISNA(MATCH($B412,Students!$A$2:$A$301,0)),"Unknown student",IF(D412="","No status",IF(COUNTIFS($A$2:$A$1001,$A412,$B$2:$B$1001,$B412)&gt;1,"Duplicate",IF(AND(D412&lt;&gt;"Withdrawn",G412&lt;&gt;"",COUNTIFS($B$2:$B$1001,$B412,$G$2:$G$1001,G412,$D$2:$D$1001,"&lt;&gt;Withdrawn")&gt;1),"Same-day clash","OK"))))))</f>
        <v/>
      </c>
    </row>
    <row r="413" customFormat="false" ht="15" hidden="false" customHeight="false" outlineLevel="0" collapsed="false">
      <c r="E413" s="26"/>
      <c r="G413" s="23" t="str">
        <f aca="false">IF($A413="","",IFERROR(IF(INDEX(Activities!$C$2:$C$201,MATCH($A413,Activities!$A$2:$A$201,0))="","",INDEX(Activities!$C$2:$C$201,MATCH($A413,Activities!$A$2:$A$201,0))),""))</f>
        <v/>
      </c>
      <c r="H413" s="24" t="str">
        <f aca="false">IF($A413="","",IFERROR(IF(INDEX(Activities!$B$2:$B$201,MATCH($A413,Activities!$A$2:$A$201,0))="","",INDEX(Activities!$B$2:$B$201,MATCH($A413,Activities!$A$2:$A$201,0))),""))</f>
        <v/>
      </c>
      <c r="I413" s="24" t="str">
        <f aca="false">IF($B413="","",IFERROR(IF(INDEX(Students!$C$2:$C$301,MATCH($B413,Students!$A$2:$A$301,0))="","",INDEX(Students!$C$2:$C$301,MATCH($B413,Students!$A$2:$A$301,0))),""))</f>
        <v/>
      </c>
      <c r="J413" s="24" t="str">
        <f aca="false">IF($B413="","",IFERROR(IF(INDEX(Students!$B$2:$B$301,MATCH($B413,Students!$A$2:$A$301,0))="","",INDEX(Students!$B$2:$B$301,MATCH($B413,Students!$A$2:$A$301,0))),""))</f>
        <v/>
      </c>
      <c r="K413" s="25" t="str">
        <f aca="false">IF($A413="","",IF(D413="Withdrawn",0,IF(E413&lt;&gt;"",N(E413),IFERROR(N(INDEX(Activities!$I$2:$I$201,MATCH($A413,Activities!$A$2:$A$201,0))),0))))</f>
        <v/>
      </c>
      <c r="L413" s="24" t="str">
        <f aca="false">IF(AND($A413="",$B413=""),"",IF(ISNA(MATCH($A413,Activities!$A$2:$A$201,0)),"Unknown activity",IF(ISNA(MATCH($B413,Students!$A$2:$A$301,0)),"Unknown student",IF(D413="","No status",IF(COUNTIFS($A$2:$A$1001,$A413,$B$2:$B$1001,$B413)&gt;1,"Duplicate",IF(AND(D413&lt;&gt;"Withdrawn",G413&lt;&gt;"",COUNTIFS($B$2:$B$1001,$B413,$G$2:$G$1001,G413,$D$2:$D$1001,"&lt;&gt;Withdrawn")&gt;1),"Same-day clash","OK"))))))</f>
        <v/>
      </c>
    </row>
    <row r="414" customFormat="false" ht="15" hidden="false" customHeight="false" outlineLevel="0" collapsed="false">
      <c r="E414" s="26"/>
      <c r="G414" s="23" t="str">
        <f aca="false">IF($A414="","",IFERROR(IF(INDEX(Activities!$C$2:$C$201,MATCH($A414,Activities!$A$2:$A$201,0))="","",INDEX(Activities!$C$2:$C$201,MATCH($A414,Activities!$A$2:$A$201,0))),""))</f>
        <v/>
      </c>
      <c r="H414" s="24" t="str">
        <f aca="false">IF($A414="","",IFERROR(IF(INDEX(Activities!$B$2:$B$201,MATCH($A414,Activities!$A$2:$A$201,0))="","",INDEX(Activities!$B$2:$B$201,MATCH($A414,Activities!$A$2:$A$201,0))),""))</f>
        <v/>
      </c>
      <c r="I414" s="24" t="str">
        <f aca="false">IF($B414="","",IFERROR(IF(INDEX(Students!$C$2:$C$301,MATCH($B414,Students!$A$2:$A$301,0))="","",INDEX(Students!$C$2:$C$301,MATCH($B414,Students!$A$2:$A$301,0))),""))</f>
        <v/>
      </c>
      <c r="J414" s="24" t="str">
        <f aca="false">IF($B414="","",IFERROR(IF(INDEX(Students!$B$2:$B$301,MATCH($B414,Students!$A$2:$A$301,0))="","",INDEX(Students!$B$2:$B$301,MATCH($B414,Students!$A$2:$A$301,0))),""))</f>
        <v/>
      </c>
      <c r="K414" s="25" t="str">
        <f aca="false">IF($A414="","",IF(D414="Withdrawn",0,IF(E414&lt;&gt;"",N(E414),IFERROR(N(INDEX(Activities!$I$2:$I$201,MATCH($A414,Activities!$A$2:$A$201,0))),0))))</f>
        <v/>
      </c>
      <c r="L414" s="24" t="str">
        <f aca="false">IF(AND($A414="",$B414=""),"",IF(ISNA(MATCH($A414,Activities!$A$2:$A$201,0)),"Unknown activity",IF(ISNA(MATCH($B414,Students!$A$2:$A$301,0)),"Unknown student",IF(D414="","No status",IF(COUNTIFS($A$2:$A$1001,$A414,$B$2:$B$1001,$B414)&gt;1,"Duplicate",IF(AND(D414&lt;&gt;"Withdrawn",G414&lt;&gt;"",COUNTIFS($B$2:$B$1001,$B414,$G$2:$G$1001,G414,$D$2:$D$1001,"&lt;&gt;Withdrawn")&gt;1),"Same-day clash","OK"))))))</f>
        <v/>
      </c>
    </row>
    <row r="415" customFormat="false" ht="15" hidden="false" customHeight="false" outlineLevel="0" collapsed="false">
      <c r="E415" s="26"/>
      <c r="G415" s="23" t="str">
        <f aca="false">IF($A415="","",IFERROR(IF(INDEX(Activities!$C$2:$C$201,MATCH($A415,Activities!$A$2:$A$201,0))="","",INDEX(Activities!$C$2:$C$201,MATCH($A415,Activities!$A$2:$A$201,0))),""))</f>
        <v/>
      </c>
      <c r="H415" s="24" t="str">
        <f aca="false">IF($A415="","",IFERROR(IF(INDEX(Activities!$B$2:$B$201,MATCH($A415,Activities!$A$2:$A$201,0))="","",INDEX(Activities!$B$2:$B$201,MATCH($A415,Activities!$A$2:$A$201,0))),""))</f>
        <v/>
      </c>
      <c r="I415" s="24" t="str">
        <f aca="false">IF($B415="","",IFERROR(IF(INDEX(Students!$C$2:$C$301,MATCH($B415,Students!$A$2:$A$301,0))="","",INDEX(Students!$C$2:$C$301,MATCH($B415,Students!$A$2:$A$301,0))),""))</f>
        <v/>
      </c>
      <c r="J415" s="24" t="str">
        <f aca="false">IF($B415="","",IFERROR(IF(INDEX(Students!$B$2:$B$301,MATCH($B415,Students!$A$2:$A$301,0))="","",INDEX(Students!$B$2:$B$301,MATCH($B415,Students!$A$2:$A$301,0))),""))</f>
        <v/>
      </c>
      <c r="K415" s="25" t="str">
        <f aca="false">IF($A415="","",IF(D415="Withdrawn",0,IF(E415&lt;&gt;"",N(E415),IFERROR(N(INDEX(Activities!$I$2:$I$201,MATCH($A415,Activities!$A$2:$A$201,0))),0))))</f>
        <v/>
      </c>
      <c r="L415" s="24" t="str">
        <f aca="false">IF(AND($A415="",$B415=""),"",IF(ISNA(MATCH($A415,Activities!$A$2:$A$201,0)),"Unknown activity",IF(ISNA(MATCH($B415,Students!$A$2:$A$301,0)),"Unknown student",IF(D415="","No status",IF(COUNTIFS($A$2:$A$1001,$A415,$B$2:$B$1001,$B415)&gt;1,"Duplicate",IF(AND(D415&lt;&gt;"Withdrawn",G415&lt;&gt;"",COUNTIFS($B$2:$B$1001,$B415,$G$2:$G$1001,G415,$D$2:$D$1001,"&lt;&gt;Withdrawn")&gt;1),"Same-day clash","OK"))))))</f>
        <v/>
      </c>
    </row>
    <row r="416" customFormat="false" ht="15" hidden="false" customHeight="false" outlineLevel="0" collapsed="false">
      <c r="E416" s="26"/>
      <c r="G416" s="23" t="str">
        <f aca="false">IF($A416="","",IFERROR(IF(INDEX(Activities!$C$2:$C$201,MATCH($A416,Activities!$A$2:$A$201,0))="","",INDEX(Activities!$C$2:$C$201,MATCH($A416,Activities!$A$2:$A$201,0))),""))</f>
        <v/>
      </c>
      <c r="H416" s="24" t="str">
        <f aca="false">IF($A416="","",IFERROR(IF(INDEX(Activities!$B$2:$B$201,MATCH($A416,Activities!$A$2:$A$201,0))="","",INDEX(Activities!$B$2:$B$201,MATCH($A416,Activities!$A$2:$A$201,0))),""))</f>
        <v/>
      </c>
      <c r="I416" s="24" t="str">
        <f aca="false">IF($B416="","",IFERROR(IF(INDEX(Students!$C$2:$C$301,MATCH($B416,Students!$A$2:$A$301,0))="","",INDEX(Students!$C$2:$C$301,MATCH($B416,Students!$A$2:$A$301,0))),""))</f>
        <v/>
      </c>
      <c r="J416" s="24" t="str">
        <f aca="false">IF($B416="","",IFERROR(IF(INDEX(Students!$B$2:$B$301,MATCH($B416,Students!$A$2:$A$301,0))="","",INDEX(Students!$B$2:$B$301,MATCH($B416,Students!$A$2:$A$301,0))),""))</f>
        <v/>
      </c>
      <c r="K416" s="25" t="str">
        <f aca="false">IF($A416="","",IF(D416="Withdrawn",0,IF(E416&lt;&gt;"",N(E416),IFERROR(N(INDEX(Activities!$I$2:$I$201,MATCH($A416,Activities!$A$2:$A$201,0))),0))))</f>
        <v/>
      </c>
      <c r="L416" s="24" t="str">
        <f aca="false">IF(AND($A416="",$B416=""),"",IF(ISNA(MATCH($A416,Activities!$A$2:$A$201,0)),"Unknown activity",IF(ISNA(MATCH($B416,Students!$A$2:$A$301,0)),"Unknown student",IF(D416="","No status",IF(COUNTIFS($A$2:$A$1001,$A416,$B$2:$B$1001,$B416)&gt;1,"Duplicate",IF(AND(D416&lt;&gt;"Withdrawn",G416&lt;&gt;"",COUNTIFS($B$2:$B$1001,$B416,$G$2:$G$1001,G416,$D$2:$D$1001,"&lt;&gt;Withdrawn")&gt;1),"Same-day clash","OK"))))))</f>
        <v/>
      </c>
    </row>
    <row r="417" customFormat="false" ht="15" hidden="false" customHeight="false" outlineLevel="0" collapsed="false">
      <c r="E417" s="26"/>
      <c r="G417" s="23" t="str">
        <f aca="false">IF($A417="","",IFERROR(IF(INDEX(Activities!$C$2:$C$201,MATCH($A417,Activities!$A$2:$A$201,0))="","",INDEX(Activities!$C$2:$C$201,MATCH($A417,Activities!$A$2:$A$201,0))),""))</f>
        <v/>
      </c>
      <c r="H417" s="24" t="str">
        <f aca="false">IF($A417="","",IFERROR(IF(INDEX(Activities!$B$2:$B$201,MATCH($A417,Activities!$A$2:$A$201,0))="","",INDEX(Activities!$B$2:$B$201,MATCH($A417,Activities!$A$2:$A$201,0))),""))</f>
        <v/>
      </c>
      <c r="I417" s="24" t="str">
        <f aca="false">IF($B417="","",IFERROR(IF(INDEX(Students!$C$2:$C$301,MATCH($B417,Students!$A$2:$A$301,0))="","",INDEX(Students!$C$2:$C$301,MATCH($B417,Students!$A$2:$A$301,0))),""))</f>
        <v/>
      </c>
      <c r="J417" s="24" t="str">
        <f aca="false">IF($B417="","",IFERROR(IF(INDEX(Students!$B$2:$B$301,MATCH($B417,Students!$A$2:$A$301,0))="","",INDEX(Students!$B$2:$B$301,MATCH($B417,Students!$A$2:$A$301,0))),""))</f>
        <v/>
      </c>
      <c r="K417" s="25" t="str">
        <f aca="false">IF($A417="","",IF(D417="Withdrawn",0,IF(E417&lt;&gt;"",N(E417),IFERROR(N(INDEX(Activities!$I$2:$I$201,MATCH($A417,Activities!$A$2:$A$201,0))),0))))</f>
        <v/>
      </c>
      <c r="L417" s="24" t="str">
        <f aca="false">IF(AND($A417="",$B417=""),"",IF(ISNA(MATCH($A417,Activities!$A$2:$A$201,0)),"Unknown activity",IF(ISNA(MATCH($B417,Students!$A$2:$A$301,0)),"Unknown student",IF(D417="","No status",IF(COUNTIFS($A$2:$A$1001,$A417,$B$2:$B$1001,$B417)&gt;1,"Duplicate",IF(AND(D417&lt;&gt;"Withdrawn",G417&lt;&gt;"",COUNTIFS($B$2:$B$1001,$B417,$G$2:$G$1001,G417,$D$2:$D$1001,"&lt;&gt;Withdrawn")&gt;1),"Same-day clash","OK"))))))</f>
        <v/>
      </c>
    </row>
    <row r="418" customFormat="false" ht="15" hidden="false" customHeight="false" outlineLevel="0" collapsed="false">
      <c r="E418" s="26"/>
      <c r="G418" s="23" t="str">
        <f aca="false">IF($A418="","",IFERROR(IF(INDEX(Activities!$C$2:$C$201,MATCH($A418,Activities!$A$2:$A$201,0))="","",INDEX(Activities!$C$2:$C$201,MATCH($A418,Activities!$A$2:$A$201,0))),""))</f>
        <v/>
      </c>
      <c r="H418" s="24" t="str">
        <f aca="false">IF($A418="","",IFERROR(IF(INDEX(Activities!$B$2:$B$201,MATCH($A418,Activities!$A$2:$A$201,0))="","",INDEX(Activities!$B$2:$B$201,MATCH($A418,Activities!$A$2:$A$201,0))),""))</f>
        <v/>
      </c>
      <c r="I418" s="24" t="str">
        <f aca="false">IF($B418="","",IFERROR(IF(INDEX(Students!$C$2:$C$301,MATCH($B418,Students!$A$2:$A$301,0))="","",INDEX(Students!$C$2:$C$301,MATCH($B418,Students!$A$2:$A$301,0))),""))</f>
        <v/>
      </c>
      <c r="J418" s="24" t="str">
        <f aca="false">IF($B418="","",IFERROR(IF(INDEX(Students!$B$2:$B$301,MATCH($B418,Students!$A$2:$A$301,0))="","",INDEX(Students!$B$2:$B$301,MATCH($B418,Students!$A$2:$A$301,0))),""))</f>
        <v/>
      </c>
      <c r="K418" s="25" t="str">
        <f aca="false">IF($A418="","",IF(D418="Withdrawn",0,IF(E418&lt;&gt;"",N(E418),IFERROR(N(INDEX(Activities!$I$2:$I$201,MATCH($A418,Activities!$A$2:$A$201,0))),0))))</f>
        <v/>
      </c>
      <c r="L418" s="24" t="str">
        <f aca="false">IF(AND($A418="",$B418=""),"",IF(ISNA(MATCH($A418,Activities!$A$2:$A$201,0)),"Unknown activity",IF(ISNA(MATCH($B418,Students!$A$2:$A$301,0)),"Unknown student",IF(D418="","No status",IF(COUNTIFS($A$2:$A$1001,$A418,$B$2:$B$1001,$B418)&gt;1,"Duplicate",IF(AND(D418&lt;&gt;"Withdrawn",G418&lt;&gt;"",COUNTIFS($B$2:$B$1001,$B418,$G$2:$G$1001,G418,$D$2:$D$1001,"&lt;&gt;Withdrawn")&gt;1),"Same-day clash","OK"))))))</f>
        <v/>
      </c>
    </row>
    <row r="419" customFormat="false" ht="15" hidden="false" customHeight="false" outlineLevel="0" collapsed="false">
      <c r="E419" s="26"/>
      <c r="G419" s="23" t="str">
        <f aca="false">IF($A419="","",IFERROR(IF(INDEX(Activities!$C$2:$C$201,MATCH($A419,Activities!$A$2:$A$201,0))="","",INDEX(Activities!$C$2:$C$201,MATCH($A419,Activities!$A$2:$A$201,0))),""))</f>
        <v/>
      </c>
      <c r="H419" s="24" t="str">
        <f aca="false">IF($A419="","",IFERROR(IF(INDEX(Activities!$B$2:$B$201,MATCH($A419,Activities!$A$2:$A$201,0))="","",INDEX(Activities!$B$2:$B$201,MATCH($A419,Activities!$A$2:$A$201,0))),""))</f>
        <v/>
      </c>
      <c r="I419" s="24" t="str">
        <f aca="false">IF($B419="","",IFERROR(IF(INDEX(Students!$C$2:$C$301,MATCH($B419,Students!$A$2:$A$301,0))="","",INDEX(Students!$C$2:$C$301,MATCH($B419,Students!$A$2:$A$301,0))),""))</f>
        <v/>
      </c>
      <c r="J419" s="24" t="str">
        <f aca="false">IF($B419="","",IFERROR(IF(INDEX(Students!$B$2:$B$301,MATCH($B419,Students!$A$2:$A$301,0))="","",INDEX(Students!$B$2:$B$301,MATCH($B419,Students!$A$2:$A$301,0))),""))</f>
        <v/>
      </c>
      <c r="K419" s="25" t="str">
        <f aca="false">IF($A419="","",IF(D419="Withdrawn",0,IF(E419&lt;&gt;"",N(E419),IFERROR(N(INDEX(Activities!$I$2:$I$201,MATCH($A419,Activities!$A$2:$A$201,0))),0))))</f>
        <v/>
      </c>
      <c r="L419" s="24" t="str">
        <f aca="false">IF(AND($A419="",$B419=""),"",IF(ISNA(MATCH($A419,Activities!$A$2:$A$201,0)),"Unknown activity",IF(ISNA(MATCH($B419,Students!$A$2:$A$301,0)),"Unknown student",IF(D419="","No status",IF(COUNTIFS($A$2:$A$1001,$A419,$B$2:$B$1001,$B419)&gt;1,"Duplicate",IF(AND(D419&lt;&gt;"Withdrawn",G419&lt;&gt;"",COUNTIFS($B$2:$B$1001,$B419,$G$2:$G$1001,G419,$D$2:$D$1001,"&lt;&gt;Withdrawn")&gt;1),"Same-day clash","OK"))))))</f>
        <v/>
      </c>
    </row>
    <row r="420" customFormat="false" ht="15" hidden="false" customHeight="false" outlineLevel="0" collapsed="false">
      <c r="E420" s="26"/>
      <c r="G420" s="23" t="str">
        <f aca="false">IF($A420="","",IFERROR(IF(INDEX(Activities!$C$2:$C$201,MATCH($A420,Activities!$A$2:$A$201,0))="","",INDEX(Activities!$C$2:$C$201,MATCH($A420,Activities!$A$2:$A$201,0))),""))</f>
        <v/>
      </c>
      <c r="H420" s="24" t="str">
        <f aca="false">IF($A420="","",IFERROR(IF(INDEX(Activities!$B$2:$B$201,MATCH($A420,Activities!$A$2:$A$201,0))="","",INDEX(Activities!$B$2:$B$201,MATCH($A420,Activities!$A$2:$A$201,0))),""))</f>
        <v/>
      </c>
      <c r="I420" s="24" t="str">
        <f aca="false">IF($B420="","",IFERROR(IF(INDEX(Students!$C$2:$C$301,MATCH($B420,Students!$A$2:$A$301,0))="","",INDEX(Students!$C$2:$C$301,MATCH($B420,Students!$A$2:$A$301,0))),""))</f>
        <v/>
      </c>
      <c r="J420" s="24" t="str">
        <f aca="false">IF($B420="","",IFERROR(IF(INDEX(Students!$B$2:$B$301,MATCH($B420,Students!$A$2:$A$301,0))="","",INDEX(Students!$B$2:$B$301,MATCH($B420,Students!$A$2:$A$301,0))),""))</f>
        <v/>
      </c>
      <c r="K420" s="25" t="str">
        <f aca="false">IF($A420="","",IF(D420="Withdrawn",0,IF(E420&lt;&gt;"",N(E420),IFERROR(N(INDEX(Activities!$I$2:$I$201,MATCH($A420,Activities!$A$2:$A$201,0))),0))))</f>
        <v/>
      </c>
      <c r="L420" s="24" t="str">
        <f aca="false">IF(AND($A420="",$B420=""),"",IF(ISNA(MATCH($A420,Activities!$A$2:$A$201,0)),"Unknown activity",IF(ISNA(MATCH($B420,Students!$A$2:$A$301,0)),"Unknown student",IF(D420="","No status",IF(COUNTIFS($A$2:$A$1001,$A420,$B$2:$B$1001,$B420)&gt;1,"Duplicate",IF(AND(D420&lt;&gt;"Withdrawn",G420&lt;&gt;"",COUNTIFS($B$2:$B$1001,$B420,$G$2:$G$1001,G420,$D$2:$D$1001,"&lt;&gt;Withdrawn")&gt;1),"Same-day clash","OK"))))))</f>
        <v/>
      </c>
    </row>
    <row r="421" customFormat="false" ht="15" hidden="false" customHeight="false" outlineLevel="0" collapsed="false">
      <c r="E421" s="26"/>
      <c r="G421" s="23" t="str">
        <f aca="false">IF($A421="","",IFERROR(IF(INDEX(Activities!$C$2:$C$201,MATCH($A421,Activities!$A$2:$A$201,0))="","",INDEX(Activities!$C$2:$C$201,MATCH($A421,Activities!$A$2:$A$201,0))),""))</f>
        <v/>
      </c>
      <c r="H421" s="24" t="str">
        <f aca="false">IF($A421="","",IFERROR(IF(INDEX(Activities!$B$2:$B$201,MATCH($A421,Activities!$A$2:$A$201,0))="","",INDEX(Activities!$B$2:$B$201,MATCH($A421,Activities!$A$2:$A$201,0))),""))</f>
        <v/>
      </c>
      <c r="I421" s="24" t="str">
        <f aca="false">IF($B421="","",IFERROR(IF(INDEX(Students!$C$2:$C$301,MATCH($B421,Students!$A$2:$A$301,0))="","",INDEX(Students!$C$2:$C$301,MATCH($B421,Students!$A$2:$A$301,0))),""))</f>
        <v/>
      </c>
      <c r="J421" s="24" t="str">
        <f aca="false">IF($B421="","",IFERROR(IF(INDEX(Students!$B$2:$B$301,MATCH($B421,Students!$A$2:$A$301,0))="","",INDEX(Students!$B$2:$B$301,MATCH($B421,Students!$A$2:$A$301,0))),""))</f>
        <v/>
      </c>
      <c r="K421" s="25" t="str">
        <f aca="false">IF($A421="","",IF(D421="Withdrawn",0,IF(E421&lt;&gt;"",N(E421),IFERROR(N(INDEX(Activities!$I$2:$I$201,MATCH($A421,Activities!$A$2:$A$201,0))),0))))</f>
        <v/>
      </c>
      <c r="L421" s="24" t="str">
        <f aca="false">IF(AND($A421="",$B421=""),"",IF(ISNA(MATCH($A421,Activities!$A$2:$A$201,0)),"Unknown activity",IF(ISNA(MATCH($B421,Students!$A$2:$A$301,0)),"Unknown student",IF(D421="","No status",IF(COUNTIFS($A$2:$A$1001,$A421,$B$2:$B$1001,$B421)&gt;1,"Duplicate",IF(AND(D421&lt;&gt;"Withdrawn",G421&lt;&gt;"",COUNTIFS($B$2:$B$1001,$B421,$G$2:$G$1001,G421,$D$2:$D$1001,"&lt;&gt;Withdrawn")&gt;1),"Same-day clash","OK"))))))</f>
        <v/>
      </c>
    </row>
    <row r="422" customFormat="false" ht="15" hidden="false" customHeight="false" outlineLevel="0" collapsed="false">
      <c r="E422" s="26"/>
      <c r="G422" s="23" t="str">
        <f aca="false">IF($A422="","",IFERROR(IF(INDEX(Activities!$C$2:$C$201,MATCH($A422,Activities!$A$2:$A$201,0))="","",INDEX(Activities!$C$2:$C$201,MATCH($A422,Activities!$A$2:$A$201,0))),""))</f>
        <v/>
      </c>
      <c r="H422" s="24" t="str">
        <f aca="false">IF($A422="","",IFERROR(IF(INDEX(Activities!$B$2:$B$201,MATCH($A422,Activities!$A$2:$A$201,0))="","",INDEX(Activities!$B$2:$B$201,MATCH($A422,Activities!$A$2:$A$201,0))),""))</f>
        <v/>
      </c>
      <c r="I422" s="24" t="str">
        <f aca="false">IF($B422="","",IFERROR(IF(INDEX(Students!$C$2:$C$301,MATCH($B422,Students!$A$2:$A$301,0))="","",INDEX(Students!$C$2:$C$301,MATCH($B422,Students!$A$2:$A$301,0))),""))</f>
        <v/>
      </c>
      <c r="J422" s="24" t="str">
        <f aca="false">IF($B422="","",IFERROR(IF(INDEX(Students!$B$2:$B$301,MATCH($B422,Students!$A$2:$A$301,0))="","",INDEX(Students!$B$2:$B$301,MATCH($B422,Students!$A$2:$A$301,0))),""))</f>
        <v/>
      </c>
      <c r="K422" s="25" t="str">
        <f aca="false">IF($A422="","",IF(D422="Withdrawn",0,IF(E422&lt;&gt;"",N(E422),IFERROR(N(INDEX(Activities!$I$2:$I$201,MATCH($A422,Activities!$A$2:$A$201,0))),0))))</f>
        <v/>
      </c>
      <c r="L422" s="24" t="str">
        <f aca="false">IF(AND($A422="",$B422=""),"",IF(ISNA(MATCH($A422,Activities!$A$2:$A$201,0)),"Unknown activity",IF(ISNA(MATCH($B422,Students!$A$2:$A$301,0)),"Unknown student",IF(D422="","No status",IF(COUNTIFS($A$2:$A$1001,$A422,$B$2:$B$1001,$B422)&gt;1,"Duplicate",IF(AND(D422&lt;&gt;"Withdrawn",G422&lt;&gt;"",COUNTIFS($B$2:$B$1001,$B422,$G$2:$G$1001,G422,$D$2:$D$1001,"&lt;&gt;Withdrawn")&gt;1),"Same-day clash","OK"))))))</f>
        <v/>
      </c>
    </row>
    <row r="423" customFormat="false" ht="15" hidden="false" customHeight="false" outlineLevel="0" collapsed="false">
      <c r="E423" s="26"/>
      <c r="G423" s="23" t="str">
        <f aca="false">IF($A423="","",IFERROR(IF(INDEX(Activities!$C$2:$C$201,MATCH($A423,Activities!$A$2:$A$201,0))="","",INDEX(Activities!$C$2:$C$201,MATCH($A423,Activities!$A$2:$A$201,0))),""))</f>
        <v/>
      </c>
      <c r="H423" s="24" t="str">
        <f aca="false">IF($A423="","",IFERROR(IF(INDEX(Activities!$B$2:$B$201,MATCH($A423,Activities!$A$2:$A$201,0))="","",INDEX(Activities!$B$2:$B$201,MATCH($A423,Activities!$A$2:$A$201,0))),""))</f>
        <v/>
      </c>
      <c r="I423" s="24" t="str">
        <f aca="false">IF($B423="","",IFERROR(IF(INDEX(Students!$C$2:$C$301,MATCH($B423,Students!$A$2:$A$301,0))="","",INDEX(Students!$C$2:$C$301,MATCH($B423,Students!$A$2:$A$301,0))),""))</f>
        <v/>
      </c>
      <c r="J423" s="24" t="str">
        <f aca="false">IF($B423="","",IFERROR(IF(INDEX(Students!$B$2:$B$301,MATCH($B423,Students!$A$2:$A$301,0))="","",INDEX(Students!$B$2:$B$301,MATCH($B423,Students!$A$2:$A$301,0))),""))</f>
        <v/>
      </c>
      <c r="K423" s="25" t="str">
        <f aca="false">IF($A423="","",IF(D423="Withdrawn",0,IF(E423&lt;&gt;"",N(E423),IFERROR(N(INDEX(Activities!$I$2:$I$201,MATCH($A423,Activities!$A$2:$A$201,0))),0))))</f>
        <v/>
      </c>
      <c r="L423" s="24" t="str">
        <f aca="false">IF(AND($A423="",$B423=""),"",IF(ISNA(MATCH($A423,Activities!$A$2:$A$201,0)),"Unknown activity",IF(ISNA(MATCH($B423,Students!$A$2:$A$301,0)),"Unknown student",IF(D423="","No status",IF(COUNTIFS($A$2:$A$1001,$A423,$B$2:$B$1001,$B423)&gt;1,"Duplicate",IF(AND(D423&lt;&gt;"Withdrawn",G423&lt;&gt;"",COUNTIFS($B$2:$B$1001,$B423,$G$2:$G$1001,G423,$D$2:$D$1001,"&lt;&gt;Withdrawn")&gt;1),"Same-day clash","OK"))))))</f>
        <v/>
      </c>
    </row>
    <row r="424" customFormat="false" ht="15" hidden="false" customHeight="false" outlineLevel="0" collapsed="false">
      <c r="E424" s="26"/>
      <c r="G424" s="23" t="str">
        <f aca="false">IF($A424="","",IFERROR(IF(INDEX(Activities!$C$2:$C$201,MATCH($A424,Activities!$A$2:$A$201,0))="","",INDEX(Activities!$C$2:$C$201,MATCH($A424,Activities!$A$2:$A$201,0))),""))</f>
        <v/>
      </c>
      <c r="H424" s="24" t="str">
        <f aca="false">IF($A424="","",IFERROR(IF(INDEX(Activities!$B$2:$B$201,MATCH($A424,Activities!$A$2:$A$201,0))="","",INDEX(Activities!$B$2:$B$201,MATCH($A424,Activities!$A$2:$A$201,0))),""))</f>
        <v/>
      </c>
      <c r="I424" s="24" t="str">
        <f aca="false">IF($B424="","",IFERROR(IF(INDEX(Students!$C$2:$C$301,MATCH($B424,Students!$A$2:$A$301,0))="","",INDEX(Students!$C$2:$C$301,MATCH($B424,Students!$A$2:$A$301,0))),""))</f>
        <v/>
      </c>
      <c r="J424" s="24" t="str">
        <f aca="false">IF($B424="","",IFERROR(IF(INDEX(Students!$B$2:$B$301,MATCH($B424,Students!$A$2:$A$301,0))="","",INDEX(Students!$B$2:$B$301,MATCH($B424,Students!$A$2:$A$301,0))),""))</f>
        <v/>
      </c>
      <c r="K424" s="25" t="str">
        <f aca="false">IF($A424="","",IF(D424="Withdrawn",0,IF(E424&lt;&gt;"",N(E424),IFERROR(N(INDEX(Activities!$I$2:$I$201,MATCH($A424,Activities!$A$2:$A$201,0))),0))))</f>
        <v/>
      </c>
      <c r="L424" s="24" t="str">
        <f aca="false">IF(AND($A424="",$B424=""),"",IF(ISNA(MATCH($A424,Activities!$A$2:$A$201,0)),"Unknown activity",IF(ISNA(MATCH($B424,Students!$A$2:$A$301,0)),"Unknown student",IF(D424="","No status",IF(COUNTIFS($A$2:$A$1001,$A424,$B$2:$B$1001,$B424)&gt;1,"Duplicate",IF(AND(D424&lt;&gt;"Withdrawn",G424&lt;&gt;"",COUNTIFS($B$2:$B$1001,$B424,$G$2:$G$1001,G424,$D$2:$D$1001,"&lt;&gt;Withdrawn")&gt;1),"Same-day clash","OK"))))))</f>
        <v/>
      </c>
    </row>
    <row r="425" customFormat="false" ht="15" hidden="false" customHeight="false" outlineLevel="0" collapsed="false">
      <c r="E425" s="26"/>
      <c r="G425" s="23" t="str">
        <f aca="false">IF($A425="","",IFERROR(IF(INDEX(Activities!$C$2:$C$201,MATCH($A425,Activities!$A$2:$A$201,0))="","",INDEX(Activities!$C$2:$C$201,MATCH($A425,Activities!$A$2:$A$201,0))),""))</f>
        <v/>
      </c>
      <c r="H425" s="24" t="str">
        <f aca="false">IF($A425="","",IFERROR(IF(INDEX(Activities!$B$2:$B$201,MATCH($A425,Activities!$A$2:$A$201,0))="","",INDEX(Activities!$B$2:$B$201,MATCH($A425,Activities!$A$2:$A$201,0))),""))</f>
        <v/>
      </c>
      <c r="I425" s="24" t="str">
        <f aca="false">IF($B425="","",IFERROR(IF(INDEX(Students!$C$2:$C$301,MATCH($B425,Students!$A$2:$A$301,0))="","",INDEX(Students!$C$2:$C$301,MATCH($B425,Students!$A$2:$A$301,0))),""))</f>
        <v/>
      </c>
      <c r="J425" s="24" t="str">
        <f aca="false">IF($B425="","",IFERROR(IF(INDEX(Students!$B$2:$B$301,MATCH($B425,Students!$A$2:$A$301,0))="","",INDEX(Students!$B$2:$B$301,MATCH($B425,Students!$A$2:$A$301,0))),""))</f>
        <v/>
      </c>
      <c r="K425" s="25" t="str">
        <f aca="false">IF($A425="","",IF(D425="Withdrawn",0,IF(E425&lt;&gt;"",N(E425),IFERROR(N(INDEX(Activities!$I$2:$I$201,MATCH($A425,Activities!$A$2:$A$201,0))),0))))</f>
        <v/>
      </c>
      <c r="L425" s="24" t="str">
        <f aca="false">IF(AND($A425="",$B425=""),"",IF(ISNA(MATCH($A425,Activities!$A$2:$A$201,0)),"Unknown activity",IF(ISNA(MATCH($B425,Students!$A$2:$A$301,0)),"Unknown student",IF(D425="","No status",IF(COUNTIFS($A$2:$A$1001,$A425,$B$2:$B$1001,$B425)&gt;1,"Duplicate",IF(AND(D425&lt;&gt;"Withdrawn",G425&lt;&gt;"",COUNTIFS($B$2:$B$1001,$B425,$G$2:$G$1001,G425,$D$2:$D$1001,"&lt;&gt;Withdrawn")&gt;1),"Same-day clash","OK"))))))</f>
        <v/>
      </c>
    </row>
    <row r="426" customFormat="false" ht="15" hidden="false" customHeight="false" outlineLevel="0" collapsed="false">
      <c r="E426" s="26"/>
      <c r="G426" s="23" t="str">
        <f aca="false">IF($A426="","",IFERROR(IF(INDEX(Activities!$C$2:$C$201,MATCH($A426,Activities!$A$2:$A$201,0))="","",INDEX(Activities!$C$2:$C$201,MATCH($A426,Activities!$A$2:$A$201,0))),""))</f>
        <v/>
      </c>
      <c r="H426" s="24" t="str">
        <f aca="false">IF($A426="","",IFERROR(IF(INDEX(Activities!$B$2:$B$201,MATCH($A426,Activities!$A$2:$A$201,0))="","",INDEX(Activities!$B$2:$B$201,MATCH($A426,Activities!$A$2:$A$201,0))),""))</f>
        <v/>
      </c>
      <c r="I426" s="24" t="str">
        <f aca="false">IF($B426="","",IFERROR(IF(INDEX(Students!$C$2:$C$301,MATCH($B426,Students!$A$2:$A$301,0))="","",INDEX(Students!$C$2:$C$301,MATCH($B426,Students!$A$2:$A$301,0))),""))</f>
        <v/>
      </c>
      <c r="J426" s="24" t="str">
        <f aca="false">IF($B426="","",IFERROR(IF(INDEX(Students!$B$2:$B$301,MATCH($B426,Students!$A$2:$A$301,0))="","",INDEX(Students!$B$2:$B$301,MATCH($B426,Students!$A$2:$A$301,0))),""))</f>
        <v/>
      </c>
      <c r="K426" s="25" t="str">
        <f aca="false">IF($A426="","",IF(D426="Withdrawn",0,IF(E426&lt;&gt;"",N(E426),IFERROR(N(INDEX(Activities!$I$2:$I$201,MATCH($A426,Activities!$A$2:$A$201,0))),0))))</f>
        <v/>
      </c>
      <c r="L426" s="24" t="str">
        <f aca="false">IF(AND($A426="",$B426=""),"",IF(ISNA(MATCH($A426,Activities!$A$2:$A$201,0)),"Unknown activity",IF(ISNA(MATCH($B426,Students!$A$2:$A$301,0)),"Unknown student",IF(D426="","No status",IF(COUNTIFS($A$2:$A$1001,$A426,$B$2:$B$1001,$B426)&gt;1,"Duplicate",IF(AND(D426&lt;&gt;"Withdrawn",G426&lt;&gt;"",COUNTIFS($B$2:$B$1001,$B426,$G$2:$G$1001,G426,$D$2:$D$1001,"&lt;&gt;Withdrawn")&gt;1),"Same-day clash","OK"))))))</f>
        <v/>
      </c>
    </row>
    <row r="427" customFormat="false" ht="15" hidden="false" customHeight="false" outlineLevel="0" collapsed="false">
      <c r="E427" s="26"/>
      <c r="G427" s="23" t="str">
        <f aca="false">IF($A427="","",IFERROR(IF(INDEX(Activities!$C$2:$C$201,MATCH($A427,Activities!$A$2:$A$201,0))="","",INDEX(Activities!$C$2:$C$201,MATCH($A427,Activities!$A$2:$A$201,0))),""))</f>
        <v/>
      </c>
      <c r="H427" s="24" t="str">
        <f aca="false">IF($A427="","",IFERROR(IF(INDEX(Activities!$B$2:$B$201,MATCH($A427,Activities!$A$2:$A$201,0))="","",INDEX(Activities!$B$2:$B$201,MATCH($A427,Activities!$A$2:$A$201,0))),""))</f>
        <v/>
      </c>
      <c r="I427" s="24" t="str">
        <f aca="false">IF($B427="","",IFERROR(IF(INDEX(Students!$C$2:$C$301,MATCH($B427,Students!$A$2:$A$301,0))="","",INDEX(Students!$C$2:$C$301,MATCH($B427,Students!$A$2:$A$301,0))),""))</f>
        <v/>
      </c>
      <c r="J427" s="24" t="str">
        <f aca="false">IF($B427="","",IFERROR(IF(INDEX(Students!$B$2:$B$301,MATCH($B427,Students!$A$2:$A$301,0))="","",INDEX(Students!$B$2:$B$301,MATCH($B427,Students!$A$2:$A$301,0))),""))</f>
        <v/>
      </c>
      <c r="K427" s="25" t="str">
        <f aca="false">IF($A427="","",IF(D427="Withdrawn",0,IF(E427&lt;&gt;"",N(E427),IFERROR(N(INDEX(Activities!$I$2:$I$201,MATCH($A427,Activities!$A$2:$A$201,0))),0))))</f>
        <v/>
      </c>
      <c r="L427" s="24" t="str">
        <f aca="false">IF(AND($A427="",$B427=""),"",IF(ISNA(MATCH($A427,Activities!$A$2:$A$201,0)),"Unknown activity",IF(ISNA(MATCH($B427,Students!$A$2:$A$301,0)),"Unknown student",IF(D427="","No status",IF(COUNTIFS($A$2:$A$1001,$A427,$B$2:$B$1001,$B427)&gt;1,"Duplicate",IF(AND(D427&lt;&gt;"Withdrawn",G427&lt;&gt;"",COUNTIFS($B$2:$B$1001,$B427,$G$2:$G$1001,G427,$D$2:$D$1001,"&lt;&gt;Withdrawn")&gt;1),"Same-day clash","OK"))))))</f>
        <v/>
      </c>
    </row>
    <row r="428" customFormat="false" ht="15" hidden="false" customHeight="false" outlineLevel="0" collapsed="false">
      <c r="E428" s="26"/>
      <c r="G428" s="23" t="str">
        <f aca="false">IF($A428="","",IFERROR(IF(INDEX(Activities!$C$2:$C$201,MATCH($A428,Activities!$A$2:$A$201,0))="","",INDEX(Activities!$C$2:$C$201,MATCH($A428,Activities!$A$2:$A$201,0))),""))</f>
        <v/>
      </c>
      <c r="H428" s="24" t="str">
        <f aca="false">IF($A428="","",IFERROR(IF(INDEX(Activities!$B$2:$B$201,MATCH($A428,Activities!$A$2:$A$201,0))="","",INDEX(Activities!$B$2:$B$201,MATCH($A428,Activities!$A$2:$A$201,0))),""))</f>
        <v/>
      </c>
      <c r="I428" s="24" t="str">
        <f aca="false">IF($B428="","",IFERROR(IF(INDEX(Students!$C$2:$C$301,MATCH($B428,Students!$A$2:$A$301,0))="","",INDEX(Students!$C$2:$C$301,MATCH($B428,Students!$A$2:$A$301,0))),""))</f>
        <v/>
      </c>
      <c r="J428" s="24" t="str">
        <f aca="false">IF($B428="","",IFERROR(IF(INDEX(Students!$B$2:$B$301,MATCH($B428,Students!$A$2:$A$301,0))="","",INDEX(Students!$B$2:$B$301,MATCH($B428,Students!$A$2:$A$301,0))),""))</f>
        <v/>
      </c>
      <c r="K428" s="25" t="str">
        <f aca="false">IF($A428="","",IF(D428="Withdrawn",0,IF(E428&lt;&gt;"",N(E428),IFERROR(N(INDEX(Activities!$I$2:$I$201,MATCH($A428,Activities!$A$2:$A$201,0))),0))))</f>
        <v/>
      </c>
      <c r="L428" s="24" t="str">
        <f aca="false">IF(AND($A428="",$B428=""),"",IF(ISNA(MATCH($A428,Activities!$A$2:$A$201,0)),"Unknown activity",IF(ISNA(MATCH($B428,Students!$A$2:$A$301,0)),"Unknown student",IF(D428="","No status",IF(COUNTIFS($A$2:$A$1001,$A428,$B$2:$B$1001,$B428)&gt;1,"Duplicate",IF(AND(D428&lt;&gt;"Withdrawn",G428&lt;&gt;"",COUNTIFS($B$2:$B$1001,$B428,$G$2:$G$1001,G428,$D$2:$D$1001,"&lt;&gt;Withdrawn")&gt;1),"Same-day clash","OK"))))))</f>
        <v/>
      </c>
    </row>
    <row r="429" customFormat="false" ht="15" hidden="false" customHeight="false" outlineLevel="0" collapsed="false">
      <c r="E429" s="26"/>
      <c r="G429" s="23" t="str">
        <f aca="false">IF($A429="","",IFERROR(IF(INDEX(Activities!$C$2:$C$201,MATCH($A429,Activities!$A$2:$A$201,0))="","",INDEX(Activities!$C$2:$C$201,MATCH($A429,Activities!$A$2:$A$201,0))),""))</f>
        <v/>
      </c>
      <c r="H429" s="24" t="str">
        <f aca="false">IF($A429="","",IFERROR(IF(INDEX(Activities!$B$2:$B$201,MATCH($A429,Activities!$A$2:$A$201,0))="","",INDEX(Activities!$B$2:$B$201,MATCH($A429,Activities!$A$2:$A$201,0))),""))</f>
        <v/>
      </c>
      <c r="I429" s="24" t="str">
        <f aca="false">IF($B429="","",IFERROR(IF(INDEX(Students!$C$2:$C$301,MATCH($B429,Students!$A$2:$A$301,0))="","",INDEX(Students!$C$2:$C$301,MATCH($B429,Students!$A$2:$A$301,0))),""))</f>
        <v/>
      </c>
      <c r="J429" s="24" t="str">
        <f aca="false">IF($B429="","",IFERROR(IF(INDEX(Students!$B$2:$B$301,MATCH($B429,Students!$A$2:$A$301,0))="","",INDEX(Students!$B$2:$B$301,MATCH($B429,Students!$A$2:$A$301,0))),""))</f>
        <v/>
      </c>
      <c r="K429" s="25" t="str">
        <f aca="false">IF($A429="","",IF(D429="Withdrawn",0,IF(E429&lt;&gt;"",N(E429),IFERROR(N(INDEX(Activities!$I$2:$I$201,MATCH($A429,Activities!$A$2:$A$201,0))),0))))</f>
        <v/>
      </c>
      <c r="L429" s="24" t="str">
        <f aca="false">IF(AND($A429="",$B429=""),"",IF(ISNA(MATCH($A429,Activities!$A$2:$A$201,0)),"Unknown activity",IF(ISNA(MATCH($B429,Students!$A$2:$A$301,0)),"Unknown student",IF(D429="","No status",IF(COUNTIFS($A$2:$A$1001,$A429,$B$2:$B$1001,$B429)&gt;1,"Duplicate",IF(AND(D429&lt;&gt;"Withdrawn",G429&lt;&gt;"",COUNTIFS($B$2:$B$1001,$B429,$G$2:$G$1001,G429,$D$2:$D$1001,"&lt;&gt;Withdrawn")&gt;1),"Same-day clash","OK"))))))</f>
        <v/>
      </c>
    </row>
    <row r="430" customFormat="false" ht="15" hidden="false" customHeight="false" outlineLevel="0" collapsed="false">
      <c r="E430" s="26"/>
      <c r="G430" s="23" t="str">
        <f aca="false">IF($A430="","",IFERROR(IF(INDEX(Activities!$C$2:$C$201,MATCH($A430,Activities!$A$2:$A$201,0))="","",INDEX(Activities!$C$2:$C$201,MATCH($A430,Activities!$A$2:$A$201,0))),""))</f>
        <v/>
      </c>
      <c r="H430" s="24" t="str">
        <f aca="false">IF($A430="","",IFERROR(IF(INDEX(Activities!$B$2:$B$201,MATCH($A430,Activities!$A$2:$A$201,0))="","",INDEX(Activities!$B$2:$B$201,MATCH($A430,Activities!$A$2:$A$201,0))),""))</f>
        <v/>
      </c>
      <c r="I430" s="24" t="str">
        <f aca="false">IF($B430="","",IFERROR(IF(INDEX(Students!$C$2:$C$301,MATCH($B430,Students!$A$2:$A$301,0))="","",INDEX(Students!$C$2:$C$301,MATCH($B430,Students!$A$2:$A$301,0))),""))</f>
        <v/>
      </c>
      <c r="J430" s="24" t="str">
        <f aca="false">IF($B430="","",IFERROR(IF(INDEX(Students!$B$2:$B$301,MATCH($B430,Students!$A$2:$A$301,0))="","",INDEX(Students!$B$2:$B$301,MATCH($B430,Students!$A$2:$A$301,0))),""))</f>
        <v/>
      </c>
      <c r="K430" s="25" t="str">
        <f aca="false">IF($A430="","",IF(D430="Withdrawn",0,IF(E430&lt;&gt;"",N(E430),IFERROR(N(INDEX(Activities!$I$2:$I$201,MATCH($A430,Activities!$A$2:$A$201,0))),0))))</f>
        <v/>
      </c>
      <c r="L430" s="24" t="str">
        <f aca="false">IF(AND($A430="",$B430=""),"",IF(ISNA(MATCH($A430,Activities!$A$2:$A$201,0)),"Unknown activity",IF(ISNA(MATCH($B430,Students!$A$2:$A$301,0)),"Unknown student",IF(D430="","No status",IF(COUNTIFS($A$2:$A$1001,$A430,$B$2:$B$1001,$B430)&gt;1,"Duplicate",IF(AND(D430&lt;&gt;"Withdrawn",G430&lt;&gt;"",COUNTIFS($B$2:$B$1001,$B430,$G$2:$G$1001,G430,$D$2:$D$1001,"&lt;&gt;Withdrawn")&gt;1),"Same-day clash","OK"))))))</f>
        <v/>
      </c>
    </row>
    <row r="431" customFormat="false" ht="15" hidden="false" customHeight="false" outlineLevel="0" collapsed="false">
      <c r="E431" s="26"/>
      <c r="G431" s="23" t="str">
        <f aca="false">IF($A431="","",IFERROR(IF(INDEX(Activities!$C$2:$C$201,MATCH($A431,Activities!$A$2:$A$201,0))="","",INDEX(Activities!$C$2:$C$201,MATCH($A431,Activities!$A$2:$A$201,0))),""))</f>
        <v/>
      </c>
      <c r="H431" s="24" t="str">
        <f aca="false">IF($A431="","",IFERROR(IF(INDEX(Activities!$B$2:$B$201,MATCH($A431,Activities!$A$2:$A$201,0))="","",INDEX(Activities!$B$2:$B$201,MATCH($A431,Activities!$A$2:$A$201,0))),""))</f>
        <v/>
      </c>
      <c r="I431" s="24" t="str">
        <f aca="false">IF($B431="","",IFERROR(IF(INDEX(Students!$C$2:$C$301,MATCH($B431,Students!$A$2:$A$301,0))="","",INDEX(Students!$C$2:$C$301,MATCH($B431,Students!$A$2:$A$301,0))),""))</f>
        <v/>
      </c>
      <c r="J431" s="24" t="str">
        <f aca="false">IF($B431="","",IFERROR(IF(INDEX(Students!$B$2:$B$301,MATCH($B431,Students!$A$2:$A$301,0))="","",INDEX(Students!$B$2:$B$301,MATCH($B431,Students!$A$2:$A$301,0))),""))</f>
        <v/>
      </c>
      <c r="K431" s="25" t="str">
        <f aca="false">IF($A431="","",IF(D431="Withdrawn",0,IF(E431&lt;&gt;"",N(E431),IFERROR(N(INDEX(Activities!$I$2:$I$201,MATCH($A431,Activities!$A$2:$A$201,0))),0))))</f>
        <v/>
      </c>
      <c r="L431" s="24" t="str">
        <f aca="false">IF(AND($A431="",$B431=""),"",IF(ISNA(MATCH($A431,Activities!$A$2:$A$201,0)),"Unknown activity",IF(ISNA(MATCH($B431,Students!$A$2:$A$301,0)),"Unknown student",IF(D431="","No status",IF(COUNTIFS($A$2:$A$1001,$A431,$B$2:$B$1001,$B431)&gt;1,"Duplicate",IF(AND(D431&lt;&gt;"Withdrawn",G431&lt;&gt;"",COUNTIFS($B$2:$B$1001,$B431,$G$2:$G$1001,G431,$D$2:$D$1001,"&lt;&gt;Withdrawn")&gt;1),"Same-day clash","OK"))))))</f>
        <v/>
      </c>
    </row>
    <row r="432" customFormat="false" ht="15" hidden="false" customHeight="false" outlineLevel="0" collapsed="false">
      <c r="E432" s="26"/>
      <c r="G432" s="23" t="str">
        <f aca="false">IF($A432="","",IFERROR(IF(INDEX(Activities!$C$2:$C$201,MATCH($A432,Activities!$A$2:$A$201,0))="","",INDEX(Activities!$C$2:$C$201,MATCH($A432,Activities!$A$2:$A$201,0))),""))</f>
        <v/>
      </c>
      <c r="H432" s="24" t="str">
        <f aca="false">IF($A432="","",IFERROR(IF(INDEX(Activities!$B$2:$B$201,MATCH($A432,Activities!$A$2:$A$201,0))="","",INDEX(Activities!$B$2:$B$201,MATCH($A432,Activities!$A$2:$A$201,0))),""))</f>
        <v/>
      </c>
      <c r="I432" s="24" t="str">
        <f aca="false">IF($B432="","",IFERROR(IF(INDEX(Students!$C$2:$C$301,MATCH($B432,Students!$A$2:$A$301,0))="","",INDEX(Students!$C$2:$C$301,MATCH($B432,Students!$A$2:$A$301,0))),""))</f>
        <v/>
      </c>
      <c r="J432" s="24" t="str">
        <f aca="false">IF($B432="","",IFERROR(IF(INDEX(Students!$B$2:$B$301,MATCH($B432,Students!$A$2:$A$301,0))="","",INDEX(Students!$B$2:$B$301,MATCH($B432,Students!$A$2:$A$301,0))),""))</f>
        <v/>
      </c>
      <c r="K432" s="25" t="str">
        <f aca="false">IF($A432="","",IF(D432="Withdrawn",0,IF(E432&lt;&gt;"",N(E432),IFERROR(N(INDEX(Activities!$I$2:$I$201,MATCH($A432,Activities!$A$2:$A$201,0))),0))))</f>
        <v/>
      </c>
      <c r="L432" s="24" t="str">
        <f aca="false">IF(AND($A432="",$B432=""),"",IF(ISNA(MATCH($A432,Activities!$A$2:$A$201,0)),"Unknown activity",IF(ISNA(MATCH($B432,Students!$A$2:$A$301,0)),"Unknown student",IF(D432="","No status",IF(COUNTIFS($A$2:$A$1001,$A432,$B$2:$B$1001,$B432)&gt;1,"Duplicate",IF(AND(D432&lt;&gt;"Withdrawn",G432&lt;&gt;"",COUNTIFS($B$2:$B$1001,$B432,$G$2:$G$1001,G432,$D$2:$D$1001,"&lt;&gt;Withdrawn")&gt;1),"Same-day clash","OK"))))))</f>
        <v/>
      </c>
    </row>
    <row r="433" customFormat="false" ht="15" hidden="false" customHeight="false" outlineLevel="0" collapsed="false">
      <c r="E433" s="26"/>
      <c r="G433" s="23" t="str">
        <f aca="false">IF($A433="","",IFERROR(IF(INDEX(Activities!$C$2:$C$201,MATCH($A433,Activities!$A$2:$A$201,0))="","",INDEX(Activities!$C$2:$C$201,MATCH($A433,Activities!$A$2:$A$201,0))),""))</f>
        <v/>
      </c>
      <c r="H433" s="24" t="str">
        <f aca="false">IF($A433="","",IFERROR(IF(INDEX(Activities!$B$2:$B$201,MATCH($A433,Activities!$A$2:$A$201,0))="","",INDEX(Activities!$B$2:$B$201,MATCH($A433,Activities!$A$2:$A$201,0))),""))</f>
        <v/>
      </c>
      <c r="I433" s="24" t="str">
        <f aca="false">IF($B433="","",IFERROR(IF(INDEX(Students!$C$2:$C$301,MATCH($B433,Students!$A$2:$A$301,0))="","",INDEX(Students!$C$2:$C$301,MATCH($B433,Students!$A$2:$A$301,0))),""))</f>
        <v/>
      </c>
      <c r="J433" s="24" t="str">
        <f aca="false">IF($B433="","",IFERROR(IF(INDEX(Students!$B$2:$B$301,MATCH($B433,Students!$A$2:$A$301,0))="","",INDEX(Students!$B$2:$B$301,MATCH($B433,Students!$A$2:$A$301,0))),""))</f>
        <v/>
      </c>
      <c r="K433" s="25" t="str">
        <f aca="false">IF($A433="","",IF(D433="Withdrawn",0,IF(E433&lt;&gt;"",N(E433),IFERROR(N(INDEX(Activities!$I$2:$I$201,MATCH($A433,Activities!$A$2:$A$201,0))),0))))</f>
        <v/>
      </c>
      <c r="L433" s="24" t="str">
        <f aca="false">IF(AND($A433="",$B433=""),"",IF(ISNA(MATCH($A433,Activities!$A$2:$A$201,0)),"Unknown activity",IF(ISNA(MATCH($B433,Students!$A$2:$A$301,0)),"Unknown student",IF(D433="","No status",IF(COUNTIFS($A$2:$A$1001,$A433,$B$2:$B$1001,$B433)&gt;1,"Duplicate",IF(AND(D433&lt;&gt;"Withdrawn",G433&lt;&gt;"",COUNTIFS($B$2:$B$1001,$B433,$G$2:$G$1001,G433,$D$2:$D$1001,"&lt;&gt;Withdrawn")&gt;1),"Same-day clash","OK"))))))</f>
        <v/>
      </c>
    </row>
    <row r="434" customFormat="false" ht="15" hidden="false" customHeight="false" outlineLevel="0" collapsed="false">
      <c r="E434" s="26"/>
      <c r="G434" s="23" t="str">
        <f aca="false">IF($A434="","",IFERROR(IF(INDEX(Activities!$C$2:$C$201,MATCH($A434,Activities!$A$2:$A$201,0))="","",INDEX(Activities!$C$2:$C$201,MATCH($A434,Activities!$A$2:$A$201,0))),""))</f>
        <v/>
      </c>
      <c r="H434" s="24" t="str">
        <f aca="false">IF($A434="","",IFERROR(IF(INDEX(Activities!$B$2:$B$201,MATCH($A434,Activities!$A$2:$A$201,0))="","",INDEX(Activities!$B$2:$B$201,MATCH($A434,Activities!$A$2:$A$201,0))),""))</f>
        <v/>
      </c>
      <c r="I434" s="24" t="str">
        <f aca="false">IF($B434="","",IFERROR(IF(INDEX(Students!$C$2:$C$301,MATCH($B434,Students!$A$2:$A$301,0))="","",INDEX(Students!$C$2:$C$301,MATCH($B434,Students!$A$2:$A$301,0))),""))</f>
        <v/>
      </c>
      <c r="J434" s="24" t="str">
        <f aca="false">IF($B434="","",IFERROR(IF(INDEX(Students!$B$2:$B$301,MATCH($B434,Students!$A$2:$A$301,0))="","",INDEX(Students!$B$2:$B$301,MATCH($B434,Students!$A$2:$A$301,0))),""))</f>
        <v/>
      </c>
      <c r="K434" s="25" t="str">
        <f aca="false">IF($A434="","",IF(D434="Withdrawn",0,IF(E434&lt;&gt;"",N(E434),IFERROR(N(INDEX(Activities!$I$2:$I$201,MATCH($A434,Activities!$A$2:$A$201,0))),0))))</f>
        <v/>
      </c>
      <c r="L434" s="24" t="str">
        <f aca="false">IF(AND($A434="",$B434=""),"",IF(ISNA(MATCH($A434,Activities!$A$2:$A$201,0)),"Unknown activity",IF(ISNA(MATCH($B434,Students!$A$2:$A$301,0)),"Unknown student",IF(D434="","No status",IF(COUNTIFS($A$2:$A$1001,$A434,$B$2:$B$1001,$B434)&gt;1,"Duplicate",IF(AND(D434&lt;&gt;"Withdrawn",G434&lt;&gt;"",COUNTIFS($B$2:$B$1001,$B434,$G$2:$G$1001,G434,$D$2:$D$1001,"&lt;&gt;Withdrawn")&gt;1),"Same-day clash","OK"))))))</f>
        <v/>
      </c>
    </row>
    <row r="435" customFormat="false" ht="15" hidden="false" customHeight="false" outlineLevel="0" collapsed="false">
      <c r="E435" s="26"/>
      <c r="G435" s="23" t="str">
        <f aca="false">IF($A435="","",IFERROR(IF(INDEX(Activities!$C$2:$C$201,MATCH($A435,Activities!$A$2:$A$201,0))="","",INDEX(Activities!$C$2:$C$201,MATCH($A435,Activities!$A$2:$A$201,0))),""))</f>
        <v/>
      </c>
      <c r="H435" s="24" t="str">
        <f aca="false">IF($A435="","",IFERROR(IF(INDEX(Activities!$B$2:$B$201,MATCH($A435,Activities!$A$2:$A$201,0))="","",INDEX(Activities!$B$2:$B$201,MATCH($A435,Activities!$A$2:$A$201,0))),""))</f>
        <v/>
      </c>
      <c r="I435" s="24" t="str">
        <f aca="false">IF($B435="","",IFERROR(IF(INDEX(Students!$C$2:$C$301,MATCH($B435,Students!$A$2:$A$301,0))="","",INDEX(Students!$C$2:$C$301,MATCH($B435,Students!$A$2:$A$301,0))),""))</f>
        <v/>
      </c>
      <c r="J435" s="24" t="str">
        <f aca="false">IF($B435="","",IFERROR(IF(INDEX(Students!$B$2:$B$301,MATCH($B435,Students!$A$2:$A$301,0))="","",INDEX(Students!$B$2:$B$301,MATCH($B435,Students!$A$2:$A$301,0))),""))</f>
        <v/>
      </c>
      <c r="K435" s="25" t="str">
        <f aca="false">IF($A435="","",IF(D435="Withdrawn",0,IF(E435&lt;&gt;"",N(E435),IFERROR(N(INDEX(Activities!$I$2:$I$201,MATCH($A435,Activities!$A$2:$A$201,0))),0))))</f>
        <v/>
      </c>
      <c r="L435" s="24" t="str">
        <f aca="false">IF(AND($A435="",$B435=""),"",IF(ISNA(MATCH($A435,Activities!$A$2:$A$201,0)),"Unknown activity",IF(ISNA(MATCH($B435,Students!$A$2:$A$301,0)),"Unknown student",IF(D435="","No status",IF(COUNTIFS($A$2:$A$1001,$A435,$B$2:$B$1001,$B435)&gt;1,"Duplicate",IF(AND(D435&lt;&gt;"Withdrawn",G435&lt;&gt;"",COUNTIFS($B$2:$B$1001,$B435,$G$2:$G$1001,G435,$D$2:$D$1001,"&lt;&gt;Withdrawn")&gt;1),"Same-day clash","OK"))))))</f>
        <v/>
      </c>
    </row>
    <row r="436" customFormat="false" ht="15" hidden="false" customHeight="false" outlineLevel="0" collapsed="false">
      <c r="E436" s="26"/>
      <c r="G436" s="23" t="str">
        <f aca="false">IF($A436="","",IFERROR(IF(INDEX(Activities!$C$2:$C$201,MATCH($A436,Activities!$A$2:$A$201,0))="","",INDEX(Activities!$C$2:$C$201,MATCH($A436,Activities!$A$2:$A$201,0))),""))</f>
        <v/>
      </c>
      <c r="H436" s="24" t="str">
        <f aca="false">IF($A436="","",IFERROR(IF(INDEX(Activities!$B$2:$B$201,MATCH($A436,Activities!$A$2:$A$201,0))="","",INDEX(Activities!$B$2:$B$201,MATCH($A436,Activities!$A$2:$A$201,0))),""))</f>
        <v/>
      </c>
      <c r="I436" s="24" t="str">
        <f aca="false">IF($B436="","",IFERROR(IF(INDEX(Students!$C$2:$C$301,MATCH($B436,Students!$A$2:$A$301,0))="","",INDEX(Students!$C$2:$C$301,MATCH($B436,Students!$A$2:$A$301,0))),""))</f>
        <v/>
      </c>
      <c r="J436" s="24" t="str">
        <f aca="false">IF($B436="","",IFERROR(IF(INDEX(Students!$B$2:$B$301,MATCH($B436,Students!$A$2:$A$301,0))="","",INDEX(Students!$B$2:$B$301,MATCH($B436,Students!$A$2:$A$301,0))),""))</f>
        <v/>
      </c>
      <c r="K436" s="25" t="str">
        <f aca="false">IF($A436="","",IF(D436="Withdrawn",0,IF(E436&lt;&gt;"",N(E436),IFERROR(N(INDEX(Activities!$I$2:$I$201,MATCH($A436,Activities!$A$2:$A$201,0))),0))))</f>
        <v/>
      </c>
      <c r="L436" s="24" t="str">
        <f aca="false">IF(AND($A436="",$B436=""),"",IF(ISNA(MATCH($A436,Activities!$A$2:$A$201,0)),"Unknown activity",IF(ISNA(MATCH($B436,Students!$A$2:$A$301,0)),"Unknown student",IF(D436="","No status",IF(COUNTIFS($A$2:$A$1001,$A436,$B$2:$B$1001,$B436)&gt;1,"Duplicate",IF(AND(D436&lt;&gt;"Withdrawn",G436&lt;&gt;"",COUNTIFS($B$2:$B$1001,$B436,$G$2:$G$1001,G436,$D$2:$D$1001,"&lt;&gt;Withdrawn")&gt;1),"Same-day clash","OK"))))))</f>
        <v/>
      </c>
    </row>
    <row r="437" customFormat="false" ht="15" hidden="false" customHeight="false" outlineLevel="0" collapsed="false">
      <c r="E437" s="26"/>
      <c r="G437" s="23" t="str">
        <f aca="false">IF($A437="","",IFERROR(IF(INDEX(Activities!$C$2:$C$201,MATCH($A437,Activities!$A$2:$A$201,0))="","",INDEX(Activities!$C$2:$C$201,MATCH($A437,Activities!$A$2:$A$201,0))),""))</f>
        <v/>
      </c>
      <c r="H437" s="24" t="str">
        <f aca="false">IF($A437="","",IFERROR(IF(INDEX(Activities!$B$2:$B$201,MATCH($A437,Activities!$A$2:$A$201,0))="","",INDEX(Activities!$B$2:$B$201,MATCH($A437,Activities!$A$2:$A$201,0))),""))</f>
        <v/>
      </c>
      <c r="I437" s="24" t="str">
        <f aca="false">IF($B437="","",IFERROR(IF(INDEX(Students!$C$2:$C$301,MATCH($B437,Students!$A$2:$A$301,0))="","",INDEX(Students!$C$2:$C$301,MATCH($B437,Students!$A$2:$A$301,0))),""))</f>
        <v/>
      </c>
      <c r="J437" s="24" t="str">
        <f aca="false">IF($B437="","",IFERROR(IF(INDEX(Students!$B$2:$B$301,MATCH($B437,Students!$A$2:$A$301,0))="","",INDEX(Students!$B$2:$B$301,MATCH($B437,Students!$A$2:$A$301,0))),""))</f>
        <v/>
      </c>
      <c r="K437" s="25" t="str">
        <f aca="false">IF($A437="","",IF(D437="Withdrawn",0,IF(E437&lt;&gt;"",N(E437),IFERROR(N(INDEX(Activities!$I$2:$I$201,MATCH($A437,Activities!$A$2:$A$201,0))),0))))</f>
        <v/>
      </c>
      <c r="L437" s="24" t="str">
        <f aca="false">IF(AND($A437="",$B437=""),"",IF(ISNA(MATCH($A437,Activities!$A$2:$A$201,0)),"Unknown activity",IF(ISNA(MATCH($B437,Students!$A$2:$A$301,0)),"Unknown student",IF(D437="","No status",IF(COUNTIFS($A$2:$A$1001,$A437,$B$2:$B$1001,$B437)&gt;1,"Duplicate",IF(AND(D437&lt;&gt;"Withdrawn",G437&lt;&gt;"",COUNTIFS($B$2:$B$1001,$B437,$G$2:$G$1001,G437,$D$2:$D$1001,"&lt;&gt;Withdrawn")&gt;1),"Same-day clash","OK"))))))</f>
        <v/>
      </c>
    </row>
    <row r="438" customFormat="false" ht="15" hidden="false" customHeight="false" outlineLevel="0" collapsed="false">
      <c r="E438" s="26"/>
      <c r="G438" s="23" t="str">
        <f aca="false">IF($A438="","",IFERROR(IF(INDEX(Activities!$C$2:$C$201,MATCH($A438,Activities!$A$2:$A$201,0))="","",INDEX(Activities!$C$2:$C$201,MATCH($A438,Activities!$A$2:$A$201,0))),""))</f>
        <v/>
      </c>
      <c r="H438" s="24" t="str">
        <f aca="false">IF($A438="","",IFERROR(IF(INDEX(Activities!$B$2:$B$201,MATCH($A438,Activities!$A$2:$A$201,0))="","",INDEX(Activities!$B$2:$B$201,MATCH($A438,Activities!$A$2:$A$201,0))),""))</f>
        <v/>
      </c>
      <c r="I438" s="24" t="str">
        <f aca="false">IF($B438="","",IFERROR(IF(INDEX(Students!$C$2:$C$301,MATCH($B438,Students!$A$2:$A$301,0))="","",INDEX(Students!$C$2:$C$301,MATCH($B438,Students!$A$2:$A$301,0))),""))</f>
        <v/>
      </c>
      <c r="J438" s="24" t="str">
        <f aca="false">IF($B438="","",IFERROR(IF(INDEX(Students!$B$2:$B$301,MATCH($B438,Students!$A$2:$A$301,0))="","",INDEX(Students!$B$2:$B$301,MATCH($B438,Students!$A$2:$A$301,0))),""))</f>
        <v/>
      </c>
      <c r="K438" s="25" t="str">
        <f aca="false">IF($A438="","",IF(D438="Withdrawn",0,IF(E438&lt;&gt;"",N(E438),IFERROR(N(INDEX(Activities!$I$2:$I$201,MATCH($A438,Activities!$A$2:$A$201,0))),0))))</f>
        <v/>
      </c>
      <c r="L438" s="24" t="str">
        <f aca="false">IF(AND($A438="",$B438=""),"",IF(ISNA(MATCH($A438,Activities!$A$2:$A$201,0)),"Unknown activity",IF(ISNA(MATCH($B438,Students!$A$2:$A$301,0)),"Unknown student",IF(D438="","No status",IF(COUNTIFS($A$2:$A$1001,$A438,$B$2:$B$1001,$B438)&gt;1,"Duplicate",IF(AND(D438&lt;&gt;"Withdrawn",G438&lt;&gt;"",COUNTIFS($B$2:$B$1001,$B438,$G$2:$G$1001,G438,$D$2:$D$1001,"&lt;&gt;Withdrawn")&gt;1),"Same-day clash","OK"))))))</f>
        <v/>
      </c>
    </row>
    <row r="439" customFormat="false" ht="15" hidden="false" customHeight="false" outlineLevel="0" collapsed="false">
      <c r="E439" s="26"/>
      <c r="G439" s="23" t="str">
        <f aca="false">IF($A439="","",IFERROR(IF(INDEX(Activities!$C$2:$C$201,MATCH($A439,Activities!$A$2:$A$201,0))="","",INDEX(Activities!$C$2:$C$201,MATCH($A439,Activities!$A$2:$A$201,0))),""))</f>
        <v/>
      </c>
      <c r="H439" s="24" t="str">
        <f aca="false">IF($A439="","",IFERROR(IF(INDEX(Activities!$B$2:$B$201,MATCH($A439,Activities!$A$2:$A$201,0))="","",INDEX(Activities!$B$2:$B$201,MATCH($A439,Activities!$A$2:$A$201,0))),""))</f>
        <v/>
      </c>
      <c r="I439" s="24" t="str">
        <f aca="false">IF($B439="","",IFERROR(IF(INDEX(Students!$C$2:$C$301,MATCH($B439,Students!$A$2:$A$301,0))="","",INDEX(Students!$C$2:$C$301,MATCH($B439,Students!$A$2:$A$301,0))),""))</f>
        <v/>
      </c>
      <c r="J439" s="24" t="str">
        <f aca="false">IF($B439="","",IFERROR(IF(INDEX(Students!$B$2:$B$301,MATCH($B439,Students!$A$2:$A$301,0))="","",INDEX(Students!$B$2:$B$301,MATCH($B439,Students!$A$2:$A$301,0))),""))</f>
        <v/>
      </c>
      <c r="K439" s="25" t="str">
        <f aca="false">IF($A439="","",IF(D439="Withdrawn",0,IF(E439&lt;&gt;"",N(E439),IFERROR(N(INDEX(Activities!$I$2:$I$201,MATCH($A439,Activities!$A$2:$A$201,0))),0))))</f>
        <v/>
      </c>
      <c r="L439" s="24" t="str">
        <f aca="false">IF(AND($A439="",$B439=""),"",IF(ISNA(MATCH($A439,Activities!$A$2:$A$201,0)),"Unknown activity",IF(ISNA(MATCH($B439,Students!$A$2:$A$301,0)),"Unknown student",IF(D439="","No status",IF(COUNTIFS($A$2:$A$1001,$A439,$B$2:$B$1001,$B439)&gt;1,"Duplicate",IF(AND(D439&lt;&gt;"Withdrawn",G439&lt;&gt;"",COUNTIFS($B$2:$B$1001,$B439,$G$2:$G$1001,G439,$D$2:$D$1001,"&lt;&gt;Withdrawn")&gt;1),"Same-day clash","OK"))))))</f>
        <v/>
      </c>
    </row>
    <row r="440" customFormat="false" ht="15" hidden="false" customHeight="false" outlineLevel="0" collapsed="false">
      <c r="E440" s="26"/>
      <c r="G440" s="23" t="str">
        <f aca="false">IF($A440="","",IFERROR(IF(INDEX(Activities!$C$2:$C$201,MATCH($A440,Activities!$A$2:$A$201,0))="","",INDEX(Activities!$C$2:$C$201,MATCH($A440,Activities!$A$2:$A$201,0))),""))</f>
        <v/>
      </c>
      <c r="H440" s="24" t="str">
        <f aca="false">IF($A440="","",IFERROR(IF(INDEX(Activities!$B$2:$B$201,MATCH($A440,Activities!$A$2:$A$201,0))="","",INDEX(Activities!$B$2:$B$201,MATCH($A440,Activities!$A$2:$A$201,0))),""))</f>
        <v/>
      </c>
      <c r="I440" s="24" t="str">
        <f aca="false">IF($B440="","",IFERROR(IF(INDEX(Students!$C$2:$C$301,MATCH($B440,Students!$A$2:$A$301,0))="","",INDEX(Students!$C$2:$C$301,MATCH($B440,Students!$A$2:$A$301,0))),""))</f>
        <v/>
      </c>
      <c r="J440" s="24" t="str">
        <f aca="false">IF($B440="","",IFERROR(IF(INDEX(Students!$B$2:$B$301,MATCH($B440,Students!$A$2:$A$301,0))="","",INDEX(Students!$B$2:$B$301,MATCH($B440,Students!$A$2:$A$301,0))),""))</f>
        <v/>
      </c>
      <c r="K440" s="25" t="str">
        <f aca="false">IF($A440="","",IF(D440="Withdrawn",0,IF(E440&lt;&gt;"",N(E440),IFERROR(N(INDEX(Activities!$I$2:$I$201,MATCH($A440,Activities!$A$2:$A$201,0))),0))))</f>
        <v/>
      </c>
      <c r="L440" s="24" t="str">
        <f aca="false">IF(AND($A440="",$B440=""),"",IF(ISNA(MATCH($A440,Activities!$A$2:$A$201,0)),"Unknown activity",IF(ISNA(MATCH($B440,Students!$A$2:$A$301,0)),"Unknown student",IF(D440="","No status",IF(COUNTIFS($A$2:$A$1001,$A440,$B$2:$B$1001,$B440)&gt;1,"Duplicate",IF(AND(D440&lt;&gt;"Withdrawn",G440&lt;&gt;"",COUNTIFS($B$2:$B$1001,$B440,$G$2:$G$1001,G440,$D$2:$D$1001,"&lt;&gt;Withdrawn")&gt;1),"Same-day clash","OK"))))))</f>
        <v/>
      </c>
    </row>
    <row r="441" customFormat="false" ht="15" hidden="false" customHeight="false" outlineLevel="0" collapsed="false">
      <c r="E441" s="26"/>
      <c r="G441" s="23" t="str">
        <f aca="false">IF($A441="","",IFERROR(IF(INDEX(Activities!$C$2:$C$201,MATCH($A441,Activities!$A$2:$A$201,0))="","",INDEX(Activities!$C$2:$C$201,MATCH($A441,Activities!$A$2:$A$201,0))),""))</f>
        <v/>
      </c>
      <c r="H441" s="24" t="str">
        <f aca="false">IF($A441="","",IFERROR(IF(INDEX(Activities!$B$2:$B$201,MATCH($A441,Activities!$A$2:$A$201,0))="","",INDEX(Activities!$B$2:$B$201,MATCH($A441,Activities!$A$2:$A$201,0))),""))</f>
        <v/>
      </c>
      <c r="I441" s="24" t="str">
        <f aca="false">IF($B441="","",IFERROR(IF(INDEX(Students!$C$2:$C$301,MATCH($B441,Students!$A$2:$A$301,0))="","",INDEX(Students!$C$2:$C$301,MATCH($B441,Students!$A$2:$A$301,0))),""))</f>
        <v/>
      </c>
      <c r="J441" s="24" t="str">
        <f aca="false">IF($B441="","",IFERROR(IF(INDEX(Students!$B$2:$B$301,MATCH($B441,Students!$A$2:$A$301,0))="","",INDEX(Students!$B$2:$B$301,MATCH($B441,Students!$A$2:$A$301,0))),""))</f>
        <v/>
      </c>
      <c r="K441" s="25" t="str">
        <f aca="false">IF($A441="","",IF(D441="Withdrawn",0,IF(E441&lt;&gt;"",N(E441),IFERROR(N(INDEX(Activities!$I$2:$I$201,MATCH($A441,Activities!$A$2:$A$201,0))),0))))</f>
        <v/>
      </c>
      <c r="L441" s="24" t="str">
        <f aca="false">IF(AND($A441="",$B441=""),"",IF(ISNA(MATCH($A441,Activities!$A$2:$A$201,0)),"Unknown activity",IF(ISNA(MATCH($B441,Students!$A$2:$A$301,0)),"Unknown student",IF(D441="","No status",IF(COUNTIFS($A$2:$A$1001,$A441,$B$2:$B$1001,$B441)&gt;1,"Duplicate",IF(AND(D441&lt;&gt;"Withdrawn",G441&lt;&gt;"",COUNTIFS($B$2:$B$1001,$B441,$G$2:$G$1001,G441,$D$2:$D$1001,"&lt;&gt;Withdrawn")&gt;1),"Same-day clash","OK"))))))</f>
        <v/>
      </c>
    </row>
    <row r="442" customFormat="false" ht="15" hidden="false" customHeight="false" outlineLevel="0" collapsed="false">
      <c r="E442" s="26"/>
      <c r="G442" s="23" t="str">
        <f aca="false">IF($A442="","",IFERROR(IF(INDEX(Activities!$C$2:$C$201,MATCH($A442,Activities!$A$2:$A$201,0))="","",INDEX(Activities!$C$2:$C$201,MATCH($A442,Activities!$A$2:$A$201,0))),""))</f>
        <v/>
      </c>
      <c r="H442" s="24" t="str">
        <f aca="false">IF($A442="","",IFERROR(IF(INDEX(Activities!$B$2:$B$201,MATCH($A442,Activities!$A$2:$A$201,0))="","",INDEX(Activities!$B$2:$B$201,MATCH($A442,Activities!$A$2:$A$201,0))),""))</f>
        <v/>
      </c>
      <c r="I442" s="24" t="str">
        <f aca="false">IF($B442="","",IFERROR(IF(INDEX(Students!$C$2:$C$301,MATCH($B442,Students!$A$2:$A$301,0))="","",INDEX(Students!$C$2:$C$301,MATCH($B442,Students!$A$2:$A$301,0))),""))</f>
        <v/>
      </c>
      <c r="J442" s="24" t="str">
        <f aca="false">IF($B442="","",IFERROR(IF(INDEX(Students!$B$2:$B$301,MATCH($B442,Students!$A$2:$A$301,0))="","",INDEX(Students!$B$2:$B$301,MATCH($B442,Students!$A$2:$A$301,0))),""))</f>
        <v/>
      </c>
      <c r="K442" s="25" t="str">
        <f aca="false">IF($A442="","",IF(D442="Withdrawn",0,IF(E442&lt;&gt;"",N(E442),IFERROR(N(INDEX(Activities!$I$2:$I$201,MATCH($A442,Activities!$A$2:$A$201,0))),0))))</f>
        <v/>
      </c>
      <c r="L442" s="24" t="str">
        <f aca="false">IF(AND($A442="",$B442=""),"",IF(ISNA(MATCH($A442,Activities!$A$2:$A$201,0)),"Unknown activity",IF(ISNA(MATCH($B442,Students!$A$2:$A$301,0)),"Unknown student",IF(D442="","No status",IF(COUNTIFS($A$2:$A$1001,$A442,$B$2:$B$1001,$B442)&gt;1,"Duplicate",IF(AND(D442&lt;&gt;"Withdrawn",G442&lt;&gt;"",COUNTIFS($B$2:$B$1001,$B442,$G$2:$G$1001,G442,$D$2:$D$1001,"&lt;&gt;Withdrawn")&gt;1),"Same-day clash","OK"))))))</f>
        <v/>
      </c>
    </row>
    <row r="443" customFormat="false" ht="15" hidden="false" customHeight="false" outlineLevel="0" collapsed="false">
      <c r="E443" s="26"/>
      <c r="G443" s="23" t="str">
        <f aca="false">IF($A443="","",IFERROR(IF(INDEX(Activities!$C$2:$C$201,MATCH($A443,Activities!$A$2:$A$201,0))="","",INDEX(Activities!$C$2:$C$201,MATCH($A443,Activities!$A$2:$A$201,0))),""))</f>
        <v/>
      </c>
      <c r="H443" s="24" t="str">
        <f aca="false">IF($A443="","",IFERROR(IF(INDEX(Activities!$B$2:$B$201,MATCH($A443,Activities!$A$2:$A$201,0))="","",INDEX(Activities!$B$2:$B$201,MATCH($A443,Activities!$A$2:$A$201,0))),""))</f>
        <v/>
      </c>
      <c r="I443" s="24" t="str">
        <f aca="false">IF($B443="","",IFERROR(IF(INDEX(Students!$C$2:$C$301,MATCH($B443,Students!$A$2:$A$301,0))="","",INDEX(Students!$C$2:$C$301,MATCH($B443,Students!$A$2:$A$301,0))),""))</f>
        <v/>
      </c>
      <c r="J443" s="24" t="str">
        <f aca="false">IF($B443="","",IFERROR(IF(INDEX(Students!$B$2:$B$301,MATCH($B443,Students!$A$2:$A$301,0))="","",INDEX(Students!$B$2:$B$301,MATCH($B443,Students!$A$2:$A$301,0))),""))</f>
        <v/>
      </c>
      <c r="K443" s="25" t="str">
        <f aca="false">IF($A443="","",IF(D443="Withdrawn",0,IF(E443&lt;&gt;"",N(E443),IFERROR(N(INDEX(Activities!$I$2:$I$201,MATCH($A443,Activities!$A$2:$A$201,0))),0))))</f>
        <v/>
      </c>
      <c r="L443" s="24" t="str">
        <f aca="false">IF(AND($A443="",$B443=""),"",IF(ISNA(MATCH($A443,Activities!$A$2:$A$201,0)),"Unknown activity",IF(ISNA(MATCH($B443,Students!$A$2:$A$301,0)),"Unknown student",IF(D443="","No status",IF(COUNTIFS($A$2:$A$1001,$A443,$B$2:$B$1001,$B443)&gt;1,"Duplicate",IF(AND(D443&lt;&gt;"Withdrawn",G443&lt;&gt;"",COUNTIFS($B$2:$B$1001,$B443,$G$2:$G$1001,G443,$D$2:$D$1001,"&lt;&gt;Withdrawn")&gt;1),"Same-day clash","OK"))))))</f>
        <v/>
      </c>
    </row>
    <row r="444" customFormat="false" ht="15" hidden="false" customHeight="false" outlineLevel="0" collapsed="false">
      <c r="E444" s="26"/>
      <c r="G444" s="23" t="str">
        <f aca="false">IF($A444="","",IFERROR(IF(INDEX(Activities!$C$2:$C$201,MATCH($A444,Activities!$A$2:$A$201,0))="","",INDEX(Activities!$C$2:$C$201,MATCH($A444,Activities!$A$2:$A$201,0))),""))</f>
        <v/>
      </c>
      <c r="H444" s="24" t="str">
        <f aca="false">IF($A444="","",IFERROR(IF(INDEX(Activities!$B$2:$B$201,MATCH($A444,Activities!$A$2:$A$201,0))="","",INDEX(Activities!$B$2:$B$201,MATCH($A444,Activities!$A$2:$A$201,0))),""))</f>
        <v/>
      </c>
      <c r="I444" s="24" t="str">
        <f aca="false">IF($B444="","",IFERROR(IF(INDEX(Students!$C$2:$C$301,MATCH($B444,Students!$A$2:$A$301,0))="","",INDEX(Students!$C$2:$C$301,MATCH($B444,Students!$A$2:$A$301,0))),""))</f>
        <v/>
      </c>
      <c r="J444" s="24" t="str">
        <f aca="false">IF($B444="","",IFERROR(IF(INDEX(Students!$B$2:$B$301,MATCH($B444,Students!$A$2:$A$301,0))="","",INDEX(Students!$B$2:$B$301,MATCH($B444,Students!$A$2:$A$301,0))),""))</f>
        <v/>
      </c>
      <c r="K444" s="25" t="str">
        <f aca="false">IF($A444="","",IF(D444="Withdrawn",0,IF(E444&lt;&gt;"",N(E444),IFERROR(N(INDEX(Activities!$I$2:$I$201,MATCH($A444,Activities!$A$2:$A$201,0))),0))))</f>
        <v/>
      </c>
      <c r="L444" s="24" t="str">
        <f aca="false">IF(AND($A444="",$B444=""),"",IF(ISNA(MATCH($A444,Activities!$A$2:$A$201,0)),"Unknown activity",IF(ISNA(MATCH($B444,Students!$A$2:$A$301,0)),"Unknown student",IF(D444="","No status",IF(COUNTIFS($A$2:$A$1001,$A444,$B$2:$B$1001,$B444)&gt;1,"Duplicate",IF(AND(D444&lt;&gt;"Withdrawn",G444&lt;&gt;"",COUNTIFS($B$2:$B$1001,$B444,$G$2:$G$1001,G444,$D$2:$D$1001,"&lt;&gt;Withdrawn")&gt;1),"Same-day clash","OK"))))))</f>
        <v/>
      </c>
    </row>
    <row r="445" customFormat="false" ht="15" hidden="false" customHeight="false" outlineLevel="0" collapsed="false">
      <c r="E445" s="26"/>
      <c r="G445" s="23" t="str">
        <f aca="false">IF($A445="","",IFERROR(IF(INDEX(Activities!$C$2:$C$201,MATCH($A445,Activities!$A$2:$A$201,0))="","",INDEX(Activities!$C$2:$C$201,MATCH($A445,Activities!$A$2:$A$201,0))),""))</f>
        <v/>
      </c>
      <c r="H445" s="24" t="str">
        <f aca="false">IF($A445="","",IFERROR(IF(INDEX(Activities!$B$2:$B$201,MATCH($A445,Activities!$A$2:$A$201,0))="","",INDEX(Activities!$B$2:$B$201,MATCH($A445,Activities!$A$2:$A$201,0))),""))</f>
        <v/>
      </c>
      <c r="I445" s="24" t="str">
        <f aca="false">IF($B445="","",IFERROR(IF(INDEX(Students!$C$2:$C$301,MATCH($B445,Students!$A$2:$A$301,0))="","",INDEX(Students!$C$2:$C$301,MATCH($B445,Students!$A$2:$A$301,0))),""))</f>
        <v/>
      </c>
      <c r="J445" s="24" t="str">
        <f aca="false">IF($B445="","",IFERROR(IF(INDEX(Students!$B$2:$B$301,MATCH($B445,Students!$A$2:$A$301,0))="","",INDEX(Students!$B$2:$B$301,MATCH($B445,Students!$A$2:$A$301,0))),""))</f>
        <v/>
      </c>
      <c r="K445" s="25" t="str">
        <f aca="false">IF($A445="","",IF(D445="Withdrawn",0,IF(E445&lt;&gt;"",N(E445),IFERROR(N(INDEX(Activities!$I$2:$I$201,MATCH($A445,Activities!$A$2:$A$201,0))),0))))</f>
        <v/>
      </c>
      <c r="L445" s="24" t="str">
        <f aca="false">IF(AND($A445="",$B445=""),"",IF(ISNA(MATCH($A445,Activities!$A$2:$A$201,0)),"Unknown activity",IF(ISNA(MATCH($B445,Students!$A$2:$A$301,0)),"Unknown student",IF(D445="","No status",IF(COUNTIFS($A$2:$A$1001,$A445,$B$2:$B$1001,$B445)&gt;1,"Duplicate",IF(AND(D445&lt;&gt;"Withdrawn",G445&lt;&gt;"",COUNTIFS($B$2:$B$1001,$B445,$G$2:$G$1001,G445,$D$2:$D$1001,"&lt;&gt;Withdrawn")&gt;1),"Same-day clash","OK"))))))</f>
        <v/>
      </c>
    </row>
    <row r="446" customFormat="false" ht="15" hidden="false" customHeight="false" outlineLevel="0" collapsed="false">
      <c r="E446" s="26"/>
      <c r="G446" s="23" t="str">
        <f aca="false">IF($A446="","",IFERROR(IF(INDEX(Activities!$C$2:$C$201,MATCH($A446,Activities!$A$2:$A$201,0))="","",INDEX(Activities!$C$2:$C$201,MATCH($A446,Activities!$A$2:$A$201,0))),""))</f>
        <v/>
      </c>
      <c r="H446" s="24" t="str">
        <f aca="false">IF($A446="","",IFERROR(IF(INDEX(Activities!$B$2:$B$201,MATCH($A446,Activities!$A$2:$A$201,0))="","",INDEX(Activities!$B$2:$B$201,MATCH($A446,Activities!$A$2:$A$201,0))),""))</f>
        <v/>
      </c>
      <c r="I446" s="24" t="str">
        <f aca="false">IF($B446="","",IFERROR(IF(INDEX(Students!$C$2:$C$301,MATCH($B446,Students!$A$2:$A$301,0))="","",INDEX(Students!$C$2:$C$301,MATCH($B446,Students!$A$2:$A$301,0))),""))</f>
        <v/>
      </c>
      <c r="J446" s="24" t="str">
        <f aca="false">IF($B446="","",IFERROR(IF(INDEX(Students!$B$2:$B$301,MATCH($B446,Students!$A$2:$A$301,0))="","",INDEX(Students!$B$2:$B$301,MATCH($B446,Students!$A$2:$A$301,0))),""))</f>
        <v/>
      </c>
      <c r="K446" s="25" t="str">
        <f aca="false">IF($A446="","",IF(D446="Withdrawn",0,IF(E446&lt;&gt;"",N(E446),IFERROR(N(INDEX(Activities!$I$2:$I$201,MATCH($A446,Activities!$A$2:$A$201,0))),0))))</f>
        <v/>
      </c>
      <c r="L446" s="24" t="str">
        <f aca="false">IF(AND($A446="",$B446=""),"",IF(ISNA(MATCH($A446,Activities!$A$2:$A$201,0)),"Unknown activity",IF(ISNA(MATCH($B446,Students!$A$2:$A$301,0)),"Unknown student",IF(D446="","No status",IF(COUNTIFS($A$2:$A$1001,$A446,$B$2:$B$1001,$B446)&gt;1,"Duplicate",IF(AND(D446&lt;&gt;"Withdrawn",G446&lt;&gt;"",COUNTIFS($B$2:$B$1001,$B446,$G$2:$G$1001,G446,$D$2:$D$1001,"&lt;&gt;Withdrawn")&gt;1),"Same-day clash","OK"))))))</f>
        <v/>
      </c>
    </row>
    <row r="447" customFormat="false" ht="15" hidden="false" customHeight="false" outlineLevel="0" collapsed="false">
      <c r="E447" s="26"/>
      <c r="G447" s="23" t="str">
        <f aca="false">IF($A447="","",IFERROR(IF(INDEX(Activities!$C$2:$C$201,MATCH($A447,Activities!$A$2:$A$201,0))="","",INDEX(Activities!$C$2:$C$201,MATCH($A447,Activities!$A$2:$A$201,0))),""))</f>
        <v/>
      </c>
      <c r="H447" s="24" t="str">
        <f aca="false">IF($A447="","",IFERROR(IF(INDEX(Activities!$B$2:$B$201,MATCH($A447,Activities!$A$2:$A$201,0))="","",INDEX(Activities!$B$2:$B$201,MATCH($A447,Activities!$A$2:$A$201,0))),""))</f>
        <v/>
      </c>
      <c r="I447" s="24" t="str">
        <f aca="false">IF($B447="","",IFERROR(IF(INDEX(Students!$C$2:$C$301,MATCH($B447,Students!$A$2:$A$301,0))="","",INDEX(Students!$C$2:$C$301,MATCH($B447,Students!$A$2:$A$301,0))),""))</f>
        <v/>
      </c>
      <c r="J447" s="24" t="str">
        <f aca="false">IF($B447="","",IFERROR(IF(INDEX(Students!$B$2:$B$301,MATCH($B447,Students!$A$2:$A$301,0))="","",INDEX(Students!$B$2:$B$301,MATCH($B447,Students!$A$2:$A$301,0))),""))</f>
        <v/>
      </c>
      <c r="K447" s="25" t="str">
        <f aca="false">IF($A447="","",IF(D447="Withdrawn",0,IF(E447&lt;&gt;"",N(E447),IFERROR(N(INDEX(Activities!$I$2:$I$201,MATCH($A447,Activities!$A$2:$A$201,0))),0))))</f>
        <v/>
      </c>
      <c r="L447" s="24" t="str">
        <f aca="false">IF(AND($A447="",$B447=""),"",IF(ISNA(MATCH($A447,Activities!$A$2:$A$201,0)),"Unknown activity",IF(ISNA(MATCH($B447,Students!$A$2:$A$301,0)),"Unknown student",IF(D447="","No status",IF(COUNTIFS($A$2:$A$1001,$A447,$B$2:$B$1001,$B447)&gt;1,"Duplicate",IF(AND(D447&lt;&gt;"Withdrawn",G447&lt;&gt;"",COUNTIFS($B$2:$B$1001,$B447,$G$2:$G$1001,G447,$D$2:$D$1001,"&lt;&gt;Withdrawn")&gt;1),"Same-day clash","OK"))))))</f>
        <v/>
      </c>
    </row>
    <row r="448" customFormat="false" ht="15" hidden="false" customHeight="false" outlineLevel="0" collapsed="false">
      <c r="E448" s="26"/>
      <c r="G448" s="23" t="str">
        <f aca="false">IF($A448="","",IFERROR(IF(INDEX(Activities!$C$2:$C$201,MATCH($A448,Activities!$A$2:$A$201,0))="","",INDEX(Activities!$C$2:$C$201,MATCH($A448,Activities!$A$2:$A$201,0))),""))</f>
        <v/>
      </c>
      <c r="H448" s="24" t="str">
        <f aca="false">IF($A448="","",IFERROR(IF(INDEX(Activities!$B$2:$B$201,MATCH($A448,Activities!$A$2:$A$201,0))="","",INDEX(Activities!$B$2:$B$201,MATCH($A448,Activities!$A$2:$A$201,0))),""))</f>
        <v/>
      </c>
      <c r="I448" s="24" t="str">
        <f aca="false">IF($B448="","",IFERROR(IF(INDEX(Students!$C$2:$C$301,MATCH($B448,Students!$A$2:$A$301,0))="","",INDEX(Students!$C$2:$C$301,MATCH($B448,Students!$A$2:$A$301,0))),""))</f>
        <v/>
      </c>
      <c r="J448" s="24" t="str">
        <f aca="false">IF($B448="","",IFERROR(IF(INDEX(Students!$B$2:$B$301,MATCH($B448,Students!$A$2:$A$301,0))="","",INDEX(Students!$B$2:$B$301,MATCH($B448,Students!$A$2:$A$301,0))),""))</f>
        <v/>
      </c>
      <c r="K448" s="25" t="str">
        <f aca="false">IF($A448="","",IF(D448="Withdrawn",0,IF(E448&lt;&gt;"",N(E448),IFERROR(N(INDEX(Activities!$I$2:$I$201,MATCH($A448,Activities!$A$2:$A$201,0))),0))))</f>
        <v/>
      </c>
      <c r="L448" s="24" t="str">
        <f aca="false">IF(AND($A448="",$B448=""),"",IF(ISNA(MATCH($A448,Activities!$A$2:$A$201,0)),"Unknown activity",IF(ISNA(MATCH($B448,Students!$A$2:$A$301,0)),"Unknown student",IF(D448="","No status",IF(COUNTIFS($A$2:$A$1001,$A448,$B$2:$B$1001,$B448)&gt;1,"Duplicate",IF(AND(D448&lt;&gt;"Withdrawn",G448&lt;&gt;"",COUNTIFS($B$2:$B$1001,$B448,$G$2:$G$1001,G448,$D$2:$D$1001,"&lt;&gt;Withdrawn")&gt;1),"Same-day clash","OK"))))))</f>
        <v/>
      </c>
    </row>
    <row r="449" customFormat="false" ht="15" hidden="false" customHeight="false" outlineLevel="0" collapsed="false">
      <c r="E449" s="26"/>
      <c r="G449" s="23" t="str">
        <f aca="false">IF($A449="","",IFERROR(IF(INDEX(Activities!$C$2:$C$201,MATCH($A449,Activities!$A$2:$A$201,0))="","",INDEX(Activities!$C$2:$C$201,MATCH($A449,Activities!$A$2:$A$201,0))),""))</f>
        <v/>
      </c>
      <c r="H449" s="24" t="str">
        <f aca="false">IF($A449="","",IFERROR(IF(INDEX(Activities!$B$2:$B$201,MATCH($A449,Activities!$A$2:$A$201,0))="","",INDEX(Activities!$B$2:$B$201,MATCH($A449,Activities!$A$2:$A$201,0))),""))</f>
        <v/>
      </c>
      <c r="I449" s="24" t="str">
        <f aca="false">IF($B449="","",IFERROR(IF(INDEX(Students!$C$2:$C$301,MATCH($B449,Students!$A$2:$A$301,0))="","",INDEX(Students!$C$2:$C$301,MATCH($B449,Students!$A$2:$A$301,0))),""))</f>
        <v/>
      </c>
      <c r="J449" s="24" t="str">
        <f aca="false">IF($B449="","",IFERROR(IF(INDEX(Students!$B$2:$B$301,MATCH($B449,Students!$A$2:$A$301,0))="","",INDEX(Students!$B$2:$B$301,MATCH($B449,Students!$A$2:$A$301,0))),""))</f>
        <v/>
      </c>
      <c r="K449" s="25" t="str">
        <f aca="false">IF($A449="","",IF(D449="Withdrawn",0,IF(E449&lt;&gt;"",N(E449),IFERROR(N(INDEX(Activities!$I$2:$I$201,MATCH($A449,Activities!$A$2:$A$201,0))),0))))</f>
        <v/>
      </c>
      <c r="L449" s="24" t="str">
        <f aca="false">IF(AND($A449="",$B449=""),"",IF(ISNA(MATCH($A449,Activities!$A$2:$A$201,0)),"Unknown activity",IF(ISNA(MATCH($B449,Students!$A$2:$A$301,0)),"Unknown student",IF(D449="","No status",IF(COUNTIFS($A$2:$A$1001,$A449,$B$2:$B$1001,$B449)&gt;1,"Duplicate",IF(AND(D449&lt;&gt;"Withdrawn",G449&lt;&gt;"",COUNTIFS($B$2:$B$1001,$B449,$G$2:$G$1001,G449,$D$2:$D$1001,"&lt;&gt;Withdrawn")&gt;1),"Same-day clash","OK"))))))</f>
        <v/>
      </c>
    </row>
    <row r="450" customFormat="false" ht="15" hidden="false" customHeight="false" outlineLevel="0" collapsed="false">
      <c r="E450" s="26"/>
      <c r="G450" s="23" t="str">
        <f aca="false">IF($A450="","",IFERROR(IF(INDEX(Activities!$C$2:$C$201,MATCH($A450,Activities!$A$2:$A$201,0))="","",INDEX(Activities!$C$2:$C$201,MATCH($A450,Activities!$A$2:$A$201,0))),""))</f>
        <v/>
      </c>
      <c r="H450" s="24" t="str">
        <f aca="false">IF($A450="","",IFERROR(IF(INDEX(Activities!$B$2:$B$201,MATCH($A450,Activities!$A$2:$A$201,0))="","",INDEX(Activities!$B$2:$B$201,MATCH($A450,Activities!$A$2:$A$201,0))),""))</f>
        <v/>
      </c>
      <c r="I450" s="24" t="str">
        <f aca="false">IF($B450="","",IFERROR(IF(INDEX(Students!$C$2:$C$301,MATCH($B450,Students!$A$2:$A$301,0))="","",INDEX(Students!$C$2:$C$301,MATCH($B450,Students!$A$2:$A$301,0))),""))</f>
        <v/>
      </c>
      <c r="J450" s="24" t="str">
        <f aca="false">IF($B450="","",IFERROR(IF(INDEX(Students!$B$2:$B$301,MATCH($B450,Students!$A$2:$A$301,0))="","",INDEX(Students!$B$2:$B$301,MATCH($B450,Students!$A$2:$A$301,0))),""))</f>
        <v/>
      </c>
      <c r="K450" s="25" t="str">
        <f aca="false">IF($A450="","",IF(D450="Withdrawn",0,IF(E450&lt;&gt;"",N(E450),IFERROR(N(INDEX(Activities!$I$2:$I$201,MATCH($A450,Activities!$A$2:$A$201,0))),0))))</f>
        <v/>
      </c>
      <c r="L450" s="24" t="str">
        <f aca="false">IF(AND($A450="",$B450=""),"",IF(ISNA(MATCH($A450,Activities!$A$2:$A$201,0)),"Unknown activity",IF(ISNA(MATCH($B450,Students!$A$2:$A$301,0)),"Unknown student",IF(D450="","No status",IF(COUNTIFS($A$2:$A$1001,$A450,$B$2:$B$1001,$B450)&gt;1,"Duplicate",IF(AND(D450&lt;&gt;"Withdrawn",G450&lt;&gt;"",COUNTIFS($B$2:$B$1001,$B450,$G$2:$G$1001,G450,$D$2:$D$1001,"&lt;&gt;Withdrawn")&gt;1),"Same-day clash","OK"))))))</f>
        <v/>
      </c>
    </row>
    <row r="451" customFormat="false" ht="15" hidden="false" customHeight="false" outlineLevel="0" collapsed="false">
      <c r="E451" s="26"/>
      <c r="G451" s="23" t="str">
        <f aca="false">IF($A451="","",IFERROR(IF(INDEX(Activities!$C$2:$C$201,MATCH($A451,Activities!$A$2:$A$201,0))="","",INDEX(Activities!$C$2:$C$201,MATCH($A451,Activities!$A$2:$A$201,0))),""))</f>
        <v/>
      </c>
      <c r="H451" s="24" t="str">
        <f aca="false">IF($A451="","",IFERROR(IF(INDEX(Activities!$B$2:$B$201,MATCH($A451,Activities!$A$2:$A$201,0))="","",INDEX(Activities!$B$2:$B$201,MATCH($A451,Activities!$A$2:$A$201,0))),""))</f>
        <v/>
      </c>
      <c r="I451" s="24" t="str">
        <f aca="false">IF($B451="","",IFERROR(IF(INDEX(Students!$C$2:$C$301,MATCH($B451,Students!$A$2:$A$301,0))="","",INDEX(Students!$C$2:$C$301,MATCH($B451,Students!$A$2:$A$301,0))),""))</f>
        <v/>
      </c>
      <c r="J451" s="24" t="str">
        <f aca="false">IF($B451="","",IFERROR(IF(INDEX(Students!$B$2:$B$301,MATCH($B451,Students!$A$2:$A$301,0))="","",INDEX(Students!$B$2:$B$301,MATCH($B451,Students!$A$2:$A$301,0))),""))</f>
        <v/>
      </c>
      <c r="K451" s="25" t="str">
        <f aca="false">IF($A451="","",IF(D451="Withdrawn",0,IF(E451&lt;&gt;"",N(E451),IFERROR(N(INDEX(Activities!$I$2:$I$201,MATCH($A451,Activities!$A$2:$A$201,0))),0))))</f>
        <v/>
      </c>
      <c r="L451" s="24" t="str">
        <f aca="false">IF(AND($A451="",$B451=""),"",IF(ISNA(MATCH($A451,Activities!$A$2:$A$201,0)),"Unknown activity",IF(ISNA(MATCH($B451,Students!$A$2:$A$301,0)),"Unknown student",IF(D451="","No status",IF(COUNTIFS($A$2:$A$1001,$A451,$B$2:$B$1001,$B451)&gt;1,"Duplicate",IF(AND(D451&lt;&gt;"Withdrawn",G451&lt;&gt;"",COUNTIFS($B$2:$B$1001,$B451,$G$2:$G$1001,G451,$D$2:$D$1001,"&lt;&gt;Withdrawn")&gt;1),"Same-day clash","OK"))))))</f>
        <v/>
      </c>
    </row>
    <row r="452" customFormat="false" ht="15" hidden="false" customHeight="false" outlineLevel="0" collapsed="false">
      <c r="E452" s="26"/>
      <c r="G452" s="23" t="str">
        <f aca="false">IF($A452="","",IFERROR(IF(INDEX(Activities!$C$2:$C$201,MATCH($A452,Activities!$A$2:$A$201,0))="","",INDEX(Activities!$C$2:$C$201,MATCH($A452,Activities!$A$2:$A$201,0))),""))</f>
        <v/>
      </c>
      <c r="H452" s="24" t="str">
        <f aca="false">IF($A452="","",IFERROR(IF(INDEX(Activities!$B$2:$B$201,MATCH($A452,Activities!$A$2:$A$201,0))="","",INDEX(Activities!$B$2:$B$201,MATCH($A452,Activities!$A$2:$A$201,0))),""))</f>
        <v/>
      </c>
      <c r="I452" s="24" t="str">
        <f aca="false">IF($B452="","",IFERROR(IF(INDEX(Students!$C$2:$C$301,MATCH($B452,Students!$A$2:$A$301,0))="","",INDEX(Students!$C$2:$C$301,MATCH($B452,Students!$A$2:$A$301,0))),""))</f>
        <v/>
      </c>
      <c r="J452" s="24" t="str">
        <f aca="false">IF($B452="","",IFERROR(IF(INDEX(Students!$B$2:$B$301,MATCH($B452,Students!$A$2:$A$301,0))="","",INDEX(Students!$B$2:$B$301,MATCH($B452,Students!$A$2:$A$301,0))),""))</f>
        <v/>
      </c>
      <c r="K452" s="25" t="str">
        <f aca="false">IF($A452="","",IF(D452="Withdrawn",0,IF(E452&lt;&gt;"",N(E452),IFERROR(N(INDEX(Activities!$I$2:$I$201,MATCH($A452,Activities!$A$2:$A$201,0))),0))))</f>
        <v/>
      </c>
      <c r="L452" s="24" t="str">
        <f aca="false">IF(AND($A452="",$B452=""),"",IF(ISNA(MATCH($A452,Activities!$A$2:$A$201,0)),"Unknown activity",IF(ISNA(MATCH($B452,Students!$A$2:$A$301,0)),"Unknown student",IF(D452="","No status",IF(COUNTIFS($A$2:$A$1001,$A452,$B$2:$B$1001,$B452)&gt;1,"Duplicate",IF(AND(D452&lt;&gt;"Withdrawn",G452&lt;&gt;"",COUNTIFS($B$2:$B$1001,$B452,$G$2:$G$1001,G452,$D$2:$D$1001,"&lt;&gt;Withdrawn")&gt;1),"Same-day clash","OK"))))))</f>
        <v/>
      </c>
    </row>
    <row r="453" customFormat="false" ht="15" hidden="false" customHeight="false" outlineLevel="0" collapsed="false">
      <c r="E453" s="26"/>
      <c r="G453" s="23" t="str">
        <f aca="false">IF($A453="","",IFERROR(IF(INDEX(Activities!$C$2:$C$201,MATCH($A453,Activities!$A$2:$A$201,0))="","",INDEX(Activities!$C$2:$C$201,MATCH($A453,Activities!$A$2:$A$201,0))),""))</f>
        <v/>
      </c>
      <c r="H453" s="24" t="str">
        <f aca="false">IF($A453="","",IFERROR(IF(INDEX(Activities!$B$2:$B$201,MATCH($A453,Activities!$A$2:$A$201,0))="","",INDEX(Activities!$B$2:$B$201,MATCH($A453,Activities!$A$2:$A$201,0))),""))</f>
        <v/>
      </c>
      <c r="I453" s="24" t="str">
        <f aca="false">IF($B453="","",IFERROR(IF(INDEX(Students!$C$2:$C$301,MATCH($B453,Students!$A$2:$A$301,0))="","",INDEX(Students!$C$2:$C$301,MATCH($B453,Students!$A$2:$A$301,0))),""))</f>
        <v/>
      </c>
      <c r="J453" s="24" t="str">
        <f aca="false">IF($B453="","",IFERROR(IF(INDEX(Students!$B$2:$B$301,MATCH($B453,Students!$A$2:$A$301,0))="","",INDEX(Students!$B$2:$B$301,MATCH($B453,Students!$A$2:$A$301,0))),""))</f>
        <v/>
      </c>
      <c r="K453" s="25" t="str">
        <f aca="false">IF($A453="","",IF(D453="Withdrawn",0,IF(E453&lt;&gt;"",N(E453),IFERROR(N(INDEX(Activities!$I$2:$I$201,MATCH($A453,Activities!$A$2:$A$201,0))),0))))</f>
        <v/>
      </c>
      <c r="L453" s="24" t="str">
        <f aca="false">IF(AND($A453="",$B453=""),"",IF(ISNA(MATCH($A453,Activities!$A$2:$A$201,0)),"Unknown activity",IF(ISNA(MATCH($B453,Students!$A$2:$A$301,0)),"Unknown student",IF(D453="","No status",IF(COUNTIFS($A$2:$A$1001,$A453,$B$2:$B$1001,$B453)&gt;1,"Duplicate",IF(AND(D453&lt;&gt;"Withdrawn",G453&lt;&gt;"",COUNTIFS($B$2:$B$1001,$B453,$G$2:$G$1001,G453,$D$2:$D$1001,"&lt;&gt;Withdrawn")&gt;1),"Same-day clash","OK"))))))</f>
        <v/>
      </c>
    </row>
    <row r="454" customFormat="false" ht="15" hidden="false" customHeight="false" outlineLevel="0" collapsed="false">
      <c r="E454" s="26"/>
      <c r="G454" s="23" t="str">
        <f aca="false">IF($A454="","",IFERROR(IF(INDEX(Activities!$C$2:$C$201,MATCH($A454,Activities!$A$2:$A$201,0))="","",INDEX(Activities!$C$2:$C$201,MATCH($A454,Activities!$A$2:$A$201,0))),""))</f>
        <v/>
      </c>
      <c r="H454" s="24" t="str">
        <f aca="false">IF($A454="","",IFERROR(IF(INDEX(Activities!$B$2:$B$201,MATCH($A454,Activities!$A$2:$A$201,0))="","",INDEX(Activities!$B$2:$B$201,MATCH($A454,Activities!$A$2:$A$201,0))),""))</f>
        <v/>
      </c>
      <c r="I454" s="24" t="str">
        <f aca="false">IF($B454="","",IFERROR(IF(INDEX(Students!$C$2:$C$301,MATCH($B454,Students!$A$2:$A$301,0))="","",INDEX(Students!$C$2:$C$301,MATCH($B454,Students!$A$2:$A$301,0))),""))</f>
        <v/>
      </c>
      <c r="J454" s="24" t="str">
        <f aca="false">IF($B454="","",IFERROR(IF(INDEX(Students!$B$2:$B$301,MATCH($B454,Students!$A$2:$A$301,0))="","",INDEX(Students!$B$2:$B$301,MATCH($B454,Students!$A$2:$A$301,0))),""))</f>
        <v/>
      </c>
      <c r="K454" s="25" t="str">
        <f aca="false">IF($A454="","",IF(D454="Withdrawn",0,IF(E454&lt;&gt;"",N(E454),IFERROR(N(INDEX(Activities!$I$2:$I$201,MATCH($A454,Activities!$A$2:$A$201,0))),0))))</f>
        <v/>
      </c>
      <c r="L454" s="24" t="str">
        <f aca="false">IF(AND($A454="",$B454=""),"",IF(ISNA(MATCH($A454,Activities!$A$2:$A$201,0)),"Unknown activity",IF(ISNA(MATCH($B454,Students!$A$2:$A$301,0)),"Unknown student",IF(D454="","No status",IF(COUNTIFS($A$2:$A$1001,$A454,$B$2:$B$1001,$B454)&gt;1,"Duplicate",IF(AND(D454&lt;&gt;"Withdrawn",G454&lt;&gt;"",COUNTIFS($B$2:$B$1001,$B454,$G$2:$G$1001,G454,$D$2:$D$1001,"&lt;&gt;Withdrawn")&gt;1),"Same-day clash","OK"))))))</f>
        <v/>
      </c>
    </row>
    <row r="455" customFormat="false" ht="15" hidden="false" customHeight="false" outlineLevel="0" collapsed="false">
      <c r="E455" s="26"/>
      <c r="G455" s="23" t="str">
        <f aca="false">IF($A455="","",IFERROR(IF(INDEX(Activities!$C$2:$C$201,MATCH($A455,Activities!$A$2:$A$201,0))="","",INDEX(Activities!$C$2:$C$201,MATCH($A455,Activities!$A$2:$A$201,0))),""))</f>
        <v/>
      </c>
      <c r="H455" s="24" t="str">
        <f aca="false">IF($A455="","",IFERROR(IF(INDEX(Activities!$B$2:$B$201,MATCH($A455,Activities!$A$2:$A$201,0))="","",INDEX(Activities!$B$2:$B$201,MATCH($A455,Activities!$A$2:$A$201,0))),""))</f>
        <v/>
      </c>
      <c r="I455" s="24" t="str">
        <f aca="false">IF($B455="","",IFERROR(IF(INDEX(Students!$C$2:$C$301,MATCH($B455,Students!$A$2:$A$301,0))="","",INDEX(Students!$C$2:$C$301,MATCH($B455,Students!$A$2:$A$301,0))),""))</f>
        <v/>
      </c>
      <c r="J455" s="24" t="str">
        <f aca="false">IF($B455="","",IFERROR(IF(INDEX(Students!$B$2:$B$301,MATCH($B455,Students!$A$2:$A$301,0))="","",INDEX(Students!$B$2:$B$301,MATCH($B455,Students!$A$2:$A$301,0))),""))</f>
        <v/>
      </c>
      <c r="K455" s="25" t="str">
        <f aca="false">IF($A455="","",IF(D455="Withdrawn",0,IF(E455&lt;&gt;"",N(E455),IFERROR(N(INDEX(Activities!$I$2:$I$201,MATCH($A455,Activities!$A$2:$A$201,0))),0))))</f>
        <v/>
      </c>
      <c r="L455" s="24" t="str">
        <f aca="false">IF(AND($A455="",$B455=""),"",IF(ISNA(MATCH($A455,Activities!$A$2:$A$201,0)),"Unknown activity",IF(ISNA(MATCH($B455,Students!$A$2:$A$301,0)),"Unknown student",IF(D455="","No status",IF(COUNTIFS($A$2:$A$1001,$A455,$B$2:$B$1001,$B455)&gt;1,"Duplicate",IF(AND(D455&lt;&gt;"Withdrawn",G455&lt;&gt;"",COUNTIFS($B$2:$B$1001,$B455,$G$2:$G$1001,G455,$D$2:$D$1001,"&lt;&gt;Withdrawn")&gt;1),"Same-day clash","OK"))))))</f>
        <v/>
      </c>
    </row>
    <row r="456" customFormat="false" ht="15" hidden="false" customHeight="false" outlineLevel="0" collapsed="false">
      <c r="E456" s="26"/>
      <c r="G456" s="23" t="str">
        <f aca="false">IF($A456="","",IFERROR(IF(INDEX(Activities!$C$2:$C$201,MATCH($A456,Activities!$A$2:$A$201,0))="","",INDEX(Activities!$C$2:$C$201,MATCH($A456,Activities!$A$2:$A$201,0))),""))</f>
        <v/>
      </c>
      <c r="H456" s="24" t="str">
        <f aca="false">IF($A456="","",IFERROR(IF(INDEX(Activities!$B$2:$B$201,MATCH($A456,Activities!$A$2:$A$201,0))="","",INDEX(Activities!$B$2:$B$201,MATCH($A456,Activities!$A$2:$A$201,0))),""))</f>
        <v/>
      </c>
      <c r="I456" s="24" t="str">
        <f aca="false">IF($B456="","",IFERROR(IF(INDEX(Students!$C$2:$C$301,MATCH($B456,Students!$A$2:$A$301,0))="","",INDEX(Students!$C$2:$C$301,MATCH($B456,Students!$A$2:$A$301,0))),""))</f>
        <v/>
      </c>
      <c r="J456" s="24" t="str">
        <f aca="false">IF($B456="","",IFERROR(IF(INDEX(Students!$B$2:$B$301,MATCH($B456,Students!$A$2:$A$301,0))="","",INDEX(Students!$B$2:$B$301,MATCH($B456,Students!$A$2:$A$301,0))),""))</f>
        <v/>
      </c>
      <c r="K456" s="25" t="str">
        <f aca="false">IF($A456="","",IF(D456="Withdrawn",0,IF(E456&lt;&gt;"",N(E456),IFERROR(N(INDEX(Activities!$I$2:$I$201,MATCH($A456,Activities!$A$2:$A$201,0))),0))))</f>
        <v/>
      </c>
      <c r="L456" s="24" t="str">
        <f aca="false">IF(AND($A456="",$B456=""),"",IF(ISNA(MATCH($A456,Activities!$A$2:$A$201,0)),"Unknown activity",IF(ISNA(MATCH($B456,Students!$A$2:$A$301,0)),"Unknown student",IF(D456="","No status",IF(COUNTIFS($A$2:$A$1001,$A456,$B$2:$B$1001,$B456)&gt;1,"Duplicate",IF(AND(D456&lt;&gt;"Withdrawn",G456&lt;&gt;"",COUNTIFS($B$2:$B$1001,$B456,$G$2:$G$1001,G456,$D$2:$D$1001,"&lt;&gt;Withdrawn")&gt;1),"Same-day clash","OK"))))))</f>
        <v/>
      </c>
    </row>
    <row r="457" customFormat="false" ht="15" hidden="false" customHeight="false" outlineLevel="0" collapsed="false">
      <c r="E457" s="26"/>
      <c r="G457" s="23" t="str">
        <f aca="false">IF($A457="","",IFERROR(IF(INDEX(Activities!$C$2:$C$201,MATCH($A457,Activities!$A$2:$A$201,0))="","",INDEX(Activities!$C$2:$C$201,MATCH($A457,Activities!$A$2:$A$201,0))),""))</f>
        <v/>
      </c>
      <c r="H457" s="24" t="str">
        <f aca="false">IF($A457="","",IFERROR(IF(INDEX(Activities!$B$2:$B$201,MATCH($A457,Activities!$A$2:$A$201,0))="","",INDEX(Activities!$B$2:$B$201,MATCH($A457,Activities!$A$2:$A$201,0))),""))</f>
        <v/>
      </c>
      <c r="I457" s="24" t="str">
        <f aca="false">IF($B457="","",IFERROR(IF(INDEX(Students!$C$2:$C$301,MATCH($B457,Students!$A$2:$A$301,0))="","",INDEX(Students!$C$2:$C$301,MATCH($B457,Students!$A$2:$A$301,0))),""))</f>
        <v/>
      </c>
      <c r="J457" s="24" t="str">
        <f aca="false">IF($B457="","",IFERROR(IF(INDEX(Students!$B$2:$B$301,MATCH($B457,Students!$A$2:$A$301,0))="","",INDEX(Students!$B$2:$B$301,MATCH($B457,Students!$A$2:$A$301,0))),""))</f>
        <v/>
      </c>
      <c r="K457" s="25" t="str">
        <f aca="false">IF($A457="","",IF(D457="Withdrawn",0,IF(E457&lt;&gt;"",N(E457),IFERROR(N(INDEX(Activities!$I$2:$I$201,MATCH($A457,Activities!$A$2:$A$201,0))),0))))</f>
        <v/>
      </c>
      <c r="L457" s="24" t="str">
        <f aca="false">IF(AND($A457="",$B457=""),"",IF(ISNA(MATCH($A457,Activities!$A$2:$A$201,0)),"Unknown activity",IF(ISNA(MATCH($B457,Students!$A$2:$A$301,0)),"Unknown student",IF(D457="","No status",IF(COUNTIFS($A$2:$A$1001,$A457,$B$2:$B$1001,$B457)&gt;1,"Duplicate",IF(AND(D457&lt;&gt;"Withdrawn",G457&lt;&gt;"",COUNTIFS($B$2:$B$1001,$B457,$G$2:$G$1001,G457,$D$2:$D$1001,"&lt;&gt;Withdrawn")&gt;1),"Same-day clash","OK"))))))</f>
        <v/>
      </c>
    </row>
    <row r="458" customFormat="false" ht="15" hidden="false" customHeight="false" outlineLevel="0" collapsed="false">
      <c r="E458" s="26"/>
      <c r="G458" s="23" t="str">
        <f aca="false">IF($A458="","",IFERROR(IF(INDEX(Activities!$C$2:$C$201,MATCH($A458,Activities!$A$2:$A$201,0))="","",INDEX(Activities!$C$2:$C$201,MATCH($A458,Activities!$A$2:$A$201,0))),""))</f>
        <v/>
      </c>
      <c r="H458" s="24" t="str">
        <f aca="false">IF($A458="","",IFERROR(IF(INDEX(Activities!$B$2:$B$201,MATCH($A458,Activities!$A$2:$A$201,0))="","",INDEX(Activities!$B$2:$B$201,MATCH($A458,Activities!$A$2:$A$201,0))),""))</f>
        <v/>
      </c>
      <c r="I458" s="24" t="str">
        <f aca="false">IF($B458="","",IFERROR(IF(INDEX(Students!$C$2:$C$301,MATCH($B458,Students!$A$2:$A$301,0))="","",INDEX(Students!$C$2:$C$301,MATCH($B458,Students!$A$2:$A$301,0))),""))</f>
        <v/>
      </c>
      <c r="J458" s="24" t="str">
        <f aca="false">IF($B458="","",IFERROR(IF(INDEX(Students!$B$2:$B$301,MATCH($B458,Students!$A$2:$A$301,0))="","",INDEX(Students!$B$2:$B$301,MATCH($B458,Students!$A$2:$A$301,0))),""))</f>
        <v/>
      </c>
      <c r="K458" s="25" t="str">
        <f aca="false">IF($A458="","",IF(D458="Withdrawn",0,IF(E458&lt;&gt;"",N(E458),IFERROR(N(INDEX(Activities!$I$2:$I$201,MATCH($A458,Activities!$A$2:$A$201,0))),0))))</f>
        <v/>
      </c>
      <c r="L458" s="24" t="str">
        <f aca="false">IF(AND($A458="",$B458=""),"",IF(ISNA(MATCH($A458,Activities!$A$2:$A$201,0)),"Unknown activity",IF(ISNA(MATCH($B458,Students!$A$2:$A$301,0)),"Unknown student",IF(D458="","No status",IF(COUNTIFS($A$2:$A$1001,$A458,$B$2:$B$1001,$B458)&gt;1,"Duplicate",IF(AND(D458&lt;&gt;"Withdrawn",G458&lt;&gt;"",COUNTIFS($B$2:$B$1001,$B458,$G$2:$G$1001,G458,$D$2:$D$1001,"&lt;&gt;Withdrawn")&gt;1),"Same-day clash","OK"))))))</f>
        <v/>
      </c>
    </row>
    <row r="459" customFormat="false" ht="15" hidden="false" customHeight="false" outlineLevel="0" collapsed="false">
      <c r="E459" s="26"/>
      <c r="G459" s="23" t="str">
        <f aca="false">IF($A459="","",IFERROR(IF(INDEX(Activities!$C$2:$C$201,MATCH($A459,Activities!$A$2:$A$201,0))="","",INDEX(Activities!$C$2:$C$201,MATCH($A459,Activities!$A$2:$A$201,0))),""))</f>
        <v/>
      </c>
      <c r="H459" s="24" t="str">
        <f aca="false">IF($A459="","",IFERROR(IF(INDEX(Activities!$B$2:$B$201,MATCH($A459,Activities!$A$2:$A$201,0))="","",INDEX(Activities!$B$2:$B$201,MATCH($A459,Activities!$A$2:$A$201,0))),""))</f>
        <v/>
      </c>
      <c r="I459" s="24" t="str">
        <f aca="false">IF($B459="","",IFERROR(IF(INDEX(Students!$C$2:$C$301,MATCH($B459,Students!$A$2:$A$301,0))="","",INDEX(Students!$C$2:$C$301,MATCH($B459,Students!$A$2:$A$301,0))),""))</f>
        <v/>
      </c>
      <c r="J459" s="24" t="str">
        <f aca="false">IF($B459="","",IFERROR(IF(INDEX(Students!$B$2:$B$301,MATCH($B459,Students!$A$2:$A$301,0))="","",INDEX(Students!$B$2:$B$301,MATCH($B459,Students!$A$2:$A$301,0))),""))</f>
        <v/>
      </c>
      <c r="K459" s="25" t="str">
        <f aca="false">IF($A459="","",IF(D459="Withdrawn",0,IF(E459&lt;&gt;"",N(E459),IFERROR(N(INDEX(Activities!$I$2:$I$201,MATCH($A459,Activities!$A$2:$A$201,0))),0))))</f>
        <v/>
      </c>
      <c r="L459" s="24" t="str">
        <f aca="false">IF(AND($A459="",$B459=""),"",IF(ISNA(MATCH($A459,Activities!$A$2:$A$201,0)),"Unknown activity",IF(ISNA(MATCH($B459,Students!$A$2:$A$301,0)),"Unknown student",IF(D459="","No status",IF(COUNTIFS($A$2:$A$1001,$A459,$B$2:$B$1001,$B459)&gt;1,"Duplicate",IF(AND(D459&lt;&gt;"Withdrawn",G459&lt;&gt;"",COUNTIFS($B$2:$B$1001,$B459,$G$2:$G$1001,G459,$D$2:$D$1001,"&lt;&gt;Withdrawn")&gt;1),"Same-day clash","OK"))))))</f>
        <v/>
      </c>
    </row>
    <row r="460" customFormat="false" ht="15" hidden="false" customHeight="false" outlineLevel="0" collapsed="false">
      <c r="E460" s="26"/>
      <c r="G460" s="23" t="str">
        <f aca="false">IF($A460="","",IFERROR(IF(INDEX(Activities!$C$2:$C$201,MATCH($A460,Activities!$A$2:$A$201,0))="","",INDEX(Activities!$C$2:$C$201,MATCH($A460,Activities!$A$2:$A$201,0))),""))</f>
        <v/>
      </c>
      <c r="H460" s="24" t="str">
        <f aca="false">IF($A460="","",IFERROR(IF(INDEX(Activities!$B$2:$B$201,MATCH($A460,Activities!$A$2:$A$201,0))="","",INDEX(Activities!$B$2:$B$201,MATCH($A460,Activities!$A$2:$A$201,0))),""))</f>
        <v/>
      </c>
      <c r="I460" s="24" t="str">
        <f aca="false">IF($B460="","",IFERROR(IF(INDEX(Students!$C$2:$C$301,MATCH($B460,Students!$A$2:$A$301,0))="","",INDEX(Students!$C$2:$C$301,MATCH($B460,Students!$A$2:$A$301,0))),""))</f>
        <v/>
      </c>
      <c r="J460" s="24" t="str">
        <f aca="false">IF($B460="","",IFERROR(IF(INDEX(Students!$B$2:$B$301,MATCH($B460,Students!$A$2:$A$301,0))="","",INDEX(Students!$B$2:$B$301,MATCH($B460,Students!$A$2:$A$301,0))),""))</f>
        <v/>
      </c>
      <c r="K460" s="25" t="str">
        <f aca="false">IF($A460="","",IF(D460="Withdrawn",0,IF(E460&lt;&gt;"",N(E460),IFERROR(N(INDEX(Activities!$I$2:$I$201,MATCH($A460,Activities!$A$2:$A$201,0))),0))))</f>
        <v/>
      </c>
      <c r="L460" s="24" t="str">
        <f aca="false">IF(AND($A460="",$B460=""),"",IF(ISNA(MATCH($A460,Activities!$A$2:$A$201,0)),"Unknown activity",IF(ISNA(MATCH($B460,Students!$A$2:$A$301,0)),"Unknown student",IF(D460="","No status",IF(COUNTIFS($A$2:$A$1001,$A460,$B$2:$B$1001,$B460)&gt;1,"Duplicate",IF(AND(D460&lt;&gt;"Withdrawn",G460&lt;&gt;"",COUNTIFS($B$2:$B$1001,$B460,$G$2:$G$1001,G460,$D$2:$D$1001,"&lt;&gt;Withdrawn")&gt;1),"Same-day clash","OK"))))))</f>
        <v/>
      </c>
    </row>
    <row r="461" customFormat="false" ht="15" hidden="false" customHeight="false" outlineLevel="0" collapsed="false">
      <c r="E461" s="26"/>
      <c r="G461" s="23" t="str">
        <f aca="false">IF($A461="","",IFERROR(IF(INDEX(Activities!$C$2:$C$201,MATCH($A461,Activities!$A$2:$A$201,0))="","",INDEX(Activities!$C$2:$C$201,MATCH($A461,Activities!$A$2:$A$201,0))),""))</f>
        <v/>
      </c>
      <c r="H461" s="24" t="str">
        <f aca="false">IF($A461="","",IFERROR(IF(INDEX(Activities!$B$2:$B$201,MATCH($A461,Activities!$A$2:$A$201,0))="","",INDEX(Activities!$B$2:$B$201,MATCH($A461,Activities!$A$2:$A$201,0))),""))</f>
        <v/>
      </c>
      <c r="I461" s="24" t="str">
        <f aca="false">IF($B461="","",IFERROR(IF(INDEX(Students!$C$2:$C$301,MATCH($B461,Students!$A$2:$A$301,0))="","",INDEX(Students!$C$2:$C$301,MATCH($B461,Students!$A$2:$A$301,0))),""))</f>
        <v/>
      </c>
      <c r="J461" s="24" t="str">
        <f aca="false">IF($B461="","",IFERROR(IF(INDEX(Students!$B$2:$B$301,MATCH($B461,Students!$A$2:$A$301,0))="","",INDEX(Students!$B$2:$B$301,MATCH($B461,Students!$A$2:$A$301,0))),""))</f>
        <v/>
      </c>
      <c r="K461" s="25" t="str">
        <f aca="false">IF($A461="","",IF(D461="Withdrawn",0,IF(E461&lt;&gt;"",N(E461),IFERROR(N(INDEX(Activities!$I$2:$I$201,MATCH($A461,Activities!$A$2:$A$201,0))),0))))</f>
        <v/>
      </c>
      <c r="L461" s="24" t="str">
        <f aca="false">IF(AND($A461="",$B461=""),"",IF(ISNA(MATCH($A461,Activities!$A$2:$A$201,0)),"Unknown activity",IF(ISNA(MATCH($B461,Students!$A$2:$A$301,0)),"Unknown student",IF(D461="","No status",IF(COUNTIFS($A$2:$A$1001,$A461,$B$2:$B$1001,$B461)&gt;1,"Duplicate",IF(AND(D461&lt;&gt;"Withdrawn",G461&lt;&gt;"",COUNTIFS($B$2:$B$1001,$B461,$G$2:$G$1001,G461,$D$2:$D$1001,"&lt;&gt;Withdrawn")&gt;1),"Same-day clash","OK"))))))</f>
        <v/>
      </c>
    </row>
    <row r="462" customFormat="false" ht="15" hidden="false" customHeight="false" outlineLevel="0" collapsed="false">
      <c r="E462" s="26"/>
      <c r="G462" s="23" t="str">
        <f aca="false">IF($A462="","",IFERROR(IF(INDEX(Activities!$C$2:$C$201,MATCH($A462,Activities!$A$2:$A$201,0))="","",INDEX(Activities!$C$2:$C$201,MATCH($A462,Activities!$A$2:$A$201,0))),""))</f>
        <v/>
      </c>
      <c r="H462" s="24" t="str">
        <f aca="false">IF($A462="","",IFERROR(IF(INDEX(Activities!$B$2:$B$201,MATCH($A462,Activities!$A$2:$A$201,0))="","",INDEX(Activities!$B$2:$B$201,MATCH($A462,Activities!$A$2:$A$201,0))),""))</f>
        <v/>
      </c>
      <c r="I462" s="24" t="str">
        <f aca="false">IF($B462="","",IFERROR(IF(INDEX(Students!$C$2:$C$301,MATCH($B462,Students!$A$2:$A$301,0))="","",INDEX(Students!$C$2:$C$301,MATCH($B462,Students!$A$2:$A$301,0))),""))</f>
        <v/>
      </c>
      <c r="J462" s="24" t="str">
        <f aca="false">IF($B462="","",IFERROR(IF(INDEX(Students!$B$2:$B$301,MATCH($B462,Students!$A$2:$A$301,0))="","",INDEX(Students!$B$2:$B$301,MATCH($B462,Students!$A$2:$A$301,0))),""))</f>
        <v/>
      </c>
      <c r="K462" s="25" t="str">
        <f aca="false">IF($A462="","",IF(D462="Withdrawn",0,IF(E462&lt;&gt;"",N(E462),IFERROR(N(INDEX(Activities!$I$2:$I$201,MATCH($A462,Activities!$A$2:$A$201,0))),0))))</f>
        <v/>
      </c>
      <c r="L462" s="24" t="str">
        <f aca="false">IF(AND($A462="",$B462=""),"",IF(ISNA(MATCH($A462,Activities!$A$2:$A$201,0)),"Unknown activity",IF(ISNA(MATCH($B462,Students!$A$2:$A$301,0)),"Unknown student",IF(D462="","No status",IF(COUNTIFS($A$2:$A$1001,$A462,$B$2:$B$1001,$B462)&gt;1,"Duplicate",IF(AND(D462&lt;&gt;"Withdrawn",G462&lt;&gt;"",COUNTIFS($B$2:$B$1001,$B462,$G$2:$G$1001,G462,$D$2:$D$1001,"&lt;&gt;Withdrawn")&gt;1),"Same-day clash","OK"))))))</f>
        <v/>
      </c>
    </row>
    <row r="463" customFormat="false" ht="15" hidden="false" customHeight="false" outlineLevel="0" collapsed="false">
      <c r="E463" s="26"/>
      <c r="G463" s="23" t="str">
        <f aca="false">IF($A463="","",IFERROR(IF(INDEX(Activities!$C$2:$C$201,MATCH($A463,Activities!$A$2:$A$201,0))="","",INDEX(Activities!$C$2:$C$201,MATCH($A463,Activities!$A$2:$A$201,0))),""))</f>
        <v/>
      </c>
      <c r="H463" s="24" t="str">
        <f aca="false">IF($A463="","",IFERROR(IF(INDEX(Activities!$B$2:$B$201,MATCH($A463,Activities!$A$2:$A$201,0))="","",INDEX(Activities!$B$2:$B$201,MATCH($A463,Activities!$A$2:$A$201,0))),""))</f>
        <v/>
      </c>
      <c r="I463" s="24" t="str">
        <f aca="false">IF($B463="","",IFERROR(IF(INDEX(Students!$C$2:$C$301,MATCH($B463,Students!$A$2:$A$301,0))="","",INDEX(Students!$C$2:$C$301,MATCH($B463,Students!$A$2:$A$301,0))),""))</f>
        <v/>
      </c>
      <c r="J463" s="24" t="str">
        <f aca="false">IF($B463="","",IFERROR(IF(INDEX(Students!$B$2:$B$301,MATCH($B463,Students!$A$2:$A$301,0))="","",INDEX(Students!$B$2:$B$301,MATCH($B463,Students!$A$2:$A$301,0))),""))</f>
        <v/>
      </c>
      <c r="K463" s="25" t="str">
        <f aca="false">IF($A463="","",IF(D463="Withdrawn",0,IF(E463&lt;&gt;"",N(E463),IFERROR(N(INDEX(Activities!$I$2:$I$201,MATCH($A463,Activities!$A$2:$A$201,0))),0))))</f>
        <v/>
      </c>
      <c r="L463" s="24" t="str">
        <f aca="false">IF(AND($A463="",$B463=""),"",IF(ISNA(MATCH($A463,Activities!$A$2:$A$201,0)),"Unknown activity",IF(ISNA(MATCH($B463,Students!$A$2:$A$301,0)),"Unknown student",IF(D463="","No status",IF(COUNTIFS($A$2:$A$1001,$A463,$B$2:$B$1001,$B463)&gt;1,"Duplicate",IF(AND(D463&lt;&gt;"Withdrawn",G463&lt;&gt;"",COUNTIFS($B$2:$B$1001,$B463,$G$2:$G$1001,G463,$D$2:$D$1001,"&lt;&gt;Withdrawn")&gt;1),"Same-day clash","OK"))))))</f>
        <v/>
      </c>
    </row>
    <row r="464" customFormat="false" ht="15" hidden="false" customHeight="false" outlineLevel="0" collapsed="false">
      <c r="E464" s="26"/>
      <c r="G464" s="23" t="str">
        <f aca="false">IF($A464="","",IFERROR(IF(INDEX(Activities!$C$2:$C$201,MATCH($A464,Activities!$A$2:$A$201,0))="","",INDEX(Activities!$C$2:$C$201,MATCH($A464,Activities!$A$2:$A$201,0))),""))</f>
        <v/>
      </c>
      <c r="H464" s="24" t="str">
        <f aca="false">IF($A464="","",IFERROR(IF(INDEX(Activities!$B$2:$B$201,MATCH($A464,Activities!$A$2:$A$201,0))="","",INDEX(Activities!$B$2:$B$201,MATCH($A464,Activities!$A$2:$A$201,0))),""))</f>
        <v/>
      </c>
      <c r="I464" s="24" t="str">
        <f aca="false">IF($B464="","",IFERROR(IF(INDEX(Students!$C$2:$C$301,MATCH($B464,Students!$A$2:$A$301,0))="","",INDEX(Students!$C$2:$C$301,MATCH($B464,Students!$A$2:$A$301,0))),""))</f>
        <v/>
      </c>
      <c r="J464" s="24" t="str">
        <f aca="false">IF($B464="","",IFERROR(IF(INDEX(Students!$B$2:$B$301,MATCH($B464,Students!$A$2:$A$301,0))="","",INDEX(Students!$B$2:$B$301,MATCH($B464,Students!$A$2:$A$301,0))),""))</f>
        <v/>
      </c>
      <c r="K464" s="25" t="str">
        <f aca="false">IF($A464="","",IF(D464="Withdrawn",0,IF(E464&lt;&gt;"",N(E464),IFERROR(N(INDEX(Activities!$I$2:$I$201,MATCH($A464,Activities!$A$2:$A$201,0))),0))))</f>
        <v/>
      </c>
      <c r="L464" s="24" t="str">
        <f aca="false">IF(AND($A464="",$B464=""),"",IF(ISNA(MATCH($A464,Activities!$A$2:$A$201,0)),"Unknown activity",IF(ISNA(MATCH($B464,Students!$A$2:$A$301,0)),"Unknown student",IF(D464="","No status",IF(COUNTIFS($A$2:$A$1001,$A464,$B$2:$B$1001,$B464)&gt;1,"Duplicate",IF(AND(D464&lt;&gt;"Withdrawn",G464&lt;&gt;"",COUNTIFS($B$2:$B$1001,$B464,$G$2:$G$1001,G464,$D$2:$D$1001,"&lt;&gt;Withdrawn")&gt;1),"Same-day clash","OK"))))))</f>
        <v/>
      </c>
    </row>
    <row r="465" customFormat="false" ht="15" hidden="false" customHeight="false" outlineLevel="0" collapsed="false">
      <c r="E465" s="26"/>
      <c r="G465" s="23" t="str">
        <f aca="false">IF($A465="","",IFERROR(IF(INDEX(Activities!$C$2:$C$201,MATCH($A465,Activities!$A$2:$A$201,0))="","",INDEX(Activities!$C$2:$C$201,MATCH($A465,Activities!$A$2:$A$201,0))),""))</f>
        <v/>
      </c>
      <c r="H465" s="24" t="str">
        <f aca="false">IF($A465="","",IFERROR(IF(INDEX(Activities!$B$2:$B$201,MATCH($A465,Activities!$A$2:$A$201,0))="","",INDEX(Activities!$B$2:$B$201,MATCH($A465,Activities!$A$2:$A$201,0))),""))</f>
        <v/>
      </c>
      <c r="I465" s="24" t="str">
        <f aca="false">IF($B465="","",IFERROR(IF(INDEX(Students!$C$2:$C$301,MATCH($B465,Students!$A$2:$A$301,0))="","",INDEX(Students!$C$2:$C$301,MATCH($B465,Students!$A$2:$A$301,0))),""))</f>
        <v/>
      </c>
      <c r="J465" s="24" t="str">
        <f aca="false">IF($B465="","",IFERROR(IF(INDEX(Students!$B$2:$B$301,MATCH($B465,Students!$A$2:$A$301,0))="","",INDEX(Students!$B$2:$B$301,MATCH($B465,Students!$A$2:$A$301,0))),""))</f>
        <v/>
      </c>
      <c r="K465" s="25" t="str">
        <f aca="false">IF($A465="","",IF(D465="Withdrawn",0,IF(E465&lt;&gt;"",N(E465),IFERROR(N(INDEX(Activities!$I$2:$I$201,MATCH($A465,Activities!$A$2:$A$201,0))),0))))</f>
        <v/>
      </c>
      <c r="L465" s="24" t="str">
        <f aca="false">IF(AND($A465="",$B465=""),"",IF(ISNA(MATCH($A465,Activities!$A$2:$A$201,0)),"Unknown activity",IF(ISNA(MATCH($B465,Students!$A$2:$A$301,0)),"Unknown student",IF(D465="","No status",IF(COUNTIFS($A$2:$A$1001,$A465,$B$2:$B$1001,$B465)&gt;1,"Duplicate",IF(AND(D465&lt;&gt;"Withdrawn",G465&lt;&gt;"",COUNTIFS($B$2:$B$1001,$B465,$G$2:$G$1001,G465,$D$2:$D$1001,"&lt;&gt;Withdrawn")&gt;1),"Same-day clash","OK"))))))</f>
        <v/>
      </c>
    </row>
    <row r="466" customFormat="false" ht="15" hidden="false" customHeight="false" outlineLevel="0" collapsed="false">
      <c r="E466" s="26"/>
      <c r="G466" s="23" t="str">
        <f aca="false">IF($A466="","",IFERROR(IF(INDEX(Activities!$C$2:$C$201,MATCH($A466,Activities!$A$2:$A$201,0))="","",INDEX(Activities!$C$2:$C$201,MATCH($A466,Activities!$A$2:$A$201,0))),""))</f>
        <v/>
      </c>
      <c r="H466" s="24" t="str">
        <f aca="false">IF($A466="","",IFERROR(IF(INDEX(Activities!$B$2:$B$201,MATCH($A466,Activities!$A$2:$A$201,0))="","",INDEX(Activities!$B$2:$B$201,MATCH($A466,Activities!$A$2:$A$201,0))),""))</f>
        <v/>
      </c>
      <c r="I466" s="24" t="str">
        <f aca="false">IF($B466="","",IFERROR(IF(INDEX(Students!$C$2:$C$301,MATCH($B466,Students!$A$2:$A$301,0))="","",INDEX(Students!$C$2:$C$301,MATCH($B466,Students!$A$2:$A$301,0))),""))</f>
        <v/>
      </c>
      <c r="J466" s="24" t="str">
        <f aca="false">IF($B466="","",IFERROR(IF(INDEX(Students!$B$2:$B$301,MATCH($B466,Students!$A$2:$A$301,0))="","",INDEX(Students!$B$2:$B$301,MATCH($B466,Students!$A$2:$A$301,0))),""))</f>
        <v/>
      </c>
      <c r="K466" s="25" t="str">
        <f aca="false">IF($A466="","",IF(D466="Withdrawn",0,IF(E466&lt;&gt;"",N(E466),IFERROR(N(INDEX(Activities!$I$2:$I$201,MATCH($A466,Activities!$A$2:$A$201,0))),0))))</f>
        <v/>
      </c>
      <c r="L466" s="24" t="str">
        <f aca="false">IF(AND($A466="",$B466=""),"",IF(ISNA(MATCH($A466,Activities!$A$2:$A$201,0)),"Unknown activity",IF(ISNA(MATCH($B466,Students!$A$2:$A$301,0)),"Unknown student",IF(D466="","No status",IF(COUNTIFS($A$2:$A$1001,$A466,$B$2:$B$1001,$B466)&gt;1,"Duplicate",IF(AND(D466&lt;&gt;"Withdrawn",G466&lt;&gt;"",COUNTIFS($B$2:$B$1001,$B466,$G$2:$G$1001,G466,$D$2:$D$1001,"&lt;&gt;Withdrawn")&gt;1),"Same-day clash","OK"))))))</f>
        <v/>
      </c>
    </row>
    <row r="467" customFormat="false" ht="15" hidden="false" customHeight="false" outlineLevel="0" collapsed="false">
      <c r="E467" s="26"/>
      <c r="G467" s="23" t="str">
        <f aca="false">IF($A467="","",IFERROR(IF(INDEX(Activities!$C$2:$C$201,MATCH($A467,Activities!$A$2:$A$201,0))="","",INDEX(Activities!$C$2:$C$201,MATCH($A467,Activities!$A$2:$A$201,0))),""))</f>
        <v/>
      </c>
      <c r="H467" s="24" t="str">
        <f aca="false">IF($A467="","",IFERROR(IF(INDEX(Activities!$B$2:$B$201,MATCH($A467,Activities!$A$2:$A$201,0))="","",INDEX(Activities!$B$2:$B$201,MATCH($A467,Activities!$A$2:$A$201,0))),""))</f>
        <v/>
      </c>
      <c r="I467" s="24" t="str">
        <f aca="false">IF($B467="","",IFERROR(IF(INDEX(Students!$C$2:$C$301,MATCH($B467,Students!$A$2:$A$301,0))="","",INDEX(Students!$C$2:$C$301,MATCH($B467,Students!$A$2:$A$301,0))),""))</f>
        <v/>
      </c>
      <c r="J467" s="24" t="str">
        <f aca="false">IF($B467="","",IFERROR(IF(INDEX(Students!$B$2:$B$301,MATCH($B467,Students!$A$2:$A$301,0))="","",INDEX(Students!$B$2:$B$301,MATCH($B467,Students!$A$2:$A$301,0))),""))</f>
        <v/>
      </c>
      <c r="K467" s="25" t="str">
        <f aca="false">IF($A467="","",IF(D467="Withdrawn",0,IF(E467&lt;&gt;"",N(E467),IFERROR(N(INDEX(Activities!$I$2:$I$201,MATCH($A467,Activities!$A$2:$A$201,0))),0))))</f>
        <v/>
      </c>
      <c r="L467" s="24" t="str">
        <f aca="false">IF(AND($A467="",$B467=""),"",IF(ISNA(MATCH($A467,Activities!$A$2:$A$201,0)),"Unknown activity",IF(ISNA(MATCH($B467,Students!$A$2:$A$301,0)),"Unknown student",IF(D467="","No status",IF(COUNTIFS($A$2:$A$1001,$A467,$B$2:$B$1001,$B467)&gt;1,"Duplicate",IF(AND(D467&lt;&gt;"Withdrawn",G467&lt;&gt;"",COUNTIFS($B$2:$B$1001,$B467,$G$2:$G$1001,G467,$D$2:$D$1001,"&lt;&gt;Withdrawn")&gt;1),"Same-day clash","OK"))))))</f>
        <v/>
      </c>
    </row>
    <row r="468" customFormat="false" ht="15" hidden="false" customHeight="false" outlineLevel="0" collapsed="false">
      <c r="E468" s="26"/>
      <c r="G468" s="23" t="str">
        <f aca="false">IF($A468="","",IFERROR(IF(INDEX(Activities!$C$2:$C$201,MATCH($A468,Activities!$A$2:$A$201,0))="","",INDEX(Activities!$C$2:$C$201,MATCH($A468,Activities!$A$2:$A$201,0))),""))</f>
        <v/>
      </c>
      <c r="H468" s="24" t="str">
        <f aca="false">IF($A468="","",IFERROR(IF(INDEX(Activities!$B$2:$B$201,MATCH($A468,Activities!$A$2:$A$201,0))="","",INDEX(Activities!$B$2:$B$201,MATCH($A468,Activities!$A$2:$A$201,0))),""))</f>
        <v/>
      </c>
      <c r="I468" s="24" t="str">
        <f aca="false">IF($B468="","",IFERROR(IF(INDEX(Students!$C$2:$C$301,MATCH($B468,Students!$A$2:$A$301,0))="","",INDEX(Students!$C$2:$C$301,MATCH($B468,Students!$A$2:$A$301,0))),""))</f>
        <v/>
      </c>
      <c r="J468" s="24" t="str">
        <f aca="false">IF($B468="","",IFERROR(IF(INDEX(Students!$B$2:$B$301,MATCH($B468,Students!$A$2:$A$301,0))="","",INDEX(Students!$B$2:$B$301,MATCH($B468,Students!$A$2:$A$301,0))),""))</f>
        <v/>
      </c>
      <c r="K468" s="25" t="str">
        <f aca="false">IF($A468="","",IF(D468="Withdrawn",0,IF(E468&lt;&gt;"",N(E468),IFERROR(N(INDEX(Activities!$I$2:$I$201,MATCH($A468,Activities!$A$2:$A$201,0))),0))))</f>
        <v/>
      </c>
      <c r="L468" s="24" t="str">
        <f aca="false">IF(AND($A468="",$B468=""),"",IF(ISNA(MATCH($A468,Activities!$A$2:$A$201,0)),"Unknown activity",IF(ISNA(MATCH($B468,Students!$A$2:$A$301,0)),"Unknown student",IF(D468="","No status",IF(COUNTIFS($A$2:$A$1001,$A468,$B$2:$B$1001,$B468)&gt;1,"Duplicate",IF(AND(D468&lt;&gt;"Withdrawn",G468&lt;&gt;"",COUNTIFS($B$2:$B$1001,$B468,$G$2:$G$1001,G468,$D$2:$D$1001,"&lt;&gt;Withdrawn")&gt;1),"Same-day clash","OK"))))))</f>
        <v/>
      </c>
    </row>
    <row r="469" customFormat="false" ht="15" hidden="false" customHeight="false" outlineLevel="0" collapsed="false">
      <c r="E469" s="26"/>
      <c r="G469" s="23" t="str">
        <f aca="false">IF($A469="","",IFERROR(IF(INDEX(Activities!$C$2:$C$201,MATCH($A469,Activities!$A$2:$A$201,0))="","",INDEX(Activities!$C$2:$C$201,MATCH($A469,Activities!$A$2:$A$201,0))),""))</f>
        <v/>
      </c>
      <c r="H469" s="24" t="str">
        <f aca="false">IF($A469="","",IFERROR(IF(INDEX(Activities!$B$2:$B$201,MATCH($A469,Activities!$A$2:$A$201,0))="","",INDEX(Activities!$B$2:$B$201,MATCH($A469,Activities!$A$2:$A$201,0))),""))</f>
        <v/>
      </c>
      <c r="I469" s="24" t="str">
        <f aca="false">IF($B469="","",IFERROR(IF(INDEX(Students!$C$2:$C$301,MATCH($B469,Students!$A$2:$A$301,0))="","",INDEX(Students!$C$2:$C$301,MATCH($B469,Students!$A$2:$A$301,0))),""))</f>
        <v/>
      </c>
      <c r="J469" s="24" t="str">
        <f aca="false">IF($B469="","",IFERROR(IF(INDEX(Students!$B$2:$B$301,MATCH($B469,Students!$A$2:$A$301,0))="","",INDEX(Students!$B$2:$B$301,MATCH($B469,Students!$A$2:$A$301,0))),""))</f>
        <v/>
      </c>
      <c r="K469" s="25" t="str">
        <f aca="false">IF($A469="","",IF(D469="Withdrawn",0,IF(E469&lt;&gt;"",N(E469),IFERROR(N(INDEX(Activities!$I$2:$I$201,MATCH($A469,Activities!$A$2:$A$201,0))),0))))</f>
        <v/>
      </c>
      <c r="L469" s="24" t="str">
        <f aca="false">IF(AND($A469="",$B469=""),"",IF(ISNA(MATCH($A469,Activities!$A$2:$A$201,0)),"Unknown activity",IF(ISNA(MATCH($B469,Students!$A$2:$A$301,0)),"Unknown student",IF(D469="","No status",IF(COUNTIFS($A$2:$A$1001,$A469,$B$2:$B$1001,$B469)&gt;1,"Duplicate",IF(AND(D469&lt;&gt;"Withdrawn",G469&lt;&gt;"",COUNTIFS($B$2:$B$1001,$B469,$G$2:$G$1001,G469,$D$2:$D$1001,"&lt;&gt;Withdrawn")&gt;1),"Same-day clash","OK"))))))</f>
        <v/>
      </c>
    </row>
    <row r="470" customFormat="false" ht="15" hidden="false" customHeight="false" outlineLevel="0" collapsed="false">
      <c r="E470" s="26"/>
      <c r="G470" s="23" t="str">
        <f aca="false">IF($A470="","",IFERROR(IF(INDEX(Activities!$C$2:$C$201,MATCH($A470,Activities!$A$2:$A$201,0))="","",INDEX(Activities!$C$2:$C$201,MATCH($A470,Activities!$A$2:$A$201,0))),""))</f>
        <v/>
      </c>
      <c r="H470" s="24" t="str">
        <f aca="false">IF($A470="","",IFERROR(IF(INDEX(Activities!$B$2:$B$201,MATCH($A470,Activities!$A$2:$A$201,0))="","",INDEX(Activities!$B$2:$B$201,MATCH($A470,Activities!$A$2:$A$201,0))),""))</f>
        <v/>
      </c>
      <c r="I470" s="24" t="str">
        <f aca="false">IF($B470="","",IFERROR(IF(INDEX(Students!$C$2:$C$301,MATCH($B470,Students!$A$2:$A$301,0))="","",INDEX(Students!$C$2:$C$301,MATCH($B470,Students!$A$2:$A$301,0))),""))</f>
        <v/>
      </c>
      <c r="J470" s="24" t="str">
        <f aca="false">IF($B470="","",IFERROR(IF(INDEX(Students!$B$2:$B$301,MATCH($B470,Students!$A$2:$A$301,0))="","",INDEX(Students!$B$2:$B$301,MATCH($B470,Students!$A$2:$A$301,0))),""))</f>
        <v/>
      </c>
      <c r="K470" s="25" t="str">
        <f aca="false">IF($A470="","",IF(D470="Withdrawn",0,IF(E470&lt;&gt;"",N(E470),IFERROR(N(INDEX(Activities!$I$2:$I$201,MATCH($A470,Activities!$A$2:$A$201,0))),0))))</f>
        <v/>
      </c>
      <c r="L470" s="24" t="str">
        <f aca="false">IF(AND($A470="",$B470=""),"",IF(ISNA(MATCH($A470,Activities!$A$2:$A$201,0)),"Unknown activity",IF(ISNA(MATCH($B470,Students!$A$2:$A$301,0)),"Unknown student",IF(D470="","No status",IF(COUNTIFS($A$2:$A$1001,$A470,$B$2:$B$1001,$B470)&gt;1,"Duplicate",IF(AND(D470&lt;&gt;"Withdrawn",G470&lt;&gt;"",COUNTIFS($B$2:$B$1001,$B470,$G$2:$G$1001,G470,$D$2:$D$1001,"&lt;&gt;Withdrawn")&gt;1),"Same-day clash","OK"))))))</f>
        <v/>
      </c>
    </row>
    <row r="471" customFormat="false" ht="15" hidden="false" customHeight="false" outlineLevel="0" collapsed="false">
      <c r="E471" s="26"/>
      <c r="G471" s="23" t="str">
        <f aca="false">IF($A471="","",IFERROR(IF(INDEX(Activities!$C$2:$C$201,MATCH($A471,Activities!$A$2:$A$201,0))="","",INDEX(Activities!$C$2:$C$201,MATCH($A471,Activities!$A$2:$A$201,0))),""))</f>
        <v/>
      </c>
      <c r="H471" s="24" t="str">
        <f aca="false">IF($A471="","",IFERROR(IF(INDEX(Activities!$B$2:$B$201,MATCH($A471,Activities!$A$2:$A$201,0))="","",INDEX(Activities!$B$2:$B$201,MATCH($A471,Activities!$A$2:$A$201,0))),""))</f>
        <v/>
      </c>
      <c r="I471" s="24" t="str">
        <f aca="false">IF($B471="","",IFERROR(IF(INDEX(Students!$C$2:$C$301,MATCH($B471,Students!$A$2:$A$301,0))="","",INDEX(Students!$C$2:$C$301,MATCH($B471,Students!$A$2:$A$301,0))),""))</f>
        <v/>
      </c>
      <c r="J471" s="24" t="str">
        <f aca="false">IF($B471="","",IFERROR(IF(INDEX(Students!$B$2:$B$301,MATCH($B471,Students!$A$2:$A$301,0))="","",INDEX(Students!$B$2:$B$301,MATCH($B471,Students!$A$2:$A$301,0))),""))</f>
        <v/>
      </c>
      <c r="K471" s="25" t="str">
        <f aca="false">IF($A471="","",IF(D471="Withdrawn",0,IF(E471&lt;&gt;"",N(E471),IFERROR(N(INDEX(Activities!$I$2:$I$201,MATCH($A471,Activities!$A$2:$A$201,0))),0))))</f>
        <v/>
      </c>
      <c r="L471" s="24" t="str">
        <f aca="false">IF(AND($A471="",$B471=""),"",IF(ISNA(MATCH($A471,Activities!$A$2:$A$201,0)),"Unknown activity",IF(ISNA(MATCH($B471,Students!$A$2:$A$301,0)),"Unknown student",IF(D471="","No status",IF(COUNTIFS($A$2:$A$1001,$A471,$B$2:$B$1001,$B471)&gt;1,"Duplicate",IF(AND(D471&lt;&gt;"Withdrawn",G471&lt;&gt;"",COUNTIFS($B$2:$B$1001,$B471,$G$2:$G$1001,G471,$D$2:$D$1001,"&lt;&gt;Withdrawn")&gt;1),"Same-day clash","OK"))))))</f>
        <v/>
      </c>
    </row>
    <row r="472" customFormat="false" ht="15" hidden="false" customHeight="false" outlineLevel="0" collapsed="false">
      <c r="E472" s="26"/>
      <c r="G472" s="23" t="str">
        <f aca="false">IF($A472="","",IFERROR(IF(INDEX(Activities!$C$2:$C$201,MATCH($A472,Activities!$A$2:$A$201,0))="","",INDEX(Activities!$C$2:$C$201,MATCH($A472,Activities!$A$2:$A$201,0))),""))</f>
        <v/>
      </c>
      <c r="H472" s="24" t="str">
        <f aca="false">IF($A472="","",IFERROR(IF(INDEX(Activities!$B$2:$B$201,MATCH($A472,Activities!$A$2:$A$201,0))="","",INDEX(Activities!$B$2:$B$201,MATCH($A472,Activities!$A$2:$A$201,0))),""))</f>
        <v/>
      </c>
      <c r="I472" s="24" t="str">
        <f aca="false">IF($B472="","",IFERROR(IF(INDEX(Students!$C$2:$C$301,MATCH($B472,Students!$A$2:$A$301,0))="","",INDEX(Students!$C$2:$C$301,MATCH($B472,Students!$A$2:$A$301,0))),""))</f>
        <v/>
      </c>
      <c r="J472" s="24" t="str">
        <f aca="false">IF($B472="","",IFERROR(IF(INDEX(Students!$B$2:$B$301,MATCH($B472,Students!$A$2:$A$301,0))="","",INDEX(Students!$B$2:$B$301,MATCH($B472,Students!$A$2:$A$301,0))),""))</f>
        <v/>
      </c>
      <c r="K472" s="25" t="str">
        <f aca="false">IF($A472="","",IF(D472="Withdrawn",0,IF(E472&lt;&gt;"",N(E472),IFERROR(N(INDEX(Activities!$I$2:$I$201,MATCH($A472,Activities!$A$2:$A$201,0))),0))))</f>
        <v/>
      </c>
      <c r="L472" s="24" t="str">
        <f aca="false">IF(AND($A472="",$B472=""),"",IF(ISNA(MATCH($A472,Activities!$A$2:$A$201,0)),"Unknown activity",IF(ISNA(MATCH($B472,Students!$A$2:$A$301,0)),"Unknown student",IF(D472="","No status",IF(COUNTIFS($A$2:$A$1001,$A472,$B$2:$B$1001,$B472)&gt;1,"Duplicate",IF(AND(D472&lt;&gt;"Withdrawn",G472&lt;&gt;"",COUNTIFS($B$2:$B$1001,$B472,$G$2:$G$1001,G472,$D$2:$D$1001,"&lt;&gt;Withdrawn")&gt;1),"Same-day clash","OK"))))))</f>
        <v/>
      </c>
    </row>
    <row r="473" customFormat="false" ht="15" hidden="false" customHeight="false" outlineLevel="0" collapsed="false">
      <c r="E473" s="26"/>
      <c r="G473" s="23" t="str">
        <f aca="false">IF($A473="","",IFERROR(IF(INDEX(Activities!$C$2:$C$201,MATCH($A473,Activities!$A$2:$A$201,0))="","",INDEX(Activities!$C$2:$C$201,MATCH($A473,Activities!$A$2:$A$201,0))),""))</f>
        <v/>
      </c>
      <c r="H473" s="24" t="str">
        <f aca="false">IF($A473="","",IFERROR(IF(INDEX(Activities!$B$2:$B$201,MATCH($A473,Activities!$A$2:$A$201,0))="","",INDEX(Activities!$B$2:$B$201,MATCH($A473,Activities!$A$2:$A$201,0))),""))</f>
        <v/>
      </c>
      <c r="I473" s="24" t="str">
        <f aca="false">IF($B473="","",IFERROR(IF(INDEX(Students!$C$2:$C$301,MATCH($B473,Students!$A$2:$A$301,0))="","",INDEX(Students!$C$2:$C$301,MATCH($B473,Students!$A$2:$A$301,0))),""))</f>
        <v/>
      </c>
      <c r="J473" s="24" t="str">
        <f aca="false">IF($B473="","",IFERROR(IF(INDEX(Students!$B$2:$B$301,MATCH($B473,Students!$A$2:$A$301,0))="","",INDEX(Students!$B$2:$B$301,MATCH($B473,Students!$A$2:$A$301,0))),""))</f>
        <v/>
      </c>
      <c r="K473" s="25" t="str">
        <f aca="false">IF($A473="","",IF(D473="Withdrawn",0,IF(E473&lt;&gt;"",N(E473),IFERROR(N(INDEX(Activities!$I$2:$I$201,MATCH($A473,Activities!$A$2:$A$201,0))),0))))</f>
        <v/>
      </c>
      <c r="L473" s="24" t="str">
        <f aca="false">IF(AND($A473="",$B473=""),"",IF(ISNA(MATCH($A473,Activities!$A$2:$A$201,0)),"Unknown activity",IF(ISNA(MATCH($B473,Students!$A$2:$A$301,0)),"Unknown student",IF(D473="","No status",IF(COUNTIFS($A$2:$A$1001,$A473,$B$2:$B$1001,$B473)&gt;1,"Duplicate",IF(AND(D473&lt;&gt;"Withdrawn",G473&lt;&gt;"",COUNTIFS($B$2:$B$1001,$B473,$G$2:$G$1001,G473,$D$2:$D$1001,"&lt;&gt;Withdrawn")&gt;1),"Same-day clash","OK"))))))</f>
        <v/>
      </c>
    </row>
    <row r="474" customFormat="false" ht="15" hidden="false" customHeight="false" outlineLevel="0" collapsed="false">
      <c r="E474" s="26"/>
      <c r="G474" s="23" t="str">
        <f aca="false">IF($A474="","",IFERROR(IF(INDEX(Activities!$C$2:$C$201,MATCH($A474,Activities!$A$2:$A$201,0))="","",INDEX(Activities!$C$2:$C$201,MATCH($A474,Activities!$A$2:$A$201,0))),""))</f>
        <v/>
      </c>
      <c r="H474" s="24" t="str">
        <f aca="false">IF($A474="","",IFERROR(IF(INDEX(Activities!$B$2:$B$201,MATCH($A474,Activities!$A$2:$A$201,0))="","",INDEX(Activities!$B$2:$B$201,MATCH($A474,Activities!$A$2:$A$201,0))),""))</f>
        <v/>
      </c>
      <c r="I474" s="24" t="str">
        <f aca="false">IF($B474="","",IFERROR(IF(INDEX(Students!$C$2:$C$301,MATCH($B474,Students!$A$2:$A$301,0))="","",INDEX(Students!$C$2:$C$301,MATCH($B474,Students!$A$2:$A$301,0))),""))</f>
        <v/>
      </c>
      <c r="J474" s="24" t="str">
        <f aca="false">IF($B474="","",IFERROR(IF(INDEX(Students!$B$2:$B$301,MATCH($B474,Students!$A$2:$A$301,0))="","",INDEX(Students!$B$2:$B$301,MATCH($B474,Students!$A$2:$A$301,0))),""))</f>
        <v/>
      </c>
      <c r="K474" s="25" t="str">
        <f aca="false">IF($A474="","",IF(D474="Withdrawn",0,IF(E474&lt;&gt;"",N(E474),IFERROR(N(INDEX(Activities!$I$2:$I$201,MATCH($A474,Activities!$A$2:$A$201,0))),0))))</f>
        <v/>
      </c>
      <c r="L474" s="24" t="str">
        <f aca="false">IF(AND($A474="",$B474=""),"",IF(ISNA(MATCH($A474,Activities!$A$2:$A$201,0)),"Unknown activity",IF(ISNA(MATCH($B474,Students!$A$2:$A$301,0)),"Unknown student",IF(D474="","No status",IF(COUNTIFS($A$2:$A$1001,$A474,$B$2:$B$1001,$B474)&gt;1,"Duplicate",IF(AND(D474&lt;&gt;"Withdrawn",G474&lt;&gt;"",COUNTIFS($B$2:$B$1001,$B474,$G$2:$G$1001,G474,$D$2:$D$1001,"&lt;&gt;Withdrawn")&gt;1),"Same-day clash","OK"))))))</f>
        <v/>
      </c>
    </row>
    <row r="475" customFormat="false" ht="15" hidden="false" customHeight="false" outlineLevel="0" collapsed="false">
      <c r="E475" s="26"/>
      <c r="G475" s="23" t="str">
        <f aca="false">IF($A475="","",IFERROR(IF(INDEX(Activities!$C$2:$C$201,MATCH($A475,Activities!$A$2:$A$201,0))="","",INDEX(Activities!$C$2:$C$201,MATCH($A475,Activities!$A$2:$A$201,0))),""))</f>
        <v/>
      </c>
      <c r="H475" s="24" t="str">
        <f aca="false">IF($A475="","",IFERROR(IF(INDEX(Activities!$B$2:$B$201,MATCH($A475,Activities!$A$2:$A$201,0))="","",INDEX(Activities!$B$2:$B$201,MATCH($A475,Activities!$A$2:$A$201,0))),""))</f>
        <v/>
      </c>
      <c r="I475" s="24" t="str">
        <f aca="false">IF($B475="","",IFERROR(IF(INDEX(Students!$C$2:$C$301,MATCH($B475,Students!$A$2:$A$301,0))="","",INDEX(Students!$C$2:$C$301,MATCH($B475,Students!$A$2:$A$301,0))),""))</f>
        <v/>
      </c>
      <c r="J475" s="24" t="str">
        <f aca="false">IF($B475="","",IFERROR(IF(INDEX(Students!$B$2:$B$301,MATCH($B475,Students!$A$2:$A$301,0))="","",INDEX(Students!$B$2:$B$301,MATCH($B475,Students!$A$2:$A$301,0))),""))</f>
        <v/>
      </c>
      <c r="K475" s="25" t="str">
        <f aca="false">IF($A475="","",IF(D475="Withdrawn",0,IF(E475&lt;&gt;"",N(E475),IFERROR(N(INDEX(Activities!$I$2:$I$201,MATCH($A475,Activities!$A$2:$A$201,0))),0))))</f>
        <v/>
      </c>
      <c r="L475" s="24" t="str">
        <f aca="false">IF(AND($A475="",$B475=""),"",IF(ISNA(MATCH($A475,Activities!$A$2:$A$201,0)),"Unknown activity",IF(ISNA(MATCH($B475,Students!$A$2:$A$301,0)),"Unknown student",IF(D475="","No status",IF(COUNTIFS($A$2:$A$1001,$A475,$B$2:$B$1001,$B475)&gt;1,"Duplicate",IF(AND(D475&lt;&gt;"Withdrawn",G475&lt;&gt;"",COUNTIFS($B$2:$B$1001,$B475,$G$2:$G$1001,G475,$D$2:$D$1001,"&lt;&gt;Withdrawn")&gt;1),"Same-day clash","OK"))))))</f>
        <v/>
      </c>
    </row>
    <row r="476" customFormat="false" ht="15" hidden="false" customHeight="false" outlineLevel="0" collapsed="false">
      <c r="E476" s="26"/>
      <c r="G476" s="23" t="str">
        <f aca="false">IF($A476="","",IFERROR(IF(INDEX(Activities!$C$2:$C$201,MATCH($A476,Activities!$A$2:$A$201,0))="","",INDEX(Activities!$C$2:$C$201,MATCH($A476,Activities!$A$2:$A$201,0))),""))</f>
        <v/>
      </c>
      <c r="H476" s="24" t="str">
        <f aca="false">IF($A476="","",IFERROR(IF(INDEX(Activities!$B$2:$B$201,MATCH($A476,Activities!$A$2:$A$201,0))="","",INDEX(Activities!$B$2:$B$201,MATCH($A476,Activities!$A$2:$A$201,0))),""))</f>
        <v/>
      </c>
      <c r="I476" s="24" t="str">
        <f aca="false">IF($B476="","",IFERROR(IF(INDEX(Students!$C$2:$C$301,MATCH($B476,Students!$A$2:$A$301,0))="","",INDEX(Students!$C$2:$C$301,MATCH($B476,Students!$A$2:$A$301,0))),""))</f>
        <v/>
      </c>
      <c r="J476" s="24" t="str">
        <f aca="false">IF($B476="","",IFERROR(IF(INDEX(Students!$B$2:$B$301,MATCH($B476,Students!$A$2:$A$301,0))="","",INDEX(Students!$B$2:$B$301,MATCH($B476,Students!$A$2:$A$301,0))),""))</f>
        <v/>
      </c>
      <c r="K476" s="25" t="str">
        <f aca="false">IF($A476="","",IF(D476="Withdrawn",0,IF(E476&lt;&gt;"",N(E476),IFERROR(N(INDEX(Activities!$I$2:$I$201,MATCH($A476,Activities!$A$2:$A$201,0))),0))))</f>
        <v/>
      </c>
      <c r="L476" s="24" t="str">
        <f aca="false">IF(AND($A476="",$B476=""),"",IF(ISNA(MATCH($A476,Activities!$A$2:$A$201,0)),"Unknown activity",IF(ISNA(MATCH($B476,Students!$A$2:$A$301,0)),"Unknown student",IF(D476="","No status",IF(COUNTIFS($A$2:$A$1001,$A476,$B$2:$B$1001,$B476)&gt;1,"Duplicate",IF(AND(D476&lt;&gt;"Withdrawn",G476&lt;&gt;"",COUNTIFS($B$2:$B$1001,$B476,$G$2:$G$1001,G476,$D$2:$D$1001,"&lt;&gt;Withdrawn")&gt;1),"Same-day clash","OK"))))))</f>
        <v/>
      </c>
    </row>
    <row r="477" customFormat="false" ht="15" hidden="false" customHeight="false" outlineLevel="0" collapsed="false">
      <c r="E477" s="26"/>
      <c r="G477" s="23" t="str">
        <f aca="false">IF($A477="","",IFERROR(IF(INDEX(Activities!$C$2:$C$201,MATCH($A477,Activities!$A$2:$A$201,0))="","",INDEX(Activities!$C$2:$C$201,MATCH($A477,Activities!$A$2:$A$201,0))),""))</f>
        <v/>
      </c>
      <c r="H477" s="24" t="str">
        <f aca="false">IF($A477="","",IFERROR(IF(INDEX(Activities!$B$2:$B$201,MATCH($A477,Activities!$A$2:$A$201,0))="","",INDEX(Activities!$B$2:$B$201,MATCH($A477,Activities!$A$2:$A$201,0))),""))</f>
        <v/>
      </c>
      <c r="I477" s="24" t="str">
        <f aca="false">IF($B477="","",IFERROR(IF(INDEX(Students!$C$2:$C$301,MATCH($B477,Students!$A$2:$A$301,0))="","",INDEX(Students!$C$2:$C$301,MATCH($B477,Students!$A$2:$A$301,0))),""))</f>
        <v/>
      </c>
      <c r="J477" s="24" t="str">
        <f aca="false">IF($B477="","",IFERROR(IF(INDEX(Students!$B$2:$B$301,MATCH($B477,Students!$A$2:$A$301,0))="","",INDEX(Students!$B$2:$B$301,MATCH($B477,Students!$A$2:$A$301,0))),""))</f>
        <v/>
      </c>
      <c r="K477" s="25" t="str">
        <f aca="false">IF($A477="","",IF(D477="Withdrawn",0,IF(E477&lt;&gt;"",N(E477),IFERROR(N(INDEX(Activities!$I$2:$I$201,MATCH($A477,Activities!$A$2:$A$201,0))),0))))</f>
        <v/>
      </c>
      <c r="L477" s="24" t="str">
        <f aca="false">IF(AND($A477="",$B477=""),"",IF(ISNA(MATCH($A477,Activities!$A$2:$A$201,0)),"Unknown activity",IF(ISNA(MATCH($B477,Students!$A$2:$A$301,0)),"Unknown student",IF(D477="","No status",IF(COUNTIFS($A$2:$A$1001,$A477,$B$2:$B$1001,$B477)&gt;1,"Duplicate",IF(AND(D477&lt;&gt;"Withdrawn",G477&lt;&gt;"",COUNTIFS($B$2:$B$1001,$B477,$G$2:$G$1001,G477,$D$2:$D$1001,"&lt;&gt;Withdrawn")&gt;1),"Same-day clash","OK"))))))</f>
        <v/>
      </c>
    </row>
    <row r="478" customFormat="false" ht="15" hidden="false" customHeight="false" outlineLevel="0" collapsed="false">
      <c r="E478" s="26"/>
      <c r="G478" s="23" t="str">
        <f aca="false">IF($A478="","",IFERROR(IF(INDEX(Activities!$C$2:$C$201,MATCH($A478,Activities!$A$2:$A$201,0))="","",INDEX(Activities!$C$2:$C$201,MATCH($A478,Activities!$A$2:$A$201,0))),""))</f>
        <v/>
      </c>
      <c r="H478" s="24" t="str">
        <f aca="false">IF($A478="","",IFERROR(IF(INDEX(Activities!$B$2:$B$201,MATCH($A478,Activities!$A$2:$A$201,0))="","",INDEX(Activities!$B$2:$B$201,MATCH($A478,Activities!$A$2:$A$201,0))),""))</f>
        <v/>
      </c>
      <c r="I478" s="24" t="str">
        <f aca="false">IF($B478="","",IFERROR(IF(INDEX(Students!$C$2:$C$301,MATCH($B478,Students!$A$2:$A$301,0))="","",INDEX(Students!$C$2:$C$301,MATCH($B478,Students!$A$2:$A$301,0))),""))</f>
        <v/>
      </c>
      <c r="J478" s="24" t="str">
        <f aca="false">IF($B478="","",IFERROR(IF(INDEX(Students!$B$2:$B$301,MATCH($B478,Students!$A$2:$A$301,0))="","",INDEX(Students!$B$2:$B$301,MATCH($B478,Students!$A$2:$A$301,0))),""))</f>
        <v/>
      </c>
      <c r="K478" s="25" t="str">
        <f aca="false">IF($A478="","",IF(D478="Withdrawn",0,IF(E478&lt;&gt;"",N(E478),IFERROR(N(INDEX(Activities!$I$2:$I$201,MATCH($A478,Activities!$A$2:$A$201,0))),0))))</f>
        <v/>
      </c>
      <c r="L478" s="24" t="str">
        <f aca="false">IF(AND($A478="",$B478=""),"",IF(ISNA(MATCH($A478,Activities!$A$2:$A$201,0)),"Unknown activity",IF(ISNA(MATCH($B478,Students!$A$2:$A$301,0)),"Unknown student",IF(D478="","No status",IF(COUNTIFS($A$2:$A$1001,$A478,$B$2:$B$1001,$B478)&gt;1,"Duplicate",IF(AND(D478&lt;&gt;"Withdrawn",G478&lt;&gt;"",COUNTIFS($B$2:$B$1001,$B478,$G$2:$G$1001,G478,$D$2:$D$1001,"&lt;&gt;Withdrawn")&gt;1),"Same-day clash","OK"))))))</f>
        <v/>
      </c>
    </row>
    <row r="479" customFormat="false" ht="15" hidden="false" customHeight="false" outlineLevel="0" collapsed="false">
      <c r="E479" s="26"/>
      <c r="G479" s="23" t="str">
        <f aca="false">IF($A479="","",IFERROR(IF(INDEX(Activities!$C$2:$C$201,MATCH($A479,Activities!$A$2:$A$201,0))="","",INDEX(Activities!$C$2:$C$201,MATCH($A479,Activities!$A$2:$A$201,0))),""))</f>
        <v/>
      </c>
      <c r="H479" s="24" t="str">
        <f aca="false">IF($A479="","",IFERROR(IF(INDEX(Activities!$B$2:$B$201,MATCH($A479,Activities!$A$2:$A$201,0))="","",INDEX(Activities!$B$2:$B$201,MATCH($A479,Activities!$A$2:$A$201,0))),""))</f>
        <v/>
      </c>
      <c r="I479" s="24" t="str">
        <f aca="false">IF($B479="","",IFERROR(IF(INDEX(Students!$C$2:$C$301,MATCH($B479,Students!$A$2:$A$301,0))="","",INDEX(Students!$C$2:$C$301,MATCH($B479,Students!$A$2:$A$301,0))),""))</f>
        <v/>
      </c>
      <c r="J479" s="24" t="str">
        <f aca="false">IF($B479="","",IFERROR(IF(INDEX(Students!$B$2:$B$301,MATCH($B479,Students!$A$2:$A$301,0))="","",INDEX(Students!$B$2:$B$301,MATCH($B479,Students!$A$2:$A$301,0))),""))</f>
        <v/>
      </c>
      <c r="K479" s="25" t="str">
        <f aca="false">IF($A479="","",IF(D479="Withdrawn",0,IF(E479&lt;&gt;"",N(E479),IFERROR(N(INDEX(Activities!$I$2:$I$201,MATCH($A479,Activities!$A$2:$A$201,0))),0))))</f>
        <v/>
      </c>
      <c r="L479" s="24" t="str">
        <f aca="false">IF(AND($A479="",$B479=""),"",IF(ISNA(MATCH($A479,Activities!$A$2:$A$201,0)),"Unknown activity",IF(ISNA(MATCH($B479,Students!$A$2:$A$301,0)),"Unknown student",IF(D479="","No status",IF(COUNTIFS($A$2:$A$1001,$A479,$B$2:$B$1001,$B479)&gt;1,"Duplicate",IF(AND(D479&lt;&gt;"Withdrawn",G479&lt;&gt;"",COUNTIFS($B$2:$B$1001,$B479,$G$2:$G$1001,G479,$D$2:$D$1001,"&lt;&gt;Withdrawn")&gt;1),"Same-day clash","OK"))))))</f>
        <v/>
      </c>
    </row>
    <row r="480" customFormat="false" ht="15" hidden="false" customHeight="false" outlineLevel="0" collapsed="false">
      <c r="E480" s="26"/>
      <c r="G480" s="23" t="str">
        <f aca="false">IF($A480="","",IFERROR(IF(INDEX(Activities!$C$2:$C$201,MATCH($A480,Activities!$A$2:$A$201,0))="","",INDEX(Activities!$C$2:$C$201,MATCH($A480,Activities!$A$2:$A$201,0))),""))</f>
        <v/>
      </c>
      <c r="H480" s="24" t="str">
        <f aca="false">IF($A480="","",IFERROR(IF(INDEX(Activities!$B$2:$B$201,MATCH($A480,Activities!$A$2:$A$201,0))="","",INDEX(Activities!$B$2:$B$201,MATCH($A480,Activities!$A$2:$A$201,0))),""))</f>
        <v/>
      </c>
      <c r="I480" s="24" t="str">
        <f aca="false">IF($B480="","",IFERROR(IF(INDEX(Students!$C$2:$C$301,MATCH($B480,Students!$A$2:$A$301,0))="","",INDEX(Students!$C$2:$C$301,MATCH($B480,Students!$A$2:$A$301,0))),""))</f>
        <v/>
      </c>
      <c r="J480" s="24" t="str">
        <f aca="false">IF($B480="","",IFERROR(IF(INDEX(Students!$B$2:$B$301,MATCH($B480,Students!$A$2:$A$301,0))="","",INDEX(Students!$B$2:$B$301,MATCH($B480,Students!$A$2:$A$301,0))),""))</f>
        <v/>
      </c>
      <c r="K480" s="25" t="str">
        <f aca="false">IF($A480="","",IF(D480="Withdrawn",0,IF(E480&lt;&gt;"",N(E480),IFERROR(N(INDEX(Activities!$I$2:$I$201,MATCH($A480,Activities!$A$2:$A$201,0))),0))))</f>
        <v/>
      </c>
      <c r="L480" s="24" t="str">
        <f aca="false">IF(AND($A480="",$B480=""),"",IF(ISNA(MATCH($A480,Activities!$A$2:$A$201,0)),"Unknown activity",IF(ISNA(MATCH($B480,Students!$A$2:$A$301,0)),"Unknown student",IF(D480="","No status",IF(COUNTIFS($A$2:$A$1001,$A480,$B$2:$B$1001,$B480)&gt;1,"Duplicate",IF(AND(D480&lt;&gt;"Withdrawn",G480&lt;&gt;"",COUNTIFS($B$2:$B$1001,$B480,$G$2:$G$1001,G480,$D$2:$D$1001,"&lt;&gt;Withdrawn")&gt;1),"Same-day clash","OK"))))))</f>
        <v/>
      </c>
    </row>
    <row r="481" customFormat="false" ht="15" hidden="false" customHeight="false" outlineLevel="0" collapsed="false">
      <c r="E481" s="26"/>
      <c r="G481" s="23" t="str">
        <f aca="false">IF($A481="","",IFERROR(IF(INDEX(Activities!$C$2:$C$201,MATCH($A481,Activities!$A$2:$A$201,0))="","",INDEX(Activities!$C$2:$C$201,MATCH($A481,Activities!$A$2:$A$201,0))),""))</f>
        <v/>
      </c>
      <c r="H481" s="24" t="str">
        <f aca="false">IF($A481="","",IFERROR(IF(INDEX(Activities!$B$2:$B$201,MATCH($A481,Activities!$A$2:$A$201,0))="","",INDEX(Activities!$B$2:$B$201,MATCH($A481,Activities!$A$2:$A$201,0))),""))</f>
        <v/>
      </c>
      <c r="I481" s="24" t="str">
        <f aca="false">IF($B481="","",IFERROR(IF(INDEX(Students!$C$2:$C$301,MATCH($B481,Students!$A$2:$A$301,0))="","",INDEX(Students!$C$2:$C$301,MATCH($B481,Students!$A$2:$A$301,0))),""))</f>
        <v/>
      </c>
      <c r="J481" s="24" t="str">
        <f aca="false">IF($B481="","",IFERROR(IF(INDEX(Students!$B$2:$B$301,MATCH($B481,Students!$A$2:$A$301,0))="","",INDEX(Students!$B$2:$B$301,MATCH($B481,Students!$A$2:$A$301,0))),""))</f>
        <v/>
      </c>
      <c r="K481" s="25" t="str">
        <f aca="false">IF($A481="","",IF(D481="Withdrawn",0,IF(E481&lt;&gt;"",N(E481),IFERROR(N(INDEX(Activities!$I$2:$I$201,MATCH($A481,Activities!$A$2:$A$201,0))),0))))</f>
        <v/>
      </c>
      <c r="L481" s="24" t="str">
        <f aca="false">IF(AND($A481="",$B481=""),"",IF(ISNA(MATCH($A481,Activities!$A$2:$A$201,0)),"Unknown activity",IF(ISNA(MATCH($B481,Students!$A$2:$A$301,0)),"Unknown student",IF(D481="","No status",IF(COUNTIFS($A$2:$A$1001,$A481,$B$2:$B$1001,$B481)&gt;1,"Duplicate",IF(AND(D481&lt;&gt;"Withdrawn",G481&lt;&gt;"",COUNTIFS($B$2:$B$1001,$B481,$G$2:$G$1001,G481,$D$2:$D$1001,"&lt;&gt;Withdrawn")&gt;1),"Same-day clash","OK"))))))</f>
        <v/>
      </c>
    </row>
    <row r="482" customFormat="false" ht="15" hidden="false" customHeight="false" outlineLevel="0" collapsed="false">
      <c r="E482" s="26"/>
      <c r="G482" s="23" t="str">
        <f aca="false">IF($A482="","",IFERROR(IF(INDEX(Activities!$C$2:$C$201,MATCH($A482,Activities!$A$2:$A$201,0))="","",INDEX(Activities!$C$2:$C$201,MATCH($A482,Activities!$A$2:$A$201,0))),""))</f>
        <v/>
      </c>
      <c r="H482" s="24" t="str">
        <f aca="false">IF($A482="","",IFERROR(IF(INDEX(Activities!$B$2:$B$201,MATCH($A482,Activities!$A$2:$A$201,0))="","",INDEX(Activities!$B$2:$B$201,MATCH($A482,Activities!$A$2:$A$201,0))),""))</f>
        <v/>
      </c>
      <c r="I482" s="24" t="str">
        <f aca="false">IF($B482="","",IFERROR(IF(INDEX(Students!$C$2:$C$301,MATCH($B482,Students!$A$2:$A$301,0))="","",INDEX(Students!$C$2:$C$301,MATCH($B482,Students!$A$2:$A$301,0))),""))</f>
        <v/>
      </c>
      <c r="J482" s="24" t="str">
        <f aca="false">IF($B482="","",IFERROR(IF(INDEX(Students!$B$2:$B$301,MATCH($B482,Students!$A$2:$A$301,0))="","",INDEX(Students!$B$2:$B$301,MATCH($B482,Students!$A$2:$A$301,0))),""))</f>
        <v/>
      </c>
      <c r="K482" s="25" t="str">
        <f aca="false">IF($A482="","",IF(D482="Withdrawn",0,IF(E482&lt;&gt;"",N(E482),IFERROR(N(INDEX(Activities!$I$2:$I$201,MATCH($A482,Activities!$A$2:$A$201,0))),0))))</f>
        <v/>
      </c>
      <c r="L482" s="24" t="str">
        <f aca="false">IF(AND($A482="",$B482=""),"",IF(ISNA(MATCH($A482,Activities!$A$2:$A$201,0)),"Unknown activity",IF(ISNA(MATCH($B482,Students!$A$2:$A$301,0)),"Unknown student",IF(D482="","No status",IF(COUNTIFS($A$2:$A$1001,$A482,$B$2:$B$1001,$B482)&gt;1,"Duplicate",IF(AND(D482&lt;&gt;"Withdrawn",G482&lt;&gt;"",COUNTIFS($B$2:$B$1001,$B482,$G$2:$G$1001,G482,$D$2:$D$1001,"&lt;&gt;Withdrawn")&gt;1),"Same-day clash","OK"))))))</f>
        <v/>
      </c>
    </row>
    <row r="483" customFormat="false" ht="15" hidden="false" customHeight="false" outlineLevel="0" collapsed="false">
      <c r="E483" s="26"/>
      <c r="G483" s="23" t="str">
        <f aca="false">IF($A483="","",IFERROR(IF(INDEX(Activities!$C$2:$C$201,MATCH($A483,Activities!$A$2:$A$201,0))="","",INDEX(Activities!$C$2:$C$201,MATCH($A483,Activities!$A$2:$A$201,0))),""))</f>
        <v/>
      </c>
      <c r="H483" s="24" t="str">
        <f aca="false">IF($A483="","",IFERROR(IF(INDEX(Activities!$B$2:$B$201,MATCH($A483,Activities!$A$2:$A$201,0))="","",INDEX(Activities!$B$2:$B$201,MATCH($A483,Activities!$A$2:$A$201,0))),""))</f>
        <v/>
      </c>
      <c r="I483" s="24" t="str">
        <f aca="false">IF($B483="","",IFERROR(IF(INDEX(Students!$C$2:$C$301,MATCH($B483,Students!$A$2:$A$301,0))="","",INDEX(Students!$C$2:$C$301,MATCH($B483,Students!$A$2:$A$301,0))),""))</f>
        <v/>
      </c>
      <c r="J483" s="24" t="str">
        <f aca="false">IF($B483="","",IFERROR(IF(INDEX(Students!$B$2:$B$301,MATCH($B483,Students!$A$2:$A$301,0))="","",INDEX(Students!$B$2:$B$301,MATCH($B483,Students!$A$2:$A$301,0))),""))</f>
        <v/>
      </c>
      <c r="K483" s="25" t="str">
        <f aca="false">IF($A483="","",IF(D483="Withdrawn",0,IF(E483&lt;&gt;"",N(E483),IFERROR(N(INDEX(Activities!$I$2:$I$201,MATCH($A483,Activities!$A$2:$A$201,0))),0))))</f>
        <v/>
      </c>
      <c r="L483" s="24" t="str">
        <f aca="false">IF(AND($A483="",$B483=""),"",IF(ISNA(MATCH($A483,Activities!$A$2:$A$201,0)),"Unknown activity",IF(ISNA(MATCH($B483,Students!$A$2:$A$301,0)),"Unknown student",IF(D483="","No status",IF(COUNTIFS($A$2:$A$1001,$A483,$B$2:$B$1001,$B483)&gt;1,"Duplicate",IF(AND(D483&lt;&gt;"Withdrawn",G483&lt;&gt;"",COUNTIFS($B$2:$B$1001,$B483,$G$2:$G$1001,G483,$D$2:$D$1001,"&lt;&gt;Withdrawn")&gt;1),"Same-day clash","OK"))))))</f>
        <v/>
      </c>
    </row>
    <row r="484" customFormat="false" ht="15" hidden="false" customHeight="false" outlineLevel="0" collapsed="false">
      <c r="E484" s="26"/>
      <c r="G484" s="23" t="str">
        <f aca="false">IF($A484="","",IFERROR(IF(INDEX(Activities!$C$2:$C$201,MATCH($A484,Activities!$A$2:$A$201,0))="","",INDEX(Activities!$C$2:$C$201,MATCH($A484,Activities!$A$2:$A$201,0))),""))</f>
        <v/>
      </c>
      <c r="H484" s="24" t="str">
        <f aca="false">IF($A484="","",IFERROR(IF(INDEX(Activities!$B$2:$B$201,MATCH($A484,Activities!$A$2:$A$201,0))="","",INDEX(Activities!$B$2:$B$201,MATCH($A484,Activities!$A$2:$A$201,0))),""))</f>
        <v/>
      </c>
      <c r="I484" s="24" t="str">
        <f aca="false">IF($B484="","",IFERROR(IF(INDEX(Students!$C$2:$C$301,MATCH($B484,Students!$A$2:$A$301,0))="","",INDEX(Students!$C$2:$C$301,MATCH($B484,Students!$A$2:$A$301,0))),""))</f>
        <v/>
      </c>
      <c r="J484" s="24" t="str">
        <f aca="false">IF($B484="","",IFERROR(IF(INDEX(Students!$B$2:$B$301,MATCH($B484,Students!$A$2:$A$301,0))="","",INDEX(Students!$B$2:$B$301,MATCH($B484,Students!$A$2:$A$301,0))),""))</f>
        <v/>
      </c>
      <c r="K484" s="25" t="str">
        <f aca="false">IF($A484="","",IF(D484="Withdrawn",0,IF(E484&lt;&gt;"",N(E484),IFERROR(N(INDEX(Activities!$I$2:$I$201,MATCH($A484,Activities!$A$2:$A$201,0))),0))))</f>
        <v/>
      </c>
      <c r="L484" s="24" t="str">
        <f aca="false">IF(AND($A484="",$B484=""),"",IF(ISNA(MATCH($A484,Activities!$A$2:$A$201,0)),"Unknown activity",IF(ISNA(MATCH($B484,Students!$A$2:$A$301,0)),"Unknown student",IF(D484="","No status",IF(COUNTIFS($A$2:$A$1001,$A484,$B$2:$B$1001,$B484)&gt;1,"Duplicate",IF(AND(D484&lt;&gt;"Withdrawn",G484&lt;&gt;"",COUNTIFS($B$2:$B$1001,$B484,$G$2:$G$1001,G484,$D$2:$D$1001,"&lt;&gt;Withdrawn")&gt;1),"Same-day clash","OK"))))))</f>
        <v/>
      </c>
    </row>
    <row r="485" customFormat="false" ht="15" hidden="false" customHeight="false" outlineLevel="0" collapsed="false">
      <c r="E485" s="26"/>
      <c r="G485" s="23" t="str">
        <f aca="false">IF($A485="","",IFERROR(IF(INDEX(Activities!$C$2:$C$201,MATCH($A485,Activities!$A$2:$A$201,0))="","",INDEX(Activities!$C$2:$C$201,MATCH($A485,Activities!$A$2:$A$201,0))),""))</f>
        <v/>
      </c>
      <c r="H485" s="24" t="str">
        <f aca="false">IF($A485="","",IFERROR(IF(INDEX(Activities!$B$2:$B$201,MATCH($A485,Activities!$A$2:$A$201,0))="","",INDEX(Activities!$B$2:$B$201,MATCH($A485,Activities!$A$2:$A$201,0))),""))</f>
        <v/>
      </c>
      <c r="I485" s="24" t="str">
        <f aca="false">IF($B485="","",IFERROR(IF(INDEX(Students!$C$2:$C$301,MATCH($B485,Students!$A$2:$A$301,0))="","",INDEX(Students!$C$2:$C$301,MATCH($B485,Students!$A$2:$A$301,0))),""))</f>
        <v/>
      </c>
      <c r="J485" s="24" t="str">
        <f aca="false">IF($B485="","",IFERROR(IF(INDEX(Students!$B$2:$B$301,MATCH($B485,Students!$A$2:$A$301,0))="","",INDEX(Students!$B$2:$B$301,MATCH($B485,Students!$A$2:$A$301,0))),""))</f>
        <v/>
      </c>
      <c r="K485" s="25" t="str">
        <f aca="false">IF($A485="","",IF(D485="Withdrawn",0,IF(E485&lt;&gt;"",N(E485),IFERROR(N(INDEX(Activities!$I$2:$I$201,MATCH($A485,Activities!$A$2:$A$201,0))),0))))</f>
        <v/>
      </c>
      <c r="L485" s="24" t="str">
        <f aca="false">IF(AND($A485="",$B485=""),"",IF(ISNA(MATCH($A485,Activities!$A$2:$A$201,0)),"Unknown activity",IF(ISNA(MATCH($B485,Students!$A$2:$A$301,0)),"Unknown student",IF(D485="","No status",IF(COUNTIFS($A$2:$A$1001,$A485,$B$2:$B$1001,$B485)&gt;1,"Duplicate",IF(AND(D485&lt;&gt;"Withdrawn",G485&lt;&gt;"",COUNTIFS($B$2:$B$1001,$B485,$G$2:$G$1001,G485,$D$2:$D$1001,"&lt;&gt;Withdrawn")&gt;1),"Same-day clash","OK"))))))</f>
        <v/>
      </c>
    </row>
    <row r="486" customFormat="false" ht="15" hidden="false" customHeight="false" outlineLevel="0" collapsed="false">
      <c r="E486" s="26"/>
      <c r="G486" s="23" t="str">
        <f aca="false">IF($A486="","",IFERROR(IF(INDEX(Activities!$C$2:$C$201,MATCH($A486,Activities!$A$2:$A$201,0))="","",INDEX(Activities!$C$2:$C$201,MATCH($A486,Activities!$A$2:$A$201,0))),""))</f>
        <v/>
      </c>
      <c r="H486" s="24" t="str">
        <f aca="false">IF($A486="","",IFERROR(IF(INDEX(Activities!$B$2:$B$201,MATCH($A486,Activities!$A$2:$A$201,0))="","",INDEX(Activities!$B$2:$B$201,MATCH($A486,Activities!$A$2:$A$201,0))),""))</f>
        <v/>
      </c>
      <c r="I486" s="24" t="str">
        <f aca="false">IF($B486="","",IFERROR(IF(INDEX(Students!$C$2:$C$301,MATCH($B486,Students!$A$2:$A$301,0))="","",INDEX(Students!$C$2:$C$301,MATCH($B486,Students!$A$2:$A$301,0))),""))</f>
        <v/>
      </c>
      <c r="J486" s="24" t="str">
        <f aca="false">IF($B486="","",IFERROR(IF(INDEX(Students!$B$2:$B$301,MATCH($B486,Students!$A$2:$A$301,0))="","",INDEX(Students!$B$2:$B$301,MATCH($B486,Students!$A$2:$A$301,0))),""))</f>
        <v/>
      </c>
      <c r="K486" s="25" t="str">
        <f aca="false">IF($A486="","",IF(D486="Withdrawn",0,IF(E486&lt;&gt;"",N(E486),IFERROR(N(INDEX(Activities!$I$2:$I$201,MATCH($A486,Activities!$A$2:$A$201,0))),0))))</f>
        <v/>
      </c>
      <c r="L486" s="24" t="str">
        <f aca="false">IF(AND($A486="",$B486=""),"",IF(ISNA(MATCH($A486,Activities!$A$2:$A$201,0)),"Unknown activity",IF(ISNA(MATCH($B486,Students!$A$2:$A$301,0)),"Unknown student",IF(D486="","No status",IF(COUNTIFS($A$2:$A$1001,$A486,$B$2:$B$1001,$B486)&gt;1,"Duplicate",IF(AND(D486&lt;&gt;"Withdrawn",G486&lt;&gt;"",COUNTIFS($B$2:$B$1001,$B486,$G$2:$G$1001,G486,$D$2:$D$1001,"&lt;&gt;Withdrawn")&gt;1),"Same-day clash","OK"))))))</f>
        <v/>
      </c>
    </row>
    <row r="487" customFormat="false" ht="15" hidden="false" customHeight="false" outlineLevel="0" collapsed="false">
      <c r="E487" s="26"/>
      <c r="G487" s="23" t="str">
        <f aca="false">IF($A487="","",IFERROR(IF(INDEX(Activities!$C$2:$C$201,MATCH($A487,Activities!$A$2:$A$201,0))="","",INDEX(Activities!$C$2:$C$201,MATCH($A487,Activities!$A$2:$A$201,0))),""))</f>
        <v/>
      </c>
      <c r="H487" s="24" t="str">
        <f aca="false">IF($A487="","",IFERROR(IF(INDEX(Activities!$B$2:$B$201,MATCH($A487,Activities!$A$2:$A$201,0))="","",INDEX(Activities!$B$2:$B$201,MATCH($A487,Activities!$A$2:$A$201,0))),""))</f>
        <v/>
      </c>
      <c r="I487" s="24" t="str">
        <f aca="false">IF($B487="","",IFERROR(IF(INDEX(Students!$C$2:$C$301,MATCH($B487,Students!$A$2:$A$301,0))="","",INDEX(Students!$C$2:$C$301,MATCH($B487,Students!$A$2:$A$301,0))),""))</f>
        <v/>
      </c>
      <c r="J487" s="24" t="str">
        <f aca="false">IF($B487="","",IFERROR(IF(INDEX(Students!$B$2:$B$301,MATCH($B487,Students!$A$2:$A$301,0))="","",INDEX(Students!$B$2:$B$301,MATCH($B487,Students!$A$2:$A$301,0))),""))</f>
        <v/>
      </c>
      <c r="K487" s="25" t="str">
        <f aca="false">IF($A487="","",IF(D487="Withdrawn",0,IF(E487&lt;&gt;"",N(E487),IFERROR(N(INDEX(Activities!$I$2:$I$201,MATCH($A487,Activities!$A$2:$A$201,0))),0))))</f>
        <v/>
      </c>
      <c r="L487" s="24" t="str">
        <f aca="false">IF(AND($A487="",$B487=""),"",IF(ISNA(MATCH($A487,Activities!$A$2:$A$201,0)),"Unknown activity",IF(ISNA(MATCH($B487,Students!$A$2:$A$301,0)),"Unknown student",IF(D487="","No status",IF(COUNTIFS($A$2:$A$1001,$A487,$B$2:$B$1001,$B487)&gt;1,"Duplicate",IF(AND(D487&lt;&gt;"Withdrawn",G487&lt;&gt;"",COUNTIFS($B$2:$B$1001,$B487,$G$2:$G$1001,G487,$D$2:$D$1001,"&lt;&gt;Withdrawn")&gt;1),"Same-day clash","OK"))))))</f>
        <v/>
      </c>
    </row>
    <row r="488" customFormat="false" ht="15" hidden="false" customHeight="false" outlineLevel="0" collapsed="false">
      <c r="E488" s="26"/>
      <c r="G488" s="23" t="str">
        <f aca="false">IF($A488="","",IFERROR(IF(INDEX(Activities!$C$2:$C$201,MATCH($A488,Activities!$A$2:$A$201,0))="","",INDEX(Activities!$C$2:$C$201,MATCH($A488,Activities!$A$2:$A$201,0))),""))</f>
        <v/>
      </c>
      <c r="H488" s="24" t="str">
        <f aca="false">IF($A488="","",IFERROR(IF(INDEX(Activities!$B$2:$B$201,MATCH($A488,Activities!$A$2:$A$201,0))="","",INDEX(Activities!$B$2:$B$201,MATCH($A488,Activities!$A$2:$A$201,0))),""))</f>
        <v/>
      </c>
      <c r="I488" s="24" t="str">
        <f aca="false">IF($B488="","",IFERROR(IF(INDEX(Students!$C$2:$C$301,MATCH($B488,Students!$A$2:$A$301,0))="","",INDEX(Students!$C$2:$C$301,MATCH($B488,Students!$A$2:$A$301,0))),""))</f>
        <v/>
      </c>
      <c r="J488" s="24" t="str">
        <f aca="false">IF($B488="","",IFERROR(IF(INDEX(Students!$B$2:$B$301,MATCH($B488,Students!$A$2:$A$301,0))="","",INDEX(Students!$B$2:$B$301,MATCH($B488,Students!$A$2:$A$301,0))),""))</f>
        <v/>
      </c>
      <c r="K488" s="25" t="str">
        <f aca="false">IF($A488="","",IF(D488="Withdrawn",0,IF(E488&lt;&gt;"",N(E488),IFERROR(N(INDEX(Activities!$I$2:$I$201,MATCH($A488,Activities!$A$2:$A$201,0))),0))))</f>
        <v/>
      </c>
      <c r="L488" s="24" t="str">
        <f aca="false">IF(AND($A488="",$B488=""),"",IF(ISNA(MATCH($A488,Activities!$A$2:$A$201,0)),"Unknown activity",IF(ISNA(MATCH($B488,Students!$A$2:$A$301,0)),"Unknown student",IF(D488="","No status",IF(COUNTIFS($A$2:$A$1001,$A488,$B$2:$B$1001,$B488)&gt;1,"Duplicate",IF(AND(D488&lt;&gt;"Withdrawn",G488&lt;&gt;"",COUNTIFS($B$2:$B$1001,$B488,$G$2:$G$1001,G488,$D$2:$D$1001,"&lt;&gt;Withdrawn")&gt;1),"Same-day clash","OK"))))))</f>
        <v/>
      </c>
    </row>
    <row r="489" customFormat="false" ht="15" hidden="false" customHeight="false" outlineLevel="0" collapsed="false">
      <c r="E489" s="26"/>
      <c r="G489" s="23" t="str">
        <f aca="false">IF($A489="","",IFERROR(IF(INDEX(Activities!$C$2:$C$201,MATCH($A489,Activities!$A$2:$A$201,0))="","",INDEX(Activities!$C$2:$C$201,MATCH($A489,Activities!$A$2:$A$201,0))),""))</f>
        <v/>
      </c>
      <c r="H489" s="24" t="str">
        <f aca="false">IF($A489="","",IFERROR(IF(INDEX(Activities!$B$2:$B$201,MATCH($A489,Activities!$A$2:$A$201,0))="","",INDEX(Activities!$B$2:$B$201,MATCH($A489,Activities!$A$2:$A$201,0))),""))</f>
        <v/>
      </c>
      <c r="I489" s="24" t="str">
        <f aca="false">IF($B489="","",IFERROR(IF(INDEX(Students!$C$2:$C$301,MATCH($B489,Students!$A$2:$A$301,0))="","",INDEX(Students!$C$2:$C$301,MATCH($B489,Students!$A$2:$A$301,0))),""))</f>
        <v/>
      </c>
      <c r="J489" s="24" t="str">
        <f aca="false">IF($B489="","",IFERROR(IF(INDEX(Students!$B$2:$B$301,MATCH($B489,Students!$A$2:$A$301,0))="","",INDEX(Students!$B$2:$B$301,MATCH($B489,Students!$A$2:$A$301,0))),""))</f>
        <v/>
      </c>
      <c r="K489" s="25" t="str">
        <f aca="false">IF($A489="","",IF(D489="Withdrawn",0,IF(E489&lt;&gt;"",N(E489),IFERROR(N(INDEX(Activities!$I$2:$I$201,MATCH($A489,Activities!$A$2:$A$201,0))),0))))</f>
        <v/>
      </c>
      <c r="L489" s="24" t="str">
        <f aca="false">IF(AND($A489="",$B489=""),"",IF(ISNA(MATCH($A489,Activities!$A$2:$A$201,0)),"Unknown activity",IF(ISNA(MATCH($B489,Students!$A$2:$A$301,0)),"Unknown student",IF(D489="","No status",IF(COUNTIFS($A$2:$A$1001,$A489,$B$2:$B$1001,$B489)&gt;1,"Duplicate",IF(AND(D489&lt;&gt;"Withdrawn",G489&lt;&gt;"",COUNTIFS($B$2:$B$1001,$B489,$G$2:$G$1001,G489,$D$2:$D$1001,"&lt;&gt;Withdrawn")&gt;1),"Same-day clash","OK"))))))</f>
        <v/>
      </c>
    </row>
    <row r="490" customFormat="false" ht="15" hidden="false" customHeight="false" outlineLevel="0" collapsed="false">
      <c r="E490" s="26"/>
      <c r="G490" s="23" t="str">
        <f aca="false">IF($A490="","",IFERROR(IF(INDEX(Activities!$C$2:$C$201,MATCH($A490,Activities!$A$2:$A$201,0))="","",INDEX(Activities!$C$2:$C$201,MATCH($A490,Activities!$A$2:$A$201,0))),""))</f>
        <v/>
      </c>
      <c r="H490" s="24" t="str">
        <f aca="false">IF($A490="","",IFERROR(IF(INDEX(Activities!$B$2:$B$201,MATCH($A490,Activities!$A$2:$A$201,0))="","",INDEX(Activities!$B$2:$B$201,MATCH($A490,Activities!$A$2:$A$201,0))),""))</f>
        <v/>
      </c>
      <c r="I490" s="24" t="str">
        <f aca="false">IF($B490="","",IFERROR(IF(INDEX(Students!$C$2:$C$301,MATCH($B490,Students!$A$2:$A$301,0))="","",INDEX(Students!$C$2:$C$301,MATCH($B490,Students!$A$2:$A$301,0))),""))</f>
        <v/>
      </c>
      <c r="J490" s="24" t="str">
        <f aca="false">IF($B490="","",IFERROR(IF(INDEX(Students!$B$2:$B$301,MATCH($B490,Students!$A$2:$A$301,0))="","",INDEX(Students!$B$2:$B$301,MATCH($B490,Students!$A$2:$A$301,0))),""))</f>
        <v/>
      </c>
      <c r="K490" s="25" t="str">
        <f aca="false">IF($A490="","",IF(D490="Withdrawn",0,IF(E490&lt;&gt;"",N(E490),IFERROR(N(INDEX(Activities!$I$2:$I$201,MATCH($A490,Activities!$A$2:$A$201,0))),0))))</f>
        <v/>
      </c>
      <c r="L490" s="24" t="str">
        <f aca="false">IF(AND($A490="",$B490=""),"",IF(ISNA(MATCH($A490,Activities!$A$2:$A$201,0)),"Unknown activity",IF(ISNA(MATCH($B490,Students!$A$2:$A$301,0)),"Unknown student",IF(D490="","No status",IF(COUNTIFS($A$2:$A$1001,$A490,$B$2:$B$1001,$B490)&gt;1,"Duplicate",IF(AND(D490&lt;&gt;"Withdrawn",G490&lt;&gt;"",COUNTIFS($B$2:$B$1001,$B490,$G$2:$G$1001,G490,$D$2:$D$1001,"&lt;&gt;Withdrawn")&gt;1),"Same-day clash","OK"))))))</f>
        <v/>
      </c>
    </row>
    <row r="491" customFormat="false" ht="15" hidden="false" customHeight="false" outlineLevel="0" collapsed="false">
      <c r="E491" s="26"/>
      <c r="G491" s="23" t="str">
        <f aca="false">IF($A491="","",IFERROR(IF(INDEX(Activities!$C$2:$C$201,MATCH($A491,Activities!$A$2:$A$201,0))="","",INDEX(Activities!$C$2:$C$201,MATCH($A491,Activities!$A$2:$A$201,0))),""))</f>
        <v/>
      </c>
      <c r="H491" s="24" t="str">
        <f aca="false">IF($A491="","",IFERROR(IF(INDEX(Activities!$B$2:$B$201,MATCH($A491,Activities!$A$2:$A$201,0))="","",INDEX(Activities!$B$2:$B$201,MATCH($A491,Activities!$A$2:$A$201,0))),""))</f>
        <v/>
      </c>
      <c r="I491" s="24" t="str">
        <f aca="false">IF($B491="","",IFERROR(IF(INDEX(Students!$C$2:$C$301,MATCH($B491,Students!$A$2:$A$301,0))="","",INDEX(Students!$C$2:$C$301,MATCH($B491,Students!$A$2:$A$301,0))),""))</f>
        <v/>
      </c>
      <c r="J491" s="24" t="str">
        <f aca="false">IF($B491="","",IFERROR(IF(INDEX(Students!$B$2:$B$301,MATCH($B491,Students!$A$2:$A$301,0))="","",INDEX(Students!$B$2:$B$301,MATCH($B491,Students!$A$2:$A$301,0))),""))</f>
        <v/>
      </c>
      <c r="K491" s="25" t="str">
        <f aca="false">IF($A491="","",IF(D491="Withdrawn",0,IF(E491&lt;&gt;"",N(E491),IFERROR(N(INDEX(Activities!$I$2:$I$201,MATCH($A491,Activities!$A$2:$A$201,0))),0))))</f>
        <v/>
      </c>
      <c r="L491" s="24" t="str">
        <f aca="false">IF(AND($A491="",$B491=""),"",IF(ISNA(MATCH($A491,Activities!$A$2:$A$201,0)),"Unknown activity",IF(ISNA(MATCH($B491,Students!$A$2:$A$301,0)),"Unknown student",IF(D491="","No status",IF(COUNTIFS($A$2:$A$1001,$A491,$B$2:$B$1001,$B491)&gt;1,"Duplicate",IF(AND(D491&lt;&gt;"Withdrawn",G491&lt;&gt;"",COUNTIFS($B$2:$B$1001,$B491,$G$2:$G$1001,G491,$D$2:$D$1001,"&lt;&gt;Withdrawn")&gt;1),"Same-day clash","OK"))))))</f>
        <v/>
      </c>
    </row>
    <row r="492" customFormat="false" ht="15" hidden="false" customHeight="false" outlineLevel="0" collapsed="false">
      <c r="E492" s="26"/>
      <c r="G492" s="23" t="str">
        <f aca="false">IF($A492="","",IFERROR(IF(INDEX(Activities!$C$2:$C$201,MATCH($A492,Activities!$A$2:$A$201,0))="","",INDEX(Activities!$C$2:$C$201,MATCH($A492,Activities!$A$2:$A$201,0))),""))</f>
        <v/>
      </c>
      <c r="H492" s="24" t="str">
        <f aca="false">IF($A492="","",IFERROR(IF(INDEX(Activities!$B$2:$B$201,MATCH($A492,Activities!$A$2:$A$201,0))="","",INDEX(Activities!$B$2:$B$201,MATCH($A492,Activities!$A$2:$A$201,0))),""))</f>
        <v/>
      </c>
      <c r="I492" s="24" t="str">
        <f aca="false">IF($B492="","",IFERROR(IF(INDEX(Students!$C$2:$C$301,MATCH($B492,Students!$A$2:$A$301,0))="","",INDEX(Students!$C$2:$C$301,MATCH($B492,Students!$A$2:$A$301,0))),""))</f>
        <v/>
      </c>
      <c r="J492" s="24" t="str">
        <f aca="false">IF($B492="","",IFERROR(IF(INDEX(Students!$B$2:$B$301,MATCH($B492,Students!$A$2:$A$301,0))="","",INDEX(Students!$B$2:$B$301,MATCH($B492,Students!$A$2:$A$301,0))),""))</f>
        <v/>
      </c>
      <c r="K492" s="25" t="str">
        <f aca="false">IF($A492="","",IF(D492="Withdrawn",0,IF(E492&lt;&gt;"",N(E492),IFERROR(N(INDEX(Activities!$I$2:$I$201,MATCH($A492,Activities!$A$2:$A$201,0))),0))))</f>
        <v/>
      </c>
      <c r="L492" s="24" t="str">
        <f aca="false">IF(AND($A492="",$B492=""),"",IF(ISNA(MATCH($A492,Activities!$A$2:$A$201,0)),"Unknown activity",IF(ISNA(MATCH($B492,Students!$A$2:$A$301,0)),"Unknown student",IF(D492="","No status",IF(COUNTIFS($A$2:$A$1001,$A492,$B$2:$B$1001,$B492)&gt;1,"Duplicate",IF(AND(D492&lt;&gt;"Withdrawn",G492&lt;&gt;"",COUNTIFS($B$2:$B$1001,$B492,$G$2:$G$1001,G492,$D$2:$D$1001,"&lt;&gt;Withdrawn")&gt;1),"Same-day clash","OK"))))))</f>
        <v/>
      </c>
    </row>
    <row r="493" customFormat="false" ht="15" hidden="false" customHeight="false" outlineLevel="0" collapsed="false">
      <c r="E493" s="26"/>
      <c r="G493" s="23" t="str">
        <f aca="false">IF($A493="","",IFERROR(IF(INDEX(Activities!$C$2:$C$201,MATCH($A493,Activities!$A$2:$A$201,0))="","",INDEX(Activities!$C$2:$C$201,MATCH($A493,Activities!$A$2:$A$201,0))),""))</f>
        <v/>
      </c>
      <c r="H493" s="24" t="str">
        <f aca="false">IF($A493="","",IFERROR(IF(INDEX(Activities!$B$2:$B$201,MATCH($A493,Activities!$A$2:$A$201,0))="","",INDEX(Activities!$B$2:$B$201,MATCH($A493,Activities!$A$2:$A$201,0))),""))</f>
        <v/>
      </c>
      <c r="I493" s="24" t="str">
        <f aca="false">IF($B493="","",IFERROR(IF(INDEX(Students!$C$2:$C$301,MATCH($B493,Students!$A$2:$A$301,0))="","",INDEX(Students!$C$2:$C$301,MATCH($B493,Students!$A$2:$A$301,0))),""))</f>
        <v/>
      </c>
      <c r="J493" s="24" t="str">
        <f aca="false">IF($B493="","",IFERROR(IF(INDEX(Students!$B$2:$B$301,MATCH($B493,Students!$A$2:$A$301,0))="","",INDEX(Students!$B$2:$B$301,MATCH($B493,Students!$A$2:$A$301,0))),""))</f>
        <v/>
      </c>
      <c r="K493" s="25" t="str">
        <f aca="false">IF($A493="","",IF(D493="Withdrawn",0,IF(E493&lt;&gt;"",N(E493),IFERROR(N(INDEX(Activities!$I$2:$I$201,MATCH($A493,Activities!$A$2:$A$201,0))),0))))</f>
        <v/>
      </c>
      <c r="L493" s="24" t="str">
        <f aca="false">IF(AND($A493="",$B493=""),"",IF(ISNA(MATCH($A493,Activities!$A$2:$A$201,0)),"Unknown activity",IF(ISNA(MATCH($B493,Students!$A$2:$A$301,0)),"Unknown student",IF(D493="","No status",IF(COUNTIFS($A$2:$A$1001,$A493,$B$2:$B$1001,$B493)&gt;1,"Duplicate",IF(AND(D493&lt;&gt;"Withdrawn",G493&lt;&gt;"",COUNTIFS($B$2:$B$1001,$B493,$G$2:$G$1001,G493,$D$2:$D$1001,"&lt;&gt;Withdrawn")&gt;1),"Same-day clash","OK"))))))</f>
        <v/>
      </c>
    </row>
    <row r="494" customFormat="false" ht="15" hidden="false" customHeight="false" outlineLevel="0" collapsed="false">
      <c r="E494" s="26"/>
      <c r="G494" s="23" t="str">
        <f aca="false">IF($A494="","",IFERROR(IF(INDEX(Activities!$C$2:$C$201,MATCH($A494,Activities!$A$2:$A$201,0))="","",INDEX(Activities!$C$2:$C$201,MATCH($A494,Activities!$A$2:$A$201,0))),""))</f>
        <v/>
      </c>
      <c r="H494" s="24" t="str">
        <f aca="false">IF($A494="","",IFERROR(IF(INDEX(Activities!$B$2:$B$201,MATCH($A494,Activities!$A$2:$A$201,0))="","",INDEX(Activities!$B$2:$B$201,MATCH($A494,Activities!$A$2:$A$201,0))),""))</f>
        <v/>
      </c>
      <c r="I494" s="24" t="str">
        <f aca="false">IF($B494="","",IFERROR(IF(INDEX(Students!$C$2:$C$301,MATCH($B494,Students!$A$2:$A$301,0))="","",INDEX(Students!$C$2:$C$301,MATCH($B494,Students!$A$2:$A$301,0))),""))</f>
        <v/>
      </c>
      <c r="J494" s="24" t="str">
        <f aca="false">IF($B494="","",IFERROR(IF(INDEX(Students!$B$2:$B$301,MATCH($B494,Students!$A$2:$A$301,0))="","",INDEX(Students!$B$2:$B$301,MATCH($B494,Students!$A$2:$A$301,0))),""))</f>
        <v/>
      </c>
      <c r="K494" s="25" t="str">
        <f aca="false">IF($A494="","",IF(D494="Withdrawn",0,IF(E494&lt;&gt;"",N(E494),IFERROR(N(INDEX(Activities!$I$2:$I$201,MATCH($A494,Activities!$A$2:$A$201,0))),0))))</f>
        <v/>
      </c>
      <c r="L494" s="24" t="str">
        <f aca="false">IF(AND($A494="",$B494=""),"",IF(ISNA(MATCH($A494,Activities!$A$2:$A$201,0)),"Unknown activity",IF(ISNA(MATCH($B494,Students!$A$2:$A$301,0)),"Unknown student",IF(D494="","No status",IF(COUNTIFS($A$2:$A$1001,$A494,$B$2:$B$1001,$B494)&gt;1,"Duplicate",IF(AND(D494&lt;&gt;"Withdrawn",G494&lt;&gt;"",COUNTIFS($B$2:$B$1001,$B494,$G$2:$G$1001,G494,$D$2:$D$1001,"&lt;&gt;Withdrawn")&gt;1),"Same-day clash","OK"))))))</f>
        <v/>
      </c>
    </row>
    <row r="495" customFormat="false" ht="15" hidden="false" customHeight="false" outlineLevel="0" collapsed="false">
      <c r="E495" s="26"/>
      <c r="G495" s="23" t="str">
        <f aca="false">IF($A495="","",IFERROR(IF(INDEX(Activities!$C$2:$C$201,MATCH($A495,Activities!$A$2:$A$201,0))="","",INDEX(Activities!$C$2:$C$201,MATCH($A495,Activities!$A$2:$A$201,0))),""))</f>
        <v/>
      </c>
      <c r="H495" s="24" t="str">
        <f aca="false">IF($A495="","",IFERROR(IF(INDEX(Activities!$B$2:$B$201,MATCH($A495,Activities!$A$2:$A$201,0))="","",INDEX(Activities!$B$2:$B$201,MATCH($A495,Activities!$A$2:$A$201,0))),""))</f>
        <v/>
      </c>
      <c r="I495" s="24" t="str">
        <f aca="false">IF($B495="","",IFERROR(IF(INDEX(Students!$C$2:$C$301,MATCH($B495,Students!$A$2:$A$301,0))="","",INDEX(Students!$C$2:$C$301,MATCH($B495,Students!$A$2:$A$301,0))),""))</f>
        <v/>
      </c>
      <c r="J495" s="24" t="str">
        <f aca="false">IF($B495="","",IFERROR(IF(INDEX(Students!$B$2:$B$301,MATCH($B495,Students!$A$2:$A$301,0))="","",INDEX(Students!$B$2:$B$301,MATCH($B495,Students!$A$2:$A$301,0))),""))</f>
        <v/>
      </c>
      <c r="K495" s="25" t="str">
        <f aca="false">IF($A495="","",IF(D495="Withdrawn",0,IF(E495&lt;&gt;"",N(E495),IFERROR(N(INDEX(Activities!$I$2:$I$201,MATCH($A495,Activities!$A$2:$A$201,0))),0))))</f>
        <v/>
      </c>
      <c r="L495" s="24" t="str">
        <f aca="false">IF(AND($A495="",$B495=""),"",IF(ISNA(MATCH($A495,Activities!$A$2:$A$201,0)),"Unknown activity",IF(ISNA(MATCH($B495,Students!$A$2:$A$301,0)),"Unknown student",IF(D495="","No status",IF(COUNTIFS($A$2:$A$1001,$A495,$B$2:$B$1001,$B495)&gt;1,"Duplicate",IF(AND(D495&lt;&gt;"Withdrawn",G495&lt;&gt;"",COUNTIFS($B$2:$B$1001,$B495,$G$2:$G$1001,G495,$D$2:$D$1001,"&lt;&gt;Withdrawn")&gt;1),"Same-day clash","OK"))))))</f>
        <v/>
      </c>
    </row>
    <row r="496" customFormat="false" ht="15" hidden="false" customHeight="false" outlineLevel="0" collapsed="false">
      <c r="E496" s="26"/>
      <c r="G496" s="23" t="str">
        <f aca="false">IF($A496="","",IFERROR(IF(INDEX(Activities!$C$2:$C$201,MATCH($A496,Activities!$A$2:$A$201,0))="","",INDEX(Activities!$C$2:$C$201,MATCH($A496,Activities!$A$2:$A$201,0))),""))</f>
        <v/>
      </c>
      <c r="H496" s="24" t="str">
        <f aca="false">IF($A496="","",IFERROR(IF(INDEX(Activities!$B$2:$B$201,MATCH($A496,Activities!$A$2:$A$201,0))="","",INDEX(Activities!$B$2:$B$201,MATCH($A496,Activities!$A$2:$A$201,0))),""))</f>
        <v/>
      </c>
      <c r="I496" s="24" t="str">
        <f aca="false">IF($B496="","",IFERROR(IF(INDEX(Students!$C$2:$C$301,MATCH($B496,Students!$A$2:$A$301,0))="","",INDEX(Students!$C$2:$C$301,MATCH($B496,Students!$A$2:$A$301,0))),""))</f>
        <v/>
      </c>
      <c r="J496" s="24" t="str">
        <f aca="false">IF($B496="","",IFERROR(IF(INDEX(Students!$B$2:$B$301,MATCH($B496,Students!$A$2:$A$301,0))="","",INDEX(Students!$B$2:$B$301,MATCH($B496,Students!$A$2:$A$301,0))),""))</f>
        <v/>
      </c>
      <c r="K496" s="25" t="str">
        <f aca="false">IF($A496="","",IF(D496="Withdrawn",0,IF(E496&lt;&gt;"",N(E496),IFERROR(N(INDEX(Activities!$I$2:$I$201,MATCH($A496,Activities!$A$2:$A$201,0))),0))))</f>
        <v/>
      </c>
      <c r="L496" s="24" t="str">
        <f aca="false">IF(AND($A496="",$B496=""),"",IF(ISNA(MATCH($A496,Activities!$A$2:$A$201,0)),"Unknown activity",IF(ISNA(MATCH($B496,Students!$A$2:$A$301,0)),"Unknown student",IF(D496="","No status",IF(COUNTIFS($A$2:$A$1001,$A496,$B$2:$B$1001,$B496)&gt;1,"Duplicate",IF(AND(D496&lt;&gt;"Withdrawn",G496&lt;&gt;"",COUNTIFS($B$2:$B$1001,$B496,$G$2:$G$1001,G496,$D$2:$D$1001,"&lt;&gt;Withdrawn")&gt;1),"Same-day clash","OK"))))))</f>
        <v/>
      </c>
    </row>
    <row r="497" customFormat="false" ht="15" hidden="false" customHeight="false" outlineLevel="0" collapsed="false">
      <c r="E497" s="26"/>
      <c r="G497" s="23" t="str">
        <f aca="false">IF($A497="","",IFERROR(IF(INDEX(Activities!$C$2:$C$201,MATCH($A497,Activities!$A$2:$A$201,0))="","",INDEX(Activities!$C$2:$C$201,MATCH($A497,Activities!$A$2:$A$201,0))),""))</f>
        <v/>
      </c>
      <c r="H497" s="24" t="str">
        <f aca="false">IF($A497="","",IFERROR(IF(INDEX(Activities!$B$2:$B$201,MATCH($A497,Activities!$A$2:$A$201,0))="","",INDEX(Activities!$B$2:$B$201,MATCH($A497,Activities!$A$2:$A$201,0))),""))</f>
        <v/>
      </c>
      <c r="I497" s="24" t="str">
        <f aca="false">IF($B497="","",IFERROR(IF(INDEX(Students!$C$2:$C$301,MATCH($B497,Students!$A$2:$A$301,0))="","",INDEX(Students!$C$2:$C$301,MATCH($B497,Students!$A$2:$A$301,0))),""))</f>
        <v/>
      </c>
      <c r="J497" s="24" t="str">
        <f aca="false">IF($B497="","",IFERROR(IF(INDEX(Students!$B$2:$B$301,MATCH($B497,Students!$A$2:$A$301,0))="","",INDEX(Students!$B$2:$B$301,MATCH($B497,Students!$A$2:$A$301,0))),""))</f>
        <v/>
      </c>
      <c r="K497" s="25" t="str">
        <f aca="false">IF($A497="","",IF(D497="Withdrawn",0,IF(E497&lt;&gt;"",N(E497),IFERROR(N(INDEX(Activities!$I$2:$I$201,MATCH($A497,Activities!$A$2:$A$201,0))),0))))</f>
        <v/>
      </c>
      <c r="L497" s="24" t="str">
        <f aca="false">IF(AND($A497="",$B497=""),"",IF(ISNA(MATCH($A497,Activities!$A$2:$A$201,0)),"Unknown activity",IF(ISNA(MATCH($B497,Students!$A$2:$A$301,0)),"Unknown student",IF(D497="","No status",IF(COUNTIFS($A$2:$A$1001,$A497,$B$2:$B$1001,$B497)&gt;1,"Duplicate",IF(AND(D497&lt;&gt;"Withdrawn",G497&lt;&gt;"",COUNTIFS($B$2:$B$1001,$B497,$G$2:$G$1001,G497,$D$2:$D$1001,"&lt;&gt;Withdrawn")&gt;1),"Same-day clash","OK"))))))</f>
        <v/>
      </c>
    </row>
    <row r="498" customFormat="false" ht="15" hidden="false" customHeight="false" outlineLevel="0" collapsed="false">
      <c r="E498" s="26"/>
      <c r="G498" s="23" t="str">
        <f aca="false">IF($A498="","",IFERROR(IF(INDEX(Activities!$C$2:$C$201,MATCH($A498,Activities!$A$2:$A$201,0))="","",INDEX(Activities!$C$2:$C$201,MATCH($A498,Activities!$A$2:$A$201,0))),""))</f>
        <v/>
      </c>
      <c r="H498" s="24" t="str">
        <f aca="false">IF($A498="","",IFERROR(IF(INDEX(Activities!$B$2:$B$201,MATCH($A498,Activities!$A$2:$A$201,0))="","",INDEX(Activities!$B$2:$B$201,MATCH($A498,Activities!$A$2:$A$201,0))),""))</f>
        <v/>
      </c>
      <c r="I498" s="24" t="str">
        <f aca="false">IF($B498="","",IFERROR(IF(INDEX(Students!$C$2:$C$301,MATCH($B498,Students!$A$2:$A$301,0))="","",INDEX(Students!$C$2:$C$301,MATCH($B498,Students!$A$2:$A$301,0))),""))</f>
        <v/>
      </c>
      <c r="J498" s="24" t="str">
        <f aca="false">IF($B498="","",IFERROR(IF(INDEX(Students!$B$2:$B$301,MATCH($B498,Students!$A$2:$A$301,0))="","",INDEX(Students!$B$2:$B$301,MATCH($B498,Students!$A$2:$A$301,0))),""))</f>
        <v/>
      </c>
      <c r="K498" s="25" t="str">
        <f aca="false">IF($A498="","",IF(D498="Withdrawn",0,IF(E498&lt;&gt;"",N(E498),IFERROR(N(INDEX(Activities!$I$2:$I$201,MATCH($A498,Activities!$A$2:$A$201,0))),0))))</f>
        <v/>
      </c>
      <c r="L498" s="24" t="str">
        <f aca="false">IF(AND($A498="",$B498=""),"",IF(ISNA(MATCH($A498,Activities!$A$2:$A$201,0)),"Unknown activity",IF(ISNA(MATCH($B498,Students!$A$2:$A$301,0)),"Unknown student",IF(D498="","No status",IF(COUNTIFS($A$2:$A$1001,$A498,$B$2:$B$1001,$B498)&gt;1,"Duplicate",IF(AND(D498&lt;&gt;"Withdrawn",G498&lt;&gt;"",COUNTIFS($B$2:$B$1001,$B498,$G$2:$G$1001,G498,$D$2:$D$1001,"&lt;&gt;Withdrawn")&gt;1),"Same-day clash","OK"))))))</f>
        <v/>
      </c>
    </row>
    <row r="499" customFormat="false" ht="15" hidden="false" customHeight="false" outlineLevel="0" collapsed="false">
      <c r="E499" s="26"/>
      <c r="G499" s="23" t="str">
        <f aca="false">IF($A499="","",IFERROR(IF(INDEX(Activities!$C$2:$C$201,MATCH($A499,Activities!$A$2:$A$201,0))="","",INDEX(Activities!$C$2:$C$201,MATCH($A499,Activities!$A$2:$A$201,0))),""))</f>
        <v/>
      </c>
      <c r="H499" s="24" t="str">
        <f aca="false">IF($A499="","",IFERROR(IF(INDEX(Activities!$B$2:$B$201,MATCH($A499,Activities!$A$2:$A$201,0))="","",INDEX(Activities!$B$2:$B$201,MATCH($A499,Activities!$A$2:$A$201,0))),""))</f>
        <v/>
      </c>
      <c r="I499" s="24" t="str">
        <f aca="false">IF($B499="","",IFERROR(IF(INDEX(Students!$C$2:$C$301,MATCH($B499,Students!$A$2:$A$301,0))="","",INDEX(Students!$C$2:$C$301,MATCH($B499,Students!$A$2:$A$301,0))),""))</f>
        <v/>
      </c>
      <c r="J499" s="24" t="str">
        <f aca="false">IF($B499="","",IFERROR(IF(INDEX(Students!$B$2:$B$301,MATCH($B499,Students!$A$2:$A$301,0))="","",INDEX(Students!$B$2:$B$301,MATCH($B499,Students!$A$2:$A$301,0))),""))</f>
        <v/>
      </c>
      <c r="K499" s="25" t="str">
        <f aca="false">IF($A499="","",IF(D499="Withdrawn",0,IF(E499&lt;&gt;"",N(E499),IFERROR(N(INDEX(Activities!$I$2:$I$201,MATCH($A499,Activities!$A$2:$A$201,0))),0))))</f>
        <v/>
      </c>
      <c r="L499" s="24" t="str">
        <f aca="false">IF(AND($A499="",$B499=""),"",IF(ISNA(MATCH($A499,Activities!$A$2:$A$201,0)),"Unknown activity",IF(ISNA(MATCH($B499,Students!$A$2:$A$301,0)),"Unknown student",IF(D499="","No status",IF(COUNTIFS($A$2:$A$1001,$A499,$B$2:$B$1001,$B499)&gt;1,"Duplicate",IF(AND(D499&lt;&gt;"Withdrawn",G499&lt;&gt;"",COUNTIFS($B$2:$B$1001,$B499,$G$2:$G$1001,G499,$D$2:$D$1001,"&lt;&gt;Withdrawn")&gt;1),"Same-day clash","OK"))))))</f>
        <v/>
      </c>
    </row>
    <row r="500" customFormat="false" ht="15" hidden="false" customHeight="false" outlineLevel="0" collapsed="false">
      <c r="E500" s="26"/>
      <c r="G500" s="23" t="str">
        <f aca="false">IF($A500="","",IFERROR(IF(INDEX(Activities!$C$2:$C$201,MATCH($A500,Activities!$A$2:$A$201,0))="","",INDEX(Activities!$C$2:$C$201,MATCH($A500,Activities!$A$2:$A$201,0))),""))</f>
        <v/>
      </c>
      <c r="H500" s="24" t="str">
        <f aca="false">IF($A500="","",IFERROR(IF(INDEX(Activities!$B$2:$B$201,MATCH($A500,Activities!$A$2:$A$201,0))="","",INDEX(Activities!$B$2:$B$201,MATCH($A500,Activities!$A$2:$A$201,0))),""))</f>
        <v/>
      </c>
      <c r="I500" s="24" t="str">
        <f aca="false">IF($B500="","",IFERROR(IF(INDEX(Students!$C$2:$C$301,MATCH($B500,Students!$A$2:$A$301,0))="","",INDEX(Students!$C$2:$C$301,MATCH($B500,Students!$A$2:$A$301,0))),""))</f>
        <v/>
      </c>
      <c r="J500" s="24" t="str">
        <f aca="false">IF($B500="","",IFERROR(IF(INDEX(Students!$B$2:$B$301,MATCH($B500,Students!$A$2:$A$301,0))="","",INDEX(Students!$B$2:$B$301,MATCH($B500,Students!$A$2:$A$301,0))),""))</f>
        <v/>
      </c>
      <c r="K500" s="25" t="str">
        <f aca="false">IF($A500="","",IF(D500="Withdrawn",0,IF(E500&lt;&gt;"",N(E500),IFERROR(N(INDEX(Activities!$I$2:$I$201,MATCH($A500,Activities!$A$2:$A$201,0))),0))))</f>
        <v/>
      </c>
      <c r="L500" s="24" t="str">
        <f aca="false">IF(AND($A500="",$B500=""),"",IF(ISNA(MATCH($A500,Activities!$A$2:$A$201,0)),"Unknown activity",IF(ISNA(MATCH($B500,Students!$A$2:$A$301,0)),"Unknown student",IF(D500="","No status",IF(COUNTIFS($A$2:$A$1001,$A500,$B$2:$B$1001,$B500)&gt;1,"Duplicate",IF(AND(D500&lt;&gt;"Withdrawn",G500&lt;&gt;"",COUNTIFS($B$2:$B$1001,$B500,$G$2:$G$1001,G500,$D$2:$D$1001,"&lt;&gt;Withdrawn")&gt;1),"Same-day clash","OK"))))))</f>
        <v/>
      </c>
    </row>
    <row r="501" customFormat="false" ht="15" hidden="false" customHeight="false" outlineLevel="0" collapsed="false">
      <c r="E501" s="26"/>
      <c r="G501" s="23" t="str">
        <f aca="false">IF($A501="","",IFERROR(IF(INDEX(Activities!$C$2:$C$201,MATCH($A501,Activities!$A$2:$A$201,0))="","",INDEX(Activities!$C$2:$C$201,MATCH($A501,Activities!$A$2:$A$201,0))),""))</f>
        <v/>
      </c>
      <c r="H501" s="24" t="str">
        <f aca="false">IF($A501="","",IFERROR(IF(INDEX(Activities!$B$2:$B$201,MATCH($A501,Activities!$A$2:$A$201,0))="","",INDEX(Activities!$B$2:$B$201,MATCH($A501,Activities!$A$2:$A$201,0))),""))</f>
        <v/>
      </c>
      <c r="I501" s="24" t="str">
        <f aca="false">IF($B501="","",IFERROR(IF(INDEX(Students!$C$2:$C$301,MATCH($B501,Students!$A$2:$A$301,0))="","",INDEX(Students!$C$2:$C$301,MATCH($B501,Students!$A$2:$A$301,0))),""))</f>
        <v/>
      </c>
      <c r="J501" s="24" t="str">
        <f aca="false">IF($B501="","",IFERROR(IF(INDEX(Students!$B$2:$B$301,MATCH($B501,Students!$A$2:$A$301,0))="","",INDEX(Students!$B$2:$B$301,MATCH($B501,Students!$A$2:$A$301,0))),""))</f>
        <v/>
      </c>
      <c r="K501" s="25" t="str">
        <f aca="false">IF($A501="","",IF(D501="Withdrawn",0,IF(E501&lt;&gt;"",N(E501),IFERROR(N(INDEX(Activities!$I$2:$I$201,MATCH($A501,Activities!$A$2:$A$201,0))),0))))</f>
        <v/>
      </c>
      <c r="L501" s="24" t="str">
        <f aca="false">IF(AND($A501="",$B501=""),"",IF(ISNA(MATCH($A501,Activities!$A$2:$A$201,0)),"Unknown activity",IF(ISNA(MATCH($B501,Students!$A$2:$A$301,0)),"Unknown student",IF(D501="","No status",IF(COUNTIFS($A$2:$A$1001,$A501,$B$2:$B$1001,$B501)&gt;1,"Duplicate",IF(AND(D501&lt;&gt;"Withdrawn",G501&lt;&gt;"",COUNTIFS($B$2:$B$1001,$B501,$G$2:$G$1001,G501,$D$2:$D$1001,"&lt;&gt;Withdrawn")&gt;1),"Same-day clash","OK"))))))</f>
        <v/>
      </c>
    </row>
    <row r="502" customFormat="false" ht="15" hidden="false" customHeight="false" outlineLevel="0" collapsed="false">
      <c r="E502" s="26"/>
      <c r="G502" s="23" t="str">
        <f aca="false">IF($A502="","",IFERROR(IF(INDEX(Activities!$C$2:$C$201,MATCH($A502,Activities!$A$2:$A$201,0))="","",INDEX(Activities!$C$2:$C$201,MATCH($A502,Activities!$A$2:$A$201,0))),""))</f>
        <v/>
      </c>
      <c r="H502" s="24" t="str">
        <f aca="false">IF($A502="","",IFERROR(IF(INDEX(Activities!$B$2:$B$201,MATCH($A502,Activities!$A$2:$A$201,0))="","",INDEX(Activities!$B$2:$B$201,MATCH($A502,Activities!$A$2:$A$201,0))),""))</f>
        <v/>
      </c>
      <c r="I502" s="24" t="str">
        <f aca="false">IF($B502="","",IFERROR(IF(INDEX(Students!$C$2:$C$301,MATCH($B502,Students!$A$2:$A$301,0))="","",INDEX(Students!$C$2:$C$301,MATCH($B502,Students!$A$2:$A$301,0))),""))</f>
        <v/>
      </c>
      <c r="J502" s="24" t="str">
        <f aca="false">IF($B502="","",IFERROR(IF(INDEX(Students!$B$2:$B$301,MATCH($B502,Students!$A$2:$A$301,0))="","",INDEX(Students!$B$2:$B$301,MATCH($B502,Students!$A$2:$A$301,0))),""))</f>
        <v/>
      </c>
      <c r="K502" s="25" t="str">
        <f aca="false">IF($A502="","",IF(D502="Withdrawn",0,IF(E502&lt;&gt;"",N(E502),IFERROR(N(INDEX(Activities!$I$2:$I$201,MATCH($A502,Activities!$A$2:$A$201,0))),0))))</f>
        <v/>
      </c>
      <c r="L502" s="24" t="str">
        <f aca="false">IF(AND($A502="",$B502=""),"",IF(ISNA(MATCH($A502,Activities!$A$2:$A$201,0)),"Unknown activity",IF(ISNA(MATCH($B502,Students!$A$2:$A$301,0)),"Unknown student",IF(D502="","No status",IF(COUNTIFS($A$2:$A$1001,$A502,$B$2:$B$1001,$B502)&gt;1,"Duplicate",IF(AND(D502&lt;&gt;"Withdrawn",G502&lt;&gt;"",COUNTIFS($B$2:$B$1001,$B502,$G$2:$G$1001,G502,$D$2:$D$1001,"&lt;&gt;Withdrawn")&gt;1),"Same-day clash","OK"))))))</f>
        <v/>
      </c>
    </row>
    <row r="503" customFormat="false" ht="15" hidden="false" customHeight="false" outlineLevel="0" collapsed="false">
      <c r="E503" s="26"/>
      <c r="G503" s="23" t="str">
        <f aca="false">IF($A503="","",IFERROR(IF(INDEX(Activities!$C$2:$C$201,MATCH($A503,Activities!$A$2:$A$201,0))="","",INDEX(Activities!$C$2:$C$201,MATCH($A503,Activities!$A$2:$A$201,0))),""))</f>
        <v/>
      </c>
      <c r="H503" s="24" t="str">
        <f aca="false">IF($A503="","",IFERROR(IF(INDEX(Activities!$B$2:$B$201,MATCH($A503,Activities!$A$2:$A$201,0))="","",INDEX(Activities!$B$2:$B$201,MATCH($A503,Activities!$A$2:$A$201,0))),""))</f>
        <v/>
      </c>
      <c r="I503" s="24" t="str">
        <f aca="false">IF($B503="","",IFERROR(IF(INDEX(Students!$C$2:$C$301,MATCH($B503,Students!$A$2:$A$301,0))="","",INDEX(Students!$C$2:$C$301,MATCH($B503,Students!$A$2:$A$301,0))),""))</f>
        <v/>
      </c>
      <c r="J503" s="24" t="str">
        <f aca="false">IF($B503="","",IFERROR(IF(INDEX(Students!$B$2:$B$301,MATCH($B503,Students!$A$2:$A$301,0))="","",INDEX(Students!$B$2:$B$301,MATCH($B503,Students!$A$2:$A$301,0))),""))</f>
        <v/>
      </c>
      <c r="K503" s="25" t="str">
        <f aca="false">IF($A503="","",IF(D503="Withdrawn",0,IF(E503&lt;&gt;"",N(E503),IFERROR(N(INDEX(Activities!$I$2:$I$201,MATCH($A503,Activities!$A$2:$A$201,0))),0))))</f>
        <v/>
      </c>
      <c r="L503" s="24" t="str">
        <f aca="false">IF(AND($A503="",$B503=""),"",IF(ISNA(MATCH($A503,Activities!$A$2:$A$201,0)),"Unknown activity",IF(ISNA(MATCH($B503,Students!$A$2:$A$301,0)),"Unknown student",IF(D503="","No status",IF(COUNTIFS($A$2:$A$1001,$A503,$B$2:$B$1001,$B503)&gt;1,"Duplicate",IF(AND(D503&lt;&gt;"Withdrawn",G503&lt;&gt;"",COUNTIFS($B$2:$B$1001,$B503,$G$2:$G$1001,G503,$D$2:$D$1001,"&lt;&gt;Withdrawn")&gt;1),"Same-day clash","OK"))))))</f>
        <v/>
      </c>
    </row>
    <row r="504" customFormat="false" ht="15" hidden="false" customHeight="false" outlineLevel="0" collapsed="false">
      <c r="E504" s="26"/>
      <c r="G504" s="23" t="str">
        <f aca="false">IF($A504="","",IFERROR(IF(INDEX(Activities!$C$2:$C$201,MATCH($A504,Activities!$A$2:$A$201,0))="","",INDEX(Activities!$C$2:$C$201,MATCH($A504,Activities!$A$2:$A$201,0))),""))</f>
        <v/>
      </c>
      <c r="H504" s="24" t="str">
        <f aca="false">IF($A504="","",IFERROR(IF(INDEX(Activities!$B$2:$B$201,MATCH($A504,Activities!$A$2:$A$201,0))="","",INDEX(Activities!$B$2:$B$201,MATCH($A504,Activities!$A$2:$A$201,0))),""))</f>
        <v/>
      </c>
      <c r="I504" s="24" t="str">
        <f aca="false">IF($B504="","",IFERROR(IF(INDEX(Students!$C$2:$C$301,MATCH($B504,Students!$A$2:$A$301,0))="","",INDEX(Students!$C$2:$C$301,MATCH($B504,Students!$A$2:$A$301,0))),""))</f>
        <v/>
      </c>
      <c r="J504" s="24" t="str">
        <f aca="false">IF($B504="","",IFERROR(IF(INDEX(Students!$B$2:$B$301,MATCH($B504,Students!$A$2:$A$301,0))="","",INDEX(Students!$B$2:$B$301,MATCH($B504,Students!$A$2:$A$301,0))),""))</f>
        <v/>
      </c>
      <c r="K504" s="25" t="str">
        <f aca="false">IF($A504="","",IF(D504="Withdrawn",0,IF(E504&lt;&gt;"",N(E504),IFERROR(N(INDEX(Activities!$I$2:$I$201,MATCH($A504,Activities!$A$2:$A$201,0))),0))))</f>
        <v/>
      </c>
      <c r="L504" s="24" t="str">
        <f aca="false">IF(AND($A504="",$B504=""),"",IF(ISNA(MATCH($A504,Activities!$A$2:$A$201,0)),"Unknown activity",IF(ISNA(MATCH($B504,Students!$A$2:$A$301,0)),"Unknown student",IF(D504="","No status",IF(COUNTIFS($A$2:$A$1001,$A504,$B$2:$B$1001,$B504)&gt;1,"Duplicate",IF(AND(D504&lt;&gt;"Withdrawn",G504&lt;&gt;"",COUNTIFS($B$2:$B$1001,$B504,$G$2:$G$1001,G504,$D$2:$D$1001,"&lt;&gt;Withdrawn")&gt;1),"Same-day clash","OK"))))))</f>
        <v/>
      </c>
    </row>
    <row r="505" customFormat="false" ht="15" hidden="false" customHeight="false" outlineLevel="0" collapsed="false">
      <c r="E505" s="26"/>
      <c r="G505" s="23" t="str">
        <f aca="false">IF($A505="","",IFERROR(IF(INDEX(Activities!$C$2:$C$201,MATCH($A505,Activities!$A$2:$A$201,0))="","",INDEX(Activities!$C$2:$C$201,MATCH($A505,Activities!$A$2:$A$201,0))),""))</f>
        <v/>
      </c>
      <c r="H505" s="24" t="str">
        <f aca="false">IF($A505="","",IFERROR(IF(INDEX(Activities!$B$2:$B$201,MATCH($A505,Activities!$A$2:$A$201,0))="","",INDEX(Activities!$B$2:$B$201,MATCH($A505,Activities!$A$2:$A$201,0))),""))</f>
        <v/>
      </c>
      <c r="I505" s="24" t="str">
        <f aca="false">IF($B505="","",IFERROR(IF(INDEX(Students!$C$2:$C$301,MATCH($B505,Students!$A$2:$A$301,0))="","",INDEX(Students!$C$2:$C$301,MATCH($B505,Students!$A$2:$A$301,0))),""))</f>
        <v/>
      </c>
      <c r="J505" s="24" t="str">
        <f aca="false">IF($B505="","",IFERROR(IF(INDEX(Students!$B$2:$B$301,MATCH($B505,Students!$A$2:$A$301,0))="","",INDEX(Students!$B$2:$B$301,MATCH($B505,Students!$A$2:$A$301,0))),""))</f>
        <v/>
      </c>
      <c r="K505" s="25" t="str">
        <f aca="false">IF($A505="","",IF(D505="Withdrawn",0,IF(E505&lt;&gt;"",N(E505),IFERROR(N(INDEX(Activities!$I$2:$I$201,MATCH($A505,Activities!$A$2:$A$201,0))),0))))</f>
        <v/>
      </c>
      <c r="L505" s="24" t="str">
        <f aca="false">IF(AND($A505="",$B505=""),"",IF(ISNA(MATCH($A505,Activities!$A$2:$A$201,0)),"Unknown activity",IF(ISNA(MATCH($B505,Students!$A$2:$A$301,0)),"Unknown student",IF(D505="","No status",IF(COUNTIFS($A$2:$A$1001,$A505,$B$2:$B$1001,$B505)&gt;1,"Duplicate",IF(AND(D505&lt;&gt;"Withdrawn",G505&lt;&gt;"",COUNTIFS($B$2:$B$1001,$B505,$G$2:$G$1001,G505,$D$2:$D$1001,"&lt;&gt;Withdrawn")&gt;1),"Same-day clash","OK"))))))</f>
        <v/>
      </c>
    </row>
    <row r="506" customFormat="false" ht="15" hidden="false" customHeight="false" outlineLevel="0" collapsed="false">
      <c r="E506" s="26"/>
      <c r="G506" s="23" t="str">
        <f aca="false">IF($A506="","",IFERROR(IF(INDEX(Activities!$C$2:$C$201,MATCH($A506,Activities!$A$2:$A$201,0))="","",INDEX(Activities!$C$2:$C$201,MATCH($A506,Activities!$A$2:$A$201,0))),""))</f>
        <v/>
      </c>
      <c r="H506" s="24" t="str">
        <f aca="false">IF($A506="","",IFERROR(IF(INDEX(Activities!$B$2:$B$201,MATCH($A506,Activities!$A$2:$A$201,0))="","",INDEX(Activities!$B$2:$B$201,MATCH($A506,Activities!$A$2:$A$201,0))),""))</f>
        <v/>
      </c>
      <c r="I506" s="24" t="str">
        <f aca="false">IF($B506="","",IFERROR(IF(INDEX(Students!$C$2:$C$301,MATCH($B506,Students!$A$2:$A$301,0))="","",INDEX(Students!$C$2:$C$301,MATCH($B506,Students!$A$2:$A$301,0))),""))</f>
        <v/>
      </c>
      <c r="J506" s="24" t="str">
        <f aca="false">IF($B506="","",IFERROR(IF(INDEX(Students!$B$2:$B$301,MATCH($B506,Students!$A$2:$A$301,0))="","",INDEX(Students!$B$2:$B$301,MATCH($B506,Students!$A$2:$A$301,0))),""))</f>
        <v/>
      </c>
      <c r="K506" s="25" t="str">
        <f aca="false">IF($A506="","",IF(D506="Withdrawn",0,IF(E506&lt;&gt;"",N(E506),IFERROR(N(INDEX(Activities!$I$2:$I$201,MATCH($A506,Activities!$A$2:$A$201,0))),0))))</f>
        <v/>
      </c>
      <c r="L506" s="24" t="str">
        <f aca="false">IF(AND($A506="",$B506=""),"",IF(ISNA(MATCH($A506,Activities!$A$2:$A$201,0)),"Unknown activity",IF(ISNA(MATCH($B506,Students!$A$2:$A$301,0)),"Unknown student",IF(D506="","No status",IF(COUNTIFS($A$2:$A$1001,$A506,$B$2:$B$1001,$B506)&gt;1,"Duplicate",IF(AND(D506&lt;&gt;"Withdrawn",G506&lt;&gt;"",COUNTIFS($B$2:$B$1001,$B506,$G$2:$G$1001,G506,$D$2:$D$1001,"&lt;&gt;Withdrawn")&gt;1),"Same-day clash","OK"))))))</f>
        <v/>
      </c>
    </row>
    <row r="507" customFormat="false" ht="15" hidden="false" customHeight="false" outlineLevel="0" collapsed="false">
      <c r="E507" s="26"/>
      <c r="G507" s="23" t="str">
        <f aca="false">IF($A507="","",IFERROR(IF(INDEX(Activities!$C$2:$C$201,MATCH($A507,Activities!$A$2:$A$201,0))="","",INDEX(Activities!$C$2:$C$201,MATCH($A507,Activities!$A$2:$A$201,0))),""))</f>
        <v/>
      </c>
      <c r="H507" s="24" t="str">
        <f aca="false">IF($A507="","",IFERROR(IF(INDEX(Activities!$B$2:$B$201,MATCH($A507,Activities!$A$2:$A$201,0))="","",INDEX(Activities!$B$2:$B$201,MATCH($A507,Activities!$A$2:$A$201,0))),""))</f>
        <v/>
      </c>
      <c r="I507" s="24" t="str">
        <f aca="false">IF($B507="","",IFERROR(IF(INDEX(Students!$C$2:$C$301,MATCH($B507,Students!$A$2:$A$301,0))="","",INDEX(Students!$C$2:$C$301,MATCH($B507,Students!$A$2:$A$301,0))),""))</f>
        <v/>
      </c>
      <c r="J507" s="24" t="str">
        <f aca="false">IF($B507="","",IFERROR(IF(INDEX(Students!$B$2:$B$301,MATCH($B507,Students!$A$2:$A$301,0))="","",INDEX(Students!$B$2:$B$301,MATCH($B507,Students!$A$2:$A$301,0))),""))</f>
        <v/>
      </c>
      <c r="K507" s="25" t="str">
        <f aca="false">IF($A507="","",IF(D507="Withdrawn",0,IF(E507&lt;&gt;"",N(E507),IFERROR(N(INDEX(Activities!$I$2:$I$201,MATCH($A507,Activities!$A$2:$A$201,0))),0))))</f>
        <v/>
      </c>
      <c r="L507" s="24" t="str">
        <f aca="false">IF(AND($A507="",$B507=""),"",IF(ISNA(MATCH($A507,Activities!$A$2:$A$201,0)),"Unknown activity",IF(ISNA(MATCH($B507,Students!$A$2:$A$301,0)),"Unknown student",IF(D507="","No status",IF(COUNTIFS($A$2:$A$1001,$A507,$B$2:$B$1001,$B507)&gt;1,"Duplicate",IF(AND(D507&lt;&gt;"Withdrawn",G507&lt;&gt;"",COUNTIFS($B$2:$B$1001,$B507,$G$2:$G$1001,G507,$D$2:$D$1001,"&lt;&gt;Withdrawn")&gt;1),"Same-day clash","OK"))))))</f>
        <v/>
      </c>
    </row>
    <row r="508" customFormat="false" ht="15" hidden="false" customHeight="false" outlineLevel="0" collapsed="false">
      <c r="E508" s="26"/>
      <c r="G508" s="23" t="str">
        <f aca="false">IF($A508="","",IFERROR(IF(INDEX(Activities!$C$2:$C$201,MATCH($A508,Activities!$A$2:$A$201,0))="","",INDEX(Activities!$C$2:$C$201,MATCH($A508,Activities!$A$2:$A$201,0))),""))</f>
        <v/>
      </c>
      <c r="H508" s="24" t="str">
        <f aca="false">IF($A508="","",IFERROR(IF(INDEX(Activities!$B$2:$B$201,MATCH($A508,Activities!$A$2:$A$201,0))="","",INDEX(Activities!$B$2:$B$201,MATCH($A508,Activities!$A$2:$A$201,0))),""))</f>
        <v/>
      </c>
      <c r="I508" s="24" t="str">
        <f aca="false">IF($B508="","",IFERROR(IF(INDEX(Students!$C$2:$C$301,MATCH($B508,Students!$A$2:$A$301,0))="","",INDEX(Students!$C$2:$C$301,MATCH($B508,Students!$A$2:$A$301,0))),""))</f>
        <v/>
      </c>
      <c r="J508" s="24" t="str">
        <f aca="false">IF($B508="","",IFERROR(IF(INDEX(Students!$B$2:$B$301,MATCH($B508,Students!$A$2:$A$301,0))="","",INDEX(Students!$B$2:$B$301,MATCH($B508,Students!$A$2:$A$301,0))),""))</f>
        <v/>
      </c>
      <c r="K508" s="25" t="str">
        <f aca="false">IF($A508="","",IF(D508="Withdrawn",0,IF(E508&lt;&gt;"",N(E508),IFERROR(N(INDEX(Activities!$I$2:$I$201,MATCH($A508,Activities!$A$2:$A$201,0))),0))))</f>
        <v/>
      </c>
      <c r="L508" s="24" t="str">
        <f aca="false">IF(AND($A508="",$B508=""),"",IF(ISNA(MATCH($A508,Activities!$A$2:$A$201,0)),"Unknown activity",IF(ISNA(MATCH($B508,Students!$A$2:$A$301,0)),"Unknown student",IF(D508="","No status",IF(COUNTIFS($A$2:$A$1001,$A508,$B$2:$B$1001,$B508)&gt;1,"Duplicate",IF(AND(D508&lt;&gt;"Withdrawn",G508&lt;&gt;"",COUNTIFS($B$2:$B$1001,$B508,$G$2:$G$1001,G508,$D$2:$D$1001,"&lt;&gt;Withdrawn")&gt;1),"Same-day clash","OK"))))))</f>
        <v/>
      </c>
    </row>
    <row r="509" customFormat="false" ht="15" hidden="false" customHeight="false" outlineLevel="0" collapsed="false">
      <c r="E509" s="26"/>
      <c r="G509" s="23" t="str">
        <f aca="false">IF($A509="","",IFERROR(IF(INDEX(Activities!$C$2:$C$201,MATCH($A509,Activities!$A$2:$A$201,0))="","",INDEX(Activities!$C$2:$C$201,MATCH($A509,Activities!$A$2:$A$201,0))),""))</f>
        <v/>
      </c>
      <c r="H509" s="24" t="str">
        <f aca="false">IF($A509="","",IFERROR(IF(INDEX(Activities!$B$2:$B$201,MATCH($A509,Activities!$A$2:$A$201,0))="","",INDEX(Activities!$B$2:$B$201,MATCH($A509,Activities!$A$2:$A$201,0))),""))</f>
        <v/>
      </c>
      <c r="I509" s="24" t="str">
        <f aca="false">IF($B509="","",IFERROR(IF(INDEX(Students!$C$2:$C$301,MATCH($B509,Students!$A$2:$A$301,0))="","",INDEX(Students!$C$2:$C$301,MATCH($B509,Students!$A$2:$A$301,0))),""))</f>
        <v/>
      </c>
      <c r="J509" s="24" t="str">
        <f aca="false">IF($B509="","",IFERROR(IF(INDEX(Students!$B$2:$B$301,MATCH($B509,Students!$A$2:$A$301,0))="","",INDEX(Students!$B$2:$B$301,MATCH($B509,Students!$A$2:$A$301,0))),""))</f>
        <v/>
      </c>
      <c r="K509" s="25" t="str">
        <f aca="false">IF($A509="","",IF(D509="Withdrawn",0,IF(E509&lt;&gt;"",N(E509),IFERROR(N(INDEX(Activities!$I$2:$I$201,MATCH($A509,Activities!$A$2:$A$201,0))),0))))</f>
        <v/>
      </c>
      <c r="L509" s="24" t="str">
        <f aca="false">IF(AND($A509="",$B509=""),"",IF(ISNA(MATCH($A509,Activities!$A$2:$A$201,0)),"Unknown activity",IF(ISNA(MATCH($B509,Students!$A$2:$A$301,0)),"Unknown student",IF(D509="","No status",IF(COUNTIFS($A$2:$A$1001,$A509,$B$2:$B$1001,$B509)&gt;1,"Duplicate",IF(AND(D509&lt;&gt;"Withdrawn",G509&lt;&gt;"",COUNTIFS($B$2:$B$1001,$B509,$G$2:$G$1001,G509,$D$2:$D$1001,"&lt;&gt;Withdrawn")&gt;1),"Same-day clash","OK"))))))</f>
        <v/>
      </c>
    </row>
    <row r="510" customFormat="false" ht="15" hidden="false" customHeight="false" outlineLevel="0" collapsed="false">
      <c r="E510" s="26"/>
      <c r="G510" s="23" t="str">
        <f aca="false">IF($A510="","",IFERROR(IF(INDEX(Activities!$C$2:$C$201,MATCH($A510,Activities!$A$2:$A$201,0))="","",INDEX(Activities!$C$2:$C$201,MATCH($A510,Activities!$A$2:$A$201,0))),""))</f>
        <v/>
      </c>
      <c r="H510" s="24" t="str">
        <f aca="false">IF($A510="","",IFERROR(IF(INDEX(Activities!$B$2:$B$201,MATCH($A510,Activities!$A$2:$A$201,0))="","",INDEX(Activities!$B$2:$B$201,MATCH($A510,Activities!$A$2:$A$201,0))),""))</f>
        <v/>
      </c>
      <c r="I510" s="24" t="str">
        <f aca="false">IF($B510="","",IFERROR(IF(INDEX(Students!$C$2:$C$301,MATCH($B510,Students!$A$2:$A$301,0))="","",INDEX(Students!$C$2:$C$301,MATCH($B510,Students!$A$2:$A$301,0))),""))</f>
        <v/>
      </c>
      <c r="J510" s="24" t="str">
        <f aca="false">IF($B510="","",IFERROR(IF(INDEX(Students!$B$2:$B$301,MATCH($B510,Students!$A$2:$A$301,0))="","",INDEX(Students!$B$2:$B$301,MATCH($B510,Students!$A$2:$A$301,0))),""))</f>
        <v/>
      </c>
      <c r="K510" s="25" t="str">
        <f aca="false">IF($A510="","",IF(D510="Withdrawn",0,IF(E510&lt;&gt;"",N(E510),IFERROR(N(INDEX(Activities!$I$2:$I$201,MATCH($A510,Activities!$A$2:$A$201,0))),0))))</f>
        <v/>
      </c>
      <c r="L510" s="24" t="str">
        <f aca="false">IF(AND($A510="",$B510=""),"",IF(ISNA(MATCH($A510,Activities!$A$2:$A$201,0)),"Unknown activity",IF(ISNA(MATCH($B510,Students!$A$2:$A$301,0)),"Unknown student",IF(D510="","No status",IF(COUNTIFS($A$2:$A$1001,$A510,$B$2:$B$1001,$B510)&gt;1,"Duplicate",IF(AND(D510&lt;&gt;"Withdrawn",G510&lt;&gt;"",COUNTIFS($B$2:$B$1001,$B510,$G$2:$G$1001,G510,$D$2:$D$1001,"&lt;&gt;Withdrawn")&gt;1),"Same-day clash","OK"))))))</f>
        <v/>
      </c>
    </row>
    <row r="511" customFormat="false" ht="15" hidden="false" customHeight="false" outlineLevel="0" collapsed="false">
      <c r="E511" s="26"/>
      <c r="G511" s="23" t="str">
        <f aca="false">IF($A511="","",IFERROR(IF(INDEX(Activities!$C$2:$C$201,MATCH($A511,Activities!$A$2:$A$201,0))="","",INDEX(Activities!$C$2:$C$201,MATCH($A511,Activities!$A$2:$A$201,0))),""))</f>
        <v/>
      </c>
      <c r="H511" s="24" t="str">
        <f aca="false">IF($A511="","",IFERROR(IF(INDEX(Activities!$B$2:$B$201,MATCH($A511,Activities!$A$2:$A$201,0))="","",INDEX(Activities!$B$2:$B$201,MATCH($A511,Activities!$A$2:$A$201,0))),""))</f>
        <v/>
      </c>
      <c r="I511" s="24" t="str">
        <f aca="false">IF($B511="","",IFERROR(IF(INDEX(Students!$C$2:$C$301,MATCH($B511,Students!$A$2:$A$301,0))="","",INDEX(Students!$C$2:$C$301,MATCH($B511,Students!$A$2:$A$301,0))),""))</f>
        <v/>
      </c>
      <c r="J511" s="24" t="str">
        <f aca="false">IF($B511="","",IFERROR(IF(INDEX(Students!$B$2:$B$301,MATCH($B511,Students!$A$2:$A$301,0))="","",INDEX(Students!$B$2:$B$301,MATCH($B511,Students!$A$2:$A$301,0))),""))</f>
        <v/>
      </c>
      <c r="K511" s="25" t="str">
        <f aca="false">IF($A511="","",IF(D511="Withdrawn",0,IF(E511&lt;&gt;"",N(E511),IFERROR(N(INDEX(Activities!$I$2:$I$201,MATCH($A511,Activities!$A$2:$A$201,0))),0))))</f>
        <v/>
      </c>
      <c r="L511" s="24" t="str">
        <f aca="false">IF(AND($A511="",$B511=""),"",IF(ISNA(MATCH($A511,Activities!$A$2:$A$201,0)),"Unknown activity",IF(ISNA(MATCH($B511,Students!$A$2:$A$301,0)),"Unknown student",IF(D511="","No status",IF(COUNTIFS($A$2:$A$1001,$A511,$B$2:$B$1001,$B511)&gt;1,"Duplicate",IF(AND(D511&lt;&gt;"Withdrawn",G511&lt;&gt;"",COUNTIFS($B$2:$B$1001,$B511,$G$2:$G$1001,G511,$D$2:$D$1001,"&lt;&gt;Withdrawn")&gt;1),"Same-day clash","OK"))))))</f>
        <v/>
      </c>
    </row>
    <row r="512" customFormat="false" ht="15" hidden="false" customHeight="false" outlineLevel="0" collapsed="false">
      <c r="E512" s="26"/>
      <c r="G512" s="23" t="str">
        <f aca="false">IF($A512="","",IFERROR(IF(INDEX(Activities!$C$2:$C$201,MATCH($A512,Activities!$A$2:$A$201,0))="","",INDEX(Activities!$C$2:$C$201,MATCH($A512,Activities!$A$2:$A$201,0))),""))</f>
        <v/>
      </c>
      <c r="H512" s="24" t="str">
        <f aca="false">IF($A512="","",IFERROR(IF(INDEX(Activities!$B$2:$B$201,MATCH($A512,Activities!$A$2:$A$201,0))="","",INDEX(Activities!$B$2:$B$201,MATCH($A512,Activities!$A$2:$A$201,0))),""))</f>
        <v/>
      </c>
      <c r="I512" s="24" t="str">
        <f aca="false">IF($B512="","",IFERROR(IF(INDEX(Students!$C$2:$C$301,MATCH($B512,Students!$A$2:$A$301,0))="","",INDEX(Students!$C$2:$C$301,MATCH($B512,Students!$A$2:$A$301,0))),""))</f>
        <v/>
      </c>
      <c r="J512" s="24" t="str">
        <f aca="false">IF($B512="","",IFERROR(IF(INDEX(Students!$B$2:$B$301,MATCH($B512,Students!$A$2:$A$301,0))="","",INDEX(Students!$B$2:$B$301,MATCH($B512,Students!$A$2:$A$301,0))),""))</f>
        <v/>
      </c>
      <c r="K512" s="25" t="str">
        <f aca="false">IF($A512="","",IF(D512="Withdrawn",0,IF(E512&lt;&gt;"",N(E512),IFERROR(N(INDEX(Activities!$I$2:$I$201,MATCH($A512,Activities!$A$2:$A$201,0))),0))))</f>
        <v/>
      </c>
      <c r="L512" s="24" t="str">
        <f aca="false">IF(AND($A512="",$B512=""),"",IF(ISNA(MATCH($A512,Activities!$A$2:$A$201,0)),"Unknown activity",IF(ISNA(MATCH($B512,Students!$A$2:$A$301,0)),"Unknown student",IF(D512="","No status",IF(COUNTIFS($A$2:$A$1001,$A512,$B$2:$B$1001,$B512)&gt;1,"Duplicate",IF(AND(D512&lt;&gt;"Withdrawn",G512&lt;&gt;"",COUNTIFS($B$2:$B$1001,$B512,$G$2:$G$1001,G512,$D$2:$D$1001,"&lt;&gt;Withdrawn")&gt;1),"Same-day clash","OK"))))))</f>
        <v/>
      </c>
    </row>
    <row r="513" customFormat="false" ht="15" hidden="false" customHeight="false" outlineLevel="0" collapsed="false">
      <c r="E513" s="26"/>
      <c r="G513" s="23" t="str">
        <f aca="false">IF($A513="","",IFERROR(IF(INDEX(Activities!$C$2:$C$201,MATCH($A513,Activities!$A$2:$A$201,0))="","",INDEX(Activities!$C$2:$C$201,MATCH($A513,Activities!$A$2:$A$201,0))),""))</f>
        <v/>
      </c>
      <c r="H513" s="24" t="str">
        <f aca="false">IF($A513="","",IFERROR(IF(INDEX(Activities!$B$2:$B$201,MATCH($A513,Activities!$A$2:$A$201,0))="","",INDEX(Activities!$B$2:$B$201,MATCH($A513,Activities!$A$2:$A$201,0))),""))</f>
        <v/>
      </c>
      <c r="I513" s="24" t="str">
        <f aca="false">IF($B513="","",IFERROR(IF(INDEX(Students!$C$2:$C$301,MATCH($B513,Students!$A$2:$A$301,0))="","",INDEX(Students!$C$2:$C$301,MATCH($B513,Students!$A$2:$A$301,0))),""))</f>
        <v/>
      </c>
      <c r="J513" s="24" t="str">
        <f aca="false">IF($B513="","",IFERROR(IF(INDEX(Students!$B$2:$B$301,MATCH($B513,Students!$A$2:$A$301,0))="","",INDEX(Students!$B$2:$B$301,MATCH($B513,Students!$A$2:$A$301,0))),""))</f>
        <v/>
      </c>
      <c r="K513" s="25" t="str">
        <f aca="false">IF($A513="","",IF(D513="Withdrawn",0,IF(E513&lt;&gt;"",N(E513),IFERROR(N(INDEX(Activities!$I$2:$I$201,MATCH($A513,Activities!$A$2:$A$201,0))),0))))</f>
        <v/>
      </c>
      <c r="L513" s="24" t="str">
        <f aca="false">IF(AND($A513="",$B513=""),"",IF(ISNA(MATCH($A513,Activities!$A$2:$A$201,0)),"Unknown activity",IF(ISNA(MATCH($B513,Students!$A$2:$A$301,0)),"Unknown student",IF(D513="","No status",IF(COUNTIFS($A$2:$A$1001,$A513,$B$2:$B$1001,$B513)&gt;1,"Duplicate",IF(AND(D513&lt;&gt;"Withdrawn",G513&lt;&gt;"",COUNTIFS($B$2:$B$1001,$B513,$G$2:$G$1001,G513,$D$2:$D$1001,"&lt;&gt;Withdrawn")&gt;1),"Same-day clash","OK"))))))</f>
        <v/>
      </c>
    </row>
    <row r="514" customFormat="false" ht="15" hidden="false" customHeight="false" outlineLevel="0" collapsed="false">
      <c r="E514" s="26"/>
      <c r="G514" s="23" t="str">
        <f aca="false">IF($A514="","",IFERROR(IF(INDEX(Activities!$C$2:$C$201,MATCH($A514,Activities!$A$2:$A$201,0))="","",INDEX(Activities!$C$2:$C$201,MATCH($A514,Activities!$A$2:$A$201,0))),""))</f>
        <v/>
      </c>
      <c r="H514" s="24" t="str">
        <f aca="false">IF($A514="","",IFERROR(IF(INDEX(Activities!$B$2:$B$201,MATCH($A514,Activities!$A$2:$A$201,0))="","",INDEX(Activities!$B$2:$B$201,MATCH($A514,Activities!$A$2:$A$201,0))),""))</f>
        <v/>
      </c>
      <c r="I514" s="24" t="str">
        <f aca="false">IF($B514="","",IFERROR(IF(INDEX(Students!$C$2:$C$301,MATCH($B514,Students!$A$2:$A$301,0))="","",INDEX(Students!$C$2:$C$301,MATCH($B514,Students!$A$2:$A$301,0))),""))</f>
        <v/>
      </c>
      <c r="J514" s="24" t="str">
        <f aca="false">IF($B514="","",IFERROR(IF(INDEX(Students!$B$2:$B$301,MATCH($B514,Students!$A$2:$A$301,0))="","",INDEX(Students!$B$2:$B$301,MATCH($B514,Students!$A$2:$A$301,0))),""))</f>
        <v/>
      </c>
      <c r="K514" s="25" t="str">
        <f aca="false">IF($A514="","",IF(D514="Withdrawn",0,IF(E514&lt;&gt;"",N(E514),IFERROR(N(INDEX(Activities!$I$2:$I$201,MATCH($A514,Activities!$A$2:$A$201,0))),0))))</f>
        <v/>
      </c>
      <c r="L514" s="24" t="str">
        <f aca="false">IF(AND($A514="",$B514=""),"",IF(ISNA(MATCH($A514,Activities!$A$2:$A$201,0)),"Unknown activity",IF(ISNA(MATCH($B514,Students!$A$2:$A$301,0)),"Unknown student",IF(D514="","No status",IF(COUNTIFS($A$2:$A$1001,$A514,$B$2:$B$1001,$B514)&gt;1,"Duplicate",IF(AND(D514&lt;&gt;"Withdrawn",G514&lt;&gt;"",COUNTIFS($B$2:$B$1001,$B514,$G$2:$G$1001,G514,$D$2:$D$1001,"&lt;&gt;Withdrawn")&gt;1),"Same-day clash","OK"))))))</f>
        <v/>
      </c>
    </row>
    <row r="515" customFormat="false" ht="15" hidden="false" customHeight="false" outlineLevel="0" collapsed="false">
      <c r="E515" s="26"/>
      <c r="G515" s="23" t="str">
        <f aca="false">IF($A515="","",IFERROR(IF(INDEX(Activities!$C$2:$C$201,MATCH($A515,Activities!$A$2:$A$201,0))="","",INDEX(Activities!$C$2:$C$201,MATCH($A515,Activities!$A$2:$A$201,0))),""))</f>
        <v/>
      </c>
      <c r="H515" s="24" t="str">
        <f aca="false">IF($A515="","",IFERROR(IF(INDEX(Activities!$B$2:$B$201,MATCH($A515,Activities!$A$2:$A$201,0))="","",INDEX(Activities!$B$2:$B$201,MATCH($A515,Activities!$A$2:$A$201,0))),""))</f>
        <v/>
      </c>
      <c r="I515" s="24" t="str">
        <f aca="false">IF($B515="","",IFERROR(IF(INDEX(Students!$C$2:$C$301,MATCH($B515,Students!$A$2:$A$301,0))="","",INDEX(Students!$C$2:$C$301,MATCH($B515,Students!$A$2:$A$301,0))),""))</f>
        <v/>
      </c>
      <c r="J515" s="24" t="str">
        <f aca="false">IF($B515="","",IFERROR(IF(INDEX(Students!$B$2:$B$301,MATCH($B515,Students!$A$2:$A$301,0))="","",INDEX(Students!$B$2:$B$301,MATCH($B515,Students!$A$2:$A$301,0))),""))</f>
        <v/>
      </c>
      <c r="K515" s="25" t="str">
        <f aca="false">IF($A515="","",IF(D515="Withdrawn",0,IF(E515&lt;&gt;"",N(E515),IFERROR(N(INDEX(Activities!$I$2:$I$201,MATCH($A515,Activities!$A$2:$A$201,0))),0))))</f>
        <v/>
      </c>
      <c r="L515" s="24" t="str">
        <f aca="false">IF(AND($A515="",$B515=""),"",IF(ISNA(MATCH($A515,Activities!$A$2:$A$201,0)),"Unknown activity",IF(ISNA(MATCH($B515,Students!$A$2:$A$301,0)),"Unknown student",IF(D515="","No status",IF(COUNTIFS($A$2:$A$1001,$A515,$B$2:$B$1001,$B515)&gt;1,"Duplicate",IF(AND(D515&lt;&gt;"Withdrawn",G515&lt;&gt;"",COUNTIFS($B$2:$B$1001,$B515,$G$2:$G$1001,G515,$D$2:$D$1001,"&lt;&gt;Withdrawn")&gt;1),"Same-day clash","OK"))))))</f>
        <v/>
      </c>
    </row>
    <row r="516" customFormat="false" ht="15" hidden="false" customHeight="false" outlineLevel="0" collapsed="false">
      <c r="E516" s="26"/>
      <c r="G516" s="23" t="str">
        <f aca="false">IF($A516="","",IFERROR(IF(INDEX(Activities!$C$2:$C$201,MATCH($A516,Activities!$A$2:$A$201,0))="","",INDEX(Activities!$C$2:$C$201,MATCH($A516,Activities!$A$2:$A$201,0))),""))</f>
        <v/>
      </c>
      <c r="H516" s="24" t="str">
        <f aca="false">IF($A516="","",IFERROR(IF(INDEX(Activities!$B$2:$B$201,MATCH($A516,Activities!$A$2:$A$201,0))="","",INDEX(Activities!$B$2:$B$201,MATCH($A516,Activities!$A$2:$A$201,0))),""))</f>
        <v/>
      </c>
      <c r="I516" s="24" t="str">
        <f aca="false">IF($B516="","",IFERROR(IF(INDEX(Students!$C$2:$C$301,MATCH($B516,Students!$A$2:$A$301,0))="","",INDEX(Students!$C$2:$C$301,MATCH($B516,Students!$A$2:$A$301,0))),""))</f>
        <v/>
      </c>
      <c r="J516" s="24" t="str">
        <f aca="false">IF($B516="","",IFERROR(IF(INDEX(Students!$B$2:$B$301,MATCH($B516,Students!$A$2:$A$301,0))="","",INDEX(Students!$B$2:$B$301,MATCH($B516,Students!$A$2:$A$301,0))),""))</f>
        <v/>
      </c>
      <c r="K516" s="25" t="str">
        <f aca="false">IF($A516="","",IF(D516="Withdrawn",0,IF(E516&lt;&gt;"",N(E516),IFERROR(N(INDEX(Activities!$I$2:$I$201,MATCH($A516,Activities!$A$2:$A$201,0))),0))))</f>
        <v/>
      </c>
      <c r="L516" s="24" t="str">
        <f aca="false">IF(AND($A516="",$B516=""),"",IF(ISNA(MATCH($A516,Activities!$A$2:$A$201,0)),"Unknown activity",IF(ISNA(MATCH($B516,Students!$A$2:$A$301,0)),"Unknown student",IF(D516="","No status",IF(COUNTIFS($A$2:$A$1001,$A516,$B$2:$B$1001,$B516)&gt;1,"Duplicate",IF(AND(D516&lt;&gt;"Withdrawn",G516&lt;&gt;"",COUNTIFS($B$2:$B$1001,$B516,$G$2:$G$1001,G516,$D$2:$D$1001,"&lt;&gt;Withdrawn")&gt;1),"Same-day clash","OK"))))))</f>
        <v/>
      </c>
    </row>
    <row r="517" customFormat="false" ht="15" hidden="false" customHeight="false" outlineLevel="0" collapsed="false">
      <c r="E517" s="26"/>
      <c r="G517" s="23" t="str">
        <f aca="false">IF($A517="","",IFERROR(IF(INDEX(Activities!$C$2:$C$201,MATCH($A517,Activities!$A$2:$A$201,0))="","",INDEX(Activities!$C$2:$C$201,MATCH($A517,Activities!$A$2:$A$201,0))),""))</f>
        <v/>
      </c>
      <c r="H517" s="24" t="str">
        <f aca="false">IF($A517="","",IFERROR(IF(INDEX(Activities!$B$2:$B$201,MATCH($A517,Activities!$A$2:$A$201,0))="","",INDEX(Activities!$B$2:$B$201,MATCH($A517,Activities!$A$2:$A$201,0))),""))</f>
        <v/>
      </c>
      <c r="I517" s="24" t="str">
        <f aca="false">IF($B517="","",IFERROR(IF(INDEX(Students!$C$2:$C$301,MATCH($B517,Students!$A$2:$A$301,0))="","",INDEX(Students!$C$2:$C$301,MATCH($B517,Students!$A$2:$A$301,0))),""))</f>
        <v/>
      </c>
      <c r="J517" s="24" t="str">
        <f aca="false">IF($B517="","",IFERROR(IF(INDEX(Students!$B$2:$B$301,MATCH($B517,Students!$A$2:$A$301,0))="","",INDEX(Students!$B$2:$B$301,MATCH($B517,Students!$A$2:$A$301,0))),""))</f>
        <v/>
      </c>
      <c r="K517" s="25" t="str">
        <f aca="false">IF($A517="","",IF(D517="Withdrawn",0,IF(E517&lt;&gt;"",N(E517),IFERROR(N(INDEX(Activities!$I$2:$I$201,MATCH($A517,Activities!$A$2:$A$201,0))),0))))</f>
        <v/>
      </c>
      <c r="L517" s="24" t="str">
        <f aca="false">IF(AND($A517="",$B517=""),"",IF(ISNA(MATCH($A517,Activities!$A$2:$A$201,0)),"Unknown activity",IF(ISNA(MATCH($B517,Students!$A$2:$A$301,0)),"Unknown student",IF(D517="","No status",IF(COUNTIFS($A$2:$A$1001,$A517,$B$2:$B$1001,$B517)&gt;1,"Duplicate",IF(AND(D517&lt;&gt;"Withdrawn",G517&lt;&gt;"",COUNTIFS($B$2:$B$1001,$B517,$G$2:$G$1001,G517,$D$2:$D$1001,"&lt;&gt;Withdrawn")&gt;1),"Same-day clash","OK"))))))</f>
        <v/>
      </c>
    </row>
    <row r="518" customFormat="false" ht="15" hidden="false" customHeight="false" outlineLevel="0" collapsed="false">
      <c r="E518" s="26"/>
      <c r="G518" s="23" t="str">
        <f aca="false">IF($A518="","",IFERROR(IF(INDEX(Activities!$C$2:$C$201,MATCH($A518,Activities!$A$2:$A$201,0))="","",INDEX(Activities!$C$2:$C$201,MATCH($A518,Activities!$A$2:$A$201,0))),""))</f>
        <v/>
      </c>
      <c r="H518" s="24" t="str">
        <f aca="false">IF($A518="","",IFERROR(IF(INDEX(Activities!$B$2:$B$201,MATCH($A518,Activities!$A$2:$A$201,0))="","",INDEX(Activities!$B$2:$B$201,MATCH($A518,Activities!$A$2:$A$201,0))),""))</f>
        <v/>
      </c>
      <c r="I518" s="24" t="str">
        <f aca="false">IF($B518="","",IFERROR(IF(INDEX(Students!$C$2:$C$301,MATCH($B518,Students!$A$2:$A$301,0))="","",INDEX(Students!$C$2:$C$301,MATCH($B518,Students!$A$2:$A$301,0))),""))</f>
        <v/>
      </c>
      <c r="J518" s="24" t="str">
        <f aca="false">IF($B518="","",IFERROR(IF(INDEX(Students!$B$2:$B$301,MATCH($B518,Students!$A$2:$A$301,0))="","",INDEX(Students!$B$2:$B$301,MATCH($B518,Students!$A$2:$A$301,0))),""))</f>
        <v/>
      </c>
      <c r="K518" s="25" t="str">
        <f aca="false">IF($A518="","",IF(D518="Withdrawn",0,IF(E518&lt;&gt;"",N(E518),IFERROR(N(INDEX(Activities!$I$2:$I$201,MATCH($A518,Activities!$A$2:$A$201,0))),0))))</f>
        <v/>
      </c>
      <c r="L518" s="24" t="str">
        <f aca="false">IF(AND($A518="",$B518=""),"",IF(ISNA(MATCH($A518,Activities!$A$2:$A$201,0)),"Unknown activity",IF(ISNA(MATCH($B518,Students!$A$2:$A$301,0)),"Unknown student",IF(D518="","No status",IF(COUNTIFS($A$2:$A$1001,$A518,$B$2:$B$1001,$B518)&gt;1,"Duplicate",IF(AND(D518&lt;&gt;"Withdrawn",G518&lt;&gt;"",COUNTIFS($B$2:$B$1001,$B518,$G$2:$G$1001,G518,$D$2:$D$1001,"&lt;&gt;Withdrawn")&gt;1),"Same-day clash","OK"))))))</f>
        <v/>
      </c>
    </row>
    <row r="519" customFormat="false" ht="15" hidden="false" customHeight="false" outlineLevel="0" collapsed="false">
      <c r="E519" s="26"/>
      <c r="G519" s="23" t="str">
        <f aca="false">IF($A519="","",IFERROR(IF(INDEX(Activities!$C$2:$C$201,MATCH($A519,Activities!$A$2:$A$201,0))="","",INDEX(Activities!$C$2:$C$201,MATCH($A519,Activities!$A$2:$A$201,0))),""))</f>
        <v/>
      </c>
      <c r="H519" s="24" t="str">
        <f aca="false">IF($A519="","",IFERROR(IF(INDEX(Activities!$B$2:$B$201,MATCH($A519,Activities!$A$2:$A$201,0))="","",INDEX(Activities!$B$2:$B$201,MATCH($A519,Activities!$A$2:$A$201,0))),""))</f>
        <v/>
      </c>
      <c r="I519" s="24" t="str">
        <f aca="false">IF($B519="","",IFERROR(IF(INDEX(Students!$C$2:$C$301,MATCH($B519,Students!$A$2:$A$301,0))="","",INDEX(Students!$C$2:$C$301,MATCH($B519,Students!$A$2:$A$301,0))),""))</f>
        <v/>
      </c>
      <c r="J519" s="24" t="str">
        <f aca="false">IF($B519="","",IFERROR(IF(INDEX(Students!$B$2:$B$301,MATCH($B519,Students!$A$2:$A$301,0))="","",INDEX(Students!$B$2:$B$301,MATCH($B519,Students!$A$2:$A$301,0))),""))</f>
        <v/>
      </c>
      <c r="K519" s="25" t="str">
        <f aca="false">IF($A519="","",IF(D519="Withdrawn",0,IF(E519&lt;&gt;"",N(E519),IFERROR(N(INDEX(Activities!$I$2:$I$201,MATCH($A519,Activities!$A$2:$A$201,0))),0))))</f>
        <v/>
      </c>
      <c r="L519" s="24" t="str">
        <f aca="false">IF(AND($A519="",$B519=""),"",IF(ISNA(MATCH($A519,Activities!$A$2:$A$201,0)),"Unknown activity",IF(ISNA(MATCH($B519,Students!$A$2:$A$301,0)),"Unknown student",IF(D519="","No status",IF(COUNTIFS($A$2:$A$1001,$A519,$B$2:$B$1001,$B519)&gt;1,"Duplicate",IF(AND(D519&lt;&gt;"Withdrawn",G519&lt;&gt;"",COUNTIFS($B$2:$B$1001,$B519,$G$2:$G$1001,G519,$D$2:$D$1001,"&lt;&gt;Withdrawn")&gt;1),"Same-day clash","OK"))))))</f>
        <v/>
      </c>
    </row>
    <row r="520" customFormat="false" ht="15" hidden="false" customHeight="false" outlineLevel="0" collapsed="false">
      <c r="E520" s="26"/>
      <c r="G520" s="23" t="str">
        <f aca="false">IF($A520="","",IFERROR(IF(INDEX(Activities!$C$2:$C$201,MATCH($A520,Activities!$A$2:$A$201,0))="","",INDEX(Activities!$C$2:$C$201,MATCH($A520,Activities!$A$2:$A$201,0))),""))</f>
        <v/>
      </c>
      <c r="H520" s="24" t="str">
        <f aca="false">IF($A520="","",IFERROR(IF(INDEX(Activities!$B$2:$B$201,MATCH($A520,Activities!$A$2:$A$201,0))="","",INDEX(Activities!$B$2:$B$201,MATCH($A520,Activities!$A$2:$A$201,0))),""))</f>
        <v/>
      </c>
      <c r="I520" s="24" t="str">
        <f aca="false">IF($B520="","",IFERROR(IF(INDEX(Students!$C$2:$C$301,MATCH($B520,Students!$A$2:$A$301,0))="","",INDEX(Students!$C$2:$C$301,MATCH($B520,Students!$A$2:$A$301,0))),""))</f>
        <v/>
      </c>
      <c r="J520" s="24" t="str">
        <f aca="false">IF($B520="","",IFERROR(IF(INDEX(Students!$B$2:$B$301,MATCH($B520,Students!$A$2:$A$301,0))="","",INDEX(Students!$B$2:$B$301,MATCH($B520,Students!$A$2:$A$301,0))),""))</f>
        <v/>
      </c>
      <c r="K520" s="25" t="str">
        <f aca="false">IF($A520="","",IF(D520="Withdrawn",0,IF(E520&lt;&gt;"",N(E520),IFERROR(N(INDEX(Activities!$I$2:$I$201,MATCH($A520,Activities!$A$2:$A$201,0))),0))))</f>
        <v/>
      </c>
      <c r="L520" s="24" t="str">
        <f aca="false">IF(AND($A520="",$B520=""),"",IF(ISNA(MATCH($A520,Activities!$A$2:$A$201,0)),"Unknown activity",IF(ISNA(MATCH($B520,Students!$A$2:$A$301,0)),"Unknown student",IF(D520="","No status",IF(COUNTIFS($A$2:$A$1001,$A520,$B$2:$B$1001,$B520)&gt;1,"Duplicate",IF(AND(D520&lt;&gt;"Withdrawn",G520&lt;&gt;"",COUNTIFS($B$2:$B$1001,$B520,$G$2:$G$1001,G520,$D$2:$D$1001,"&lt;&gt;Withdrawn")&gt;1),"Same-day clash","OK"))))))</f>
        <v/>
      </c>
    </row>
    <row r="521" customFormat="false" ht="15" hidden="false" customHeight="false" outlineLevel="0" collapsed="false">
      <c r="E521" s="26"/>
      <c r="G521" s="23" t="str">
        <f aca="false">IF($A521="","",IFERROR(IF(INDEX(Activities!$C$2:$C$201,MATCH($A521,Activities!$A$2:$A$201,0))="","",INDEX(Activities!$C$2:$C$201,MATCH($A521,Activities!$A$2:$A$201,0))),""))</f>
        <v/>
      </c>
      <c r="H521" s="24" t="str">
        <f aca="false">IF($A521="","",IFERROR(IF(INDEX(Activities!$B$2:$B$201,MATCH($A521,Activities!$A$2:$A$201,0))="","",INDEX(Activities!$B$2:$B$201,MATCH($A521,Activities!$A$2:$A$201,0))),""))</f>
        <v/>
      </c>
      <c r="I521" s="24" t="str">
        <f aca="false">IF($B521="","",IFERROR(IF(INDEX(Students!$C$2:$C$301,MATCH($B521,Students!$A$2:$A$301,0))="","",INDEX(Students!$C$2:$C$301,MATCH($B521,Students!$A$2:$A$301,0))),""))</f>
        <v/>
      </c>
      <c r="J521" s="24" t="str">
        <f aca="false">IF($B521="","",IFERROR(IF(INDEX(Students!$B$2:$B$301,MATCH($B521,Students!$A$2:$A$301,0))="","",INDEX(Students!$B$2:$B$301,MATCH($B521,Students!$A$2:$A$301,0))),""))</f>
        <v/>
      </c>
      <c r="K521" s="25" t="str">
        <f aca="false">IF($A521="","",IF(D521="Withdrawn",0,IF(E521&lt;&gt;"",N(E521),IFERROR(N(INDEX(Activities!$I$2:$I$201,MATCH($A521,Activities!$A$2:$A$201,0))),0))))</f>
        <v/>
      </c>
      <c r="L521" s="24" t="str">
        <f aca="false">IF(AND($A521="",$B521=""),"",IF(ISNA(MATCH($A521,Activities!$A$2:$A$201,0)),"Unknown activity",IF(ISNA(MATCH($B521,Students!$A$2:$A$301,0)),"Unknown student",IF(D521="","No status",IF(COUNTIFS($A$2:$A$1001,$A521,$B$2:$B$1001,$B521)&gt;1,"Duplicate",IF(AND(D521&lt;&gt;"Withdrawn",G521&lt;&gt;"",COUNTIFS($B$2:$B$1001,$B521,$G$2:$G$1001,G521,$D$2:$D$1001,"&lt;&gt;Withdrawn")&gt;1),"Same-day clash","OK"))))))</f>
        <v/>
      </c>
    </row>
    <row r="522" customFormat="false" ht="15" hidden="false" customHeight="false" outlineLevel="0" collapsed="false">
      <c r="E522" s="26"/>
      <c r="G522" s="23" t="str">
        <f aca="false">IF($A522="","",IFERROR(IF(INDEX(Activities!$C$2:$C$201,MATCH($A522,Activities!$A$2:$A$201,0))="","",INDEX(Activities!$C$2:$C$201,MATCH($A522,Activities!$A$2:$A$201,0))),""))</f>
        <v/>
      </c>
      <c r="H522" s="24" t="str">
        <f aca="false">IF($A522="","",IFERROR(IF(INDEX(Activities!$B$2:$B$201,MATCH($A522,Activities!$A$2:$A$201,0))="","",INDEX(Activities!$B$2:$B$201,MATCH($A522,Activities!$A$2:$A$201,0))),""))</f>
        <v/>
      </c>
      <c r="I522" s="24" t="str">
        <f aca="false">IF($B522="","",IFERROR(IF(INDEX(Students!$C$2:$C$301,MATCH($B522,Students!$A$2:$A$301,0))="","",INDEX(Students!$C$2:$C$301,MATCH($B522,Students!$A$2:$A$301,0))),""))</f>
        <v/>
      </c>
      <c r="J522" s="24" t="str">
        <f aca="false">IF($B522="","",IFERROR(IF(INDEX(Students!$B$2:$B$301,MATCH($B522,Students!$A$2:$A$301,0))="","",INDEX(Students!$B$2:$B$301,MATCH($B522,Students!$A$2:$A$301,0))),""))</f>
        <v/>
      </c>
      <c r="K522" s="25" t="str">
        <f aca="false">IF($A522="","",IF(D522="Withdrawn",0,IF(E522&lt;&gt;"",N(E522),IFERROR(N(INDEX(Activities!$I$2:$I$201,MATCH($A522,Activities!$A$2:$A$201,0))),0))))</f>
        <v/>
      </c>
      <c r="L522" s="24" t="str">
        <f aca="false">IF(AND($A522="",$B522=""),"",IF(ISNA(MATCH($A522,Activities!$A$2:$A$201,0)),"Unknown activity",IF(ISNA(MATCH($B522,Students!$A$2:$A$301,0)),"Unknown student",IF(D522="","No status",IF(COUNTIFS($A$2:$A$1001,$A522,$B$2:$B$1001,$B522)&gt;1,"Duplicate",IF(AND(D522&lt;&gt;"Withdrawn",G522&lt;&gt;"",COUNTIFS($B$2:$B$1001,$B522,$G$2:$G$1001,G522,$D$2:$D$1001,"&lt;&gt;Withdrawn")&gt;1),"Same-day clash","OK"))))))</f>
        <v/>
      </c>
    </row>
    <row r="523" customFormat="false" ht="15" hidden="false" customHeight="false" outlineLevel="0" collapsed="false">
      <c r="E523" s="26"/>
      <c r="G523" s="23" t="str">
        <f aca="false">IF($A523="","",IFERROR(IF(INDEX(Activities!$C$2:$C$201,MATCH($A523,Activities!$A$2:$A$201,0))="","",INDEX(Activities!$C$2:$C$201,MATCH($A523,Activities!$A$2:$A$201,0))),""))</f>
        <v/>
      </c>
      <c r="H523" s="24" t="str">
        <f aca="false">IF($A523="","",IFERROR(IF(INDEX(Activities!$B$2:$B$201,MATCH($A523,Activities!$A$2:$A$201,0))="","",INDEX(Activities!$B$2:$B$201,MATCH($A523,Activities!$A$2:$A$201,0))),""))</f>
        <v/>
      </c>
      <c r="I523" s="24" t="str">
        <f aca="false">IF($B523="","",IFERROR(IF(INDEX(Students!$C$2:$C$301,MATCH($B523,Students!$A$2:$A$301,0))="","",INDEX(Students!$C$2:$C$301,MATCH($B523,Students!$A$2:$A$301,0))),""))</f>
        <v/>
      </c>
      <c r="J523" s="24" t="str">
        <f aca="false">IF($B523="","",IFERROR(IF(INDEX(Students!$B$2:$B$301,MATCH($B523,Students!$A$2:$A$301,0))="","",INDEX(Students!$B$2:$B$301,MATCH($B523,Students!$A$2:$A$301,0))),""))</f>
        <v/>
      </c>
      <c r="K523" s="25" t="str">
        <f aca="false">IF($A523="","",IF(D523="Withdrawn",0,IF(E523&lt;&gt;"",N(E523),IFERROR(N(INDEX(Activities!$I$2:$I$201,MATCH($A523,Activities!$A$2:$A$201,0))),0))))</f>
        <v/>
      </c>
      <c r="L523" s="24" t="str">
        <f aca="false">IF(AND($A523="",$B523=""),"",IF(ISNA(MATCH($A523,Activities!$A$2:$A$201,0)),"Unknown activity",IF(ISNA(MATCH($B523,Students!$A$2:$A$301,0)),"Unknown student",IF(D523="","No status",IF(COUNTIFS($A$2:$A$1001,$A523,$B$2:$B$1001,$B523)&gt;1,"Duplicate",IF(AND(D523&lt;&gt;"Withdrawn",G523&lt;&gt;"",COUNTIFS($B$2:$B$1001,$B523,$G$2:$G$1001,G523,$D$2:$D$1001,"&lt;&gt;Withdrawn")&gt;1),"Same-day clash","OK"))))))</f>
        <v/>
      </c>
    </row>
    <row r="524" customFormat="false" ht="15" hidden="false" customHeight="false" outlineLevel="0" collapsed="false">
      <c r="E524" s="26"/>
      <c r="G524" s="23" t="str">
        <f aca="false">IF($A524="","",IFERROR(IF(INDEX(Activities!$C$2:$C$201,MATCH($A524,Activities!$A$2:$A$201,0))="","",INDEX(Activities!$C$2:$C$201,MATCH($A524,Activities!$A$2:$A$201,0))),""))</f>
        <v/>
      </c>
      <c r="H524" s="24" t="str">
        <f aca="false">IF($A524="","",IFERROR(IF(INDEX(Activities!$B$2:$B$201,MATCH($A524,Activities!$A$2:$A$201,0))="","",INDEX(Activities!$B$2:$B$201,MATCH($A524,Activities!$A$2:$A$201,0))),""))</f>
        <v/>
      </c>
      <c r="I524" s="24" t="str">
        <f aca="false">IF($B524="","",IFERROR(IF(INDEX(Students!$C$2:$C$301,MATCH($B524,Students!$A$2:$A$301,0))="","",INDEX(Students!$C$2:$C$301,MATCH($B524,Students!$A$2:$A$301,0))),""))</f>
        <v/>
      </c>
      <c r="J524" s="24" t="str">
        <f aca="false">IF($B524="","",IFERROR(IF(INDEX(Students!$B$2:$B$301,MATCH($B524,Students!$A$2:$A$301,0))="","",INDEX(Students!$B$2:$B$301,MATCH($B524,Students!$A$2:$A$301,0))),""))</f>
        <v/>
      </c>
      <c r="K524" s="25" t="str">
        <f aca="false">IF($A524="","",IF(D524="Withdrawn",0,IF(E524&lt;&gt;"",N(E524),IFERROR(N(INDEX(Activities!$I$2:$I$201,MATCH($A524,Activities!$A$2:$A$201,0))),0))))</f>
        <v/>
      </c>
      <c r="L524" s="24" t="str">
        <f aca="false">IF(AND($A524="",$B524=""),"",IF(ISNA(MATCH($A524,Activities!$A$2:$A$201,0)),"Unknown activity",IF(ISNA(MATCH($B524,Students!$A$2:$A$301,0)),"Unknown student",IF(D524="","No status",IF(COUNTIFS($A$2:$A$1001,$A524,$B$2:$B$1001,$B524)&gt;1,"Duplicate",IF(AND(D524&lt;&gt;"Withdrawn",G524&lt;&gt;"",COUNTIFS($B$2:$B$1001,$B524,$G$2:$G$1001,G524,$D$2:$D$1001,"&lt;&gt;Withdrawn")&gt;1),"Same-day clash","OK"))))))</f>
        <v/>
      </c>
    </row>
    <row r="525" customFormat="false" ht="15" hidden="false" customHeight="false" outlineLevel="0" collapsed="false">
      <c r="E525" s="26"/>
      <c r="G525" s="23" t="str">
        <f aca="false">IF($A525="","",IFERROR(IF(INDEX(Activities!$C$2:$C$201,MATCH($A525,Activities!$A$2:$A$201,0))="","",INDEX(Activities!$C$2:$C$201,MATCH($A525,Activities!$A$2:$A$201,0))),""))</f>
        <v/>
      </c>
      <c r="H525" s="24" t="str">
        <f aca="false">IF($A525="","",IFERROR(IF(INDEX(Activities!$B$2:$B$201,MATCH($A525,Activities!$A$2:$A$201,0))="","",INDEX(Activities!$B$2:$B$201,MATCH($A525,Activities!$A$2:$A$201,0))),""))</f>
        <v/>
      </c>
      <c r="I525" s="24" t="str">
        <f aca="false">IF($B525="","",IFERROR(IF(INDEX(Students!$C$2:$C$301,MATCH($B525,Students!$A$2:$A$301,0))="","",INDEX(Students!$C$2:$C$301,MATCH($B525,Students!$A$2:$A$301,0))),""))</f>
        <v/>
      </c>
      <c r="J525" s="24" t="str">
        <f aca="false">IF($B525="","",IFERROR(IF(INDEX(Students!$B$2:$B$301,MATCH($B525,Students!$A$2:$A$301,0))="","",INDEX(Students!$B$2:$B$301,MATCH($B525,Students!$A$2:$A$301,0))),""))</f>
        <v/>
      </c>
      <c r="K525" s="25" t="str">
        <f aca="false">IF($A525="","",IF(D525="Withdrawn",0,IF(E525&lt;&gt;"",N(E525),IFERROR(N(INDEX(Activities!$I$2:$I$201,MATCH($A525,Activities!$A$2:$A$201,0))),0))))</f>
        <v/>
      </c>
      <c r="L525" s="24" t="str">
        <f aca="false">IF(AND($A525="",$B525=""),"",IF(ISNA(MATCH($A525,Activities!$A$2:$A$201,0)),"Unknown activity",IF(ISNA(MATCH($B525,Students!$A$2:$A$301,0)),"Unknown student",IF(D525="","No status",IF(COUNTIFS($A$2:$A$1001,$A525,$B$2:$B$1001,$B525)&gt;1,"Duplicate",IF(AND(D525&lt;&gt;"Withdrawn",G525&lt;&gt;"",COUNTIFS($B$2:$B$1001,$B525,$G$2:$G$1001,G525,$D$2:$D$1001,"&lt;&gt;Withdrawn")&gt;1),"Same-day clash","OK"))))))</f>
        <v/>
      </c>
    </row>
    <row r="526" customFormat="false" ht="15" hidden="false" customHeight="false" outlineLevel="0" collapsed="false">
      <c r="E526" s="26"/>
      <c r="G526" s="23" t="str">
        <f aca="false">IF($A526="","",IFERROR(IF(INDEX(Activities!$C$2:$C$201,MATCH($A526,Activities!$A$2:$A$201,0))="","",INDEX(Activities!$C$2:$C$201,MATCH($A526,Activities!$A$2:$A$201,0))),""))</f>
        <v/>
      </c>
      <c r="H526" s="24" t="str">
        <f aca="false">IF($A526="","",IFERROR(IF(INDEX(Activities!$B$2:$B$201,MATCH($A526,Activities!$A$2:$A$201,0))="","",INDEX(Activities!$B$2:$B$201,MATCH($A526,Activities!$A$2:$A$201,0))),""))</f>
        <v/>
      </c>
      <c r="I526" s="24" t="str">
        <f aca="false">IF($B526="","",IFERROR(IF(INDEX(Students!$C$2:$C$301,MATCH($B526,Students!$A$2:$A$301,0))="","",INDEX(Students!$C$2:$C$301,MATCH($B526,Students!$A$2:$A$301,0))),""))</f>
        <v/>
      </c>
      <c r="J526" s="24" t="str">
        <f aca="false">IF($B526="","",IFERROR(IF(INDEX(Students!$B$2:$B$301,MATCH($B526,Students!$A$2:$A$301,0))="","",INDEX(Students!$B$2:$B$301,MATCH($B526,Students!$A$2:$A$301,0))),""))</f>
        <v/>
      </c>
      <c r="K526" s="25" t="str">
        <f aca="false">IF($A526="","",IF(D526="Withdrawn",0,IF(E526&lt;&gt;"",N(E526),IFERROR(N(INDEX(Activities!$I$2:$I$201,MATCH($A526,Activities!$A$2:$A$201,0))),0))))</f>
        <v/>
      </c>
      <c r="L526" s="24" t="str">
        <f aca="false">IF(AND($A526="",$B526=""),"",IF(ISNA(MATCH($A526,Activities!$A$2:$A$201,0)),"Unknown activity",IF(ISNA(MATCH($B526,Students!$A$2:$A$301,0)),"Unknown student",IF(D526="","No status",IF(COUNTIFS($A$2:$A$1001,$A526,$B$2:$B$1001,$B526)&gt;1,"Duplicate",IF(AND(D526&lt;&gt;"Withdrawn",G526&lt;&gt;"",COUNTIFS($B$2:$B$1001,$B526,$G$2:$G$1001,G526,$D$2:$D$1001,"&lt;&gt;Withdrawn")&gt;1),"Same-day clash","OK"))))))</f>
        <v/>
      </c>
    </row>
    <row r="527" customFormat="false" ht="15" hidden="false" customHeight="false" outlineLevel="0" collapsed="false">
      <c r="E527" s="26"/>
      <c r="G527" s="23" t="str">
        <f aca="false">IF($A527="","",IFERROR(IF(INDEX(Activities!$C$2:$C$201,MATCH($A527,Activities!$A$2:$A$201,0))="","",INDEX(Activities!$C$2:$C$201,MATCH($A527,Activities!$A$2:$A$201,0))),""))</f>
        <v/>
      </c>
      <c r="H527" s="24" t="str">
        <f aca="false">IF($A527="","",IFERROR(IF(INDEX(Activities!$B$2:$B$201,MATCH($A527,Activities!$A$2:$A$201,0))="","",INDEX(Activities!$B$2:$B$201,MATCH($A527,Activities!$A$2:$A$201,0))),""))</f>
        <v/>
      </c>
      <c r="I527" s="24" t="str">
        <f aca="false">IF($B527="","",IFERROR(IF(INDEX(Students!$C$2:$C$301,MATCH($B527,Students!$A$2:$A$301,0))="","",INDEX(Students!$C$2:$C$301,MATCH($B527,Students!$A$2:$A$301,0))),""))</f>
        <v/>
      </c>
      <c r="J527" s="24" t="str">
        <f aca="false">IF($B527="","",IFERROR(IF(INDEX(Students!$B$2:$B$301,MATCH($B527,Students!$A$2:$A$301,0))="","",INDEX(Students!$B$2:$B$301,MATCH($B527,Students!$A$2:$A$301,0))),""))</f>
        <v/>
      </c>
      <c r="K527" s="25" t="str">
        <f aca="false">IF($A527="","",IF(D527="Withdrawn",0,IF(E527&lt;&gt;"",N(E527),IFERROR(N(INDEX(Activities!$I$2:$I$201,MATCH($A527,Activities!$A$2:$A$201,0))),0))))</f>
        <v/>
      </c>
      <c r="L527" s="24" t="str">
        <f aca="false">IF(AND($A527="",$B527=""),"",IF(ISNA(MATCH($A527,Activities!$A$2:$A$201,0)),"Unknown activity",IF(ISNA(MATCH($B527,Students!$A$2:$A$301,0)),"Unknown student",IF(D527="","No status",IF(COUNTIFS($A$2:$A$1001,$A527,$B$2:$B$1001,$B527)&gt;1,"Duplicate",IF(AND(D527&lt;&gt;"Withdrawn",G527&lt;&gt;"",COUNTIFS($B$2:$B$1001,$B527,$G$2:$G$1001,G527,$D$2:$D$1001,"&lt;&gt;Withdrawn")&gt;1),"Same-day clash","OK"))))))</f>
        <v/>
      </c>
    </row>
    <row r="528" customFormat="false" ht="15" hidden="false" customHeight="false" outlineLevel="0" collapsed="false">
      <c r="E528" s="26"/>
      <c r="G528" s="23" t="str">
        <f aca="false">IF($A528="","",IFERROR(IF(INDEX(Activities!$C$2:$C$201,MATCH($A528,Activities!$A$2:$A$201,0))="","",INDEX(Activities!$C$2:$C$201,MATCH($A528,Activities!$A$2:$A$201,0))),""))</f>
        <v/>
      </c>
      <c r="H528" s="24" t="str">
        <f aca="false">IF($A528="","",IFERROR(IF(INDEX(Activities!$B$2:$B$201,MATCH($A528,Activities!$A$2:$A$201,0))="","",INDEX(Activities!$B$2:$B$201,MATCH($A528,Activities!$A$2:$A$201,0))),""))</f>
        <v/>
      </c>
      <c r="I528" s="24" t="str">
        <f aca="false">IF($B528="","",IFERROR(IF(INDEX(Students!$C$2:$C$301,MATCH($B528,Students!$A$2:$A$301,0))="","",INDEX(Students!$C$2:$C$301,MATCH($B528,Students!$A$2:$A$301,0))),""))</f>
        <v/>
      </c>
      <c r="J528" s="24" t="str">
        <f aca="false">IF($B528="","",IFERROR(IF(INDEX(Students!$B$2:$B$301,MATCH($B528,Students!$A$2:$A$301,0))="","",INDEX(Students!$B$2:$B$301,MATCH($B528,Students!$A$2:$A$301,0))),""))</f>
        <v/>
      </c>
      <c r="K528" s="25" t="str">
        <f aca="false">IF($A528="","",IF(D528="Withdrawn",0,IF(E528&lt;&gt;"",N(E528),IFERROR(N(INDEX(Activities!$I$2:$I$201,MATCH($A528,Activities!$A$2:$A$201,0))),0))))</f>
        <v/>
      </c>
      <c r="L528" s="24" t="str">
        <f aca="false">IF(AND($A528="",$B528=""),"",IF(ISNA(MATCH($A528,Activities!$A$2:$A$201,0)),"Unknown activity",IF(ISNA(MATCH($B528,Students!$A$2:$A$301,0)),"Unknown student",IF(D528="","No status",IF(COUNTIFS($A$2:$A$1001,$A528,$B$2:$B$1001,$B528)&gt;1,"Duplicate",IF(AND(D528&lt;&gt;"Withdrawn",G528&lt;&gt;"",COUNTIFS($B$2:$B$1001,$B528,$G$2:$G$1001,G528,$D$2:$D$1001,"&lt;&gt;Withdrawn")&gt;1),"Same-day clash","OK"))))))</f>
        <v/>
      </c>
    </row>
    <row r="529" customFormat="false" ht="15" hidden="false" customHeight="false" outlineLevel="0" collapsed="false">
      <c r="E529" s="26"/>
      <c r="G529" s="23" t="str">
        <f aca="false">IF($A529="","",IFERROR(IF(INDEX(Activities!$C$2:$C$201,MATCH($A529,Activities!$A$2:$A$201,0))="","",INDEX(Activities!$C$2:$C$201,MATCH($A529,Activities!$A$2:$A$201,0))),""))</f>
        <v/>
      </c>
      <c r="H529" s="24" t="str">
        <f aca="false">IF($A529="","",IFERROR(IF(INDEX(Activities!$B$2:$B$201,MATCH($A529,Activities!$A$2:$A$201,0))="","",INDEX(Activities!$B$2:$B$201,MATCH($A529,Activities!$A$2:$A$201,0))),""))</f>
        <v/>
      </c>
      <c r="I529" s="24" t="str">
        <f aca="false">IF($B529="","",IFERROR(IF(INDEX(Students!$C$2:$C$301,MATCH($B529,Students!$A$2:$A$301,0))="","",INDEX(Students!$C$2:$C$301,MATCH($B529,Students!$A$2:$A$301,0))),""))</f>
        <v/>
      </c>
      <c r="J529" s="24" t="str">
        <f aca="false">IF($B529="","",IFERROR(IF(INDEX(Students!$B$2:$B$301,MATCH($B529,Students!$A$2:$A$301,0))="","",INDEX(Students!$B$2:$B$301,MATCH($B529,Students!$A$2:$A$301,0))),""))</f>
        <v/>
      </c>
      <c r="K529" s="25" t="str">
        <f aca="false">IF($A529="","",IF(D529="Withdrawn",0,IF(E529&lt;&gt;"",N(E529),IFERROR(N(INDEX(Activities!$I$2:$I$201,MATCH($A529,Activities!$A$2:$A$201,0))),0))))</f>
        <v/>
      </c>
      <c r="L529" s="24" t="str">
        <f aca="false">IF(AND($A529="",$B529=""),"",IF(ISNA(MATCH($A529,Activities!$A$2:$A$201,0)),"Unknown activity",IF(ISNA(MATCH($B529,Students!$A$2:$A$301,0)),"Unknown student",IF(D529="","No status",IF(COUNTIFS($A$2:$A$1001,$A529,$B$2:$B$1001,$B529)&gt;1,"Duplicate",IF(AND(D529&lt;&gt;"Withdrawn",G529&lt;&gt;"",COUNTIFS($B$2:$B$1001,$B529,$G$2:$G$1001,G529,$D$2:$D$1001,"&lt;&gt;Withdrawn")&gt;1),"Same-day clash","OK"))))))</f>
        <v/>
      </c>
    </row>
    <row r="530" customFormat="false" ht="15" hidden="false" customHeight="false" outlineLevel="0" collapsed="false">
      <c r="E530" s="26"/>
      <c r="G530" s="23" t="str">
        <f aca="false">IF($A530="","",IFERROR(IF(INDEX(Activities!$C$2:$C$201,MATCH($A530,Activities!$A$2:$A$201,0))="","",INDEX(Activities!$C$2:$C$201,MATCH($A530,Activities!$A$2:$A$201,0))),""))</f>
        <v/>
      </c>
      <c r="H530" s="24" t="str">
        <f aca="false">IF($A530="","",IFERROR(IF(INDEX(Activities!$B$2:$B$201,MATCH($A530,Activities!$A$2:$A$201,0))="","",INDEX(Activities!$B$2:$B$201,MATCH($A530,Activities!$A$2:$A$201,0))),""))</f>
        <v/>
      </c>
      <c r="I530" s="24" t="str">
        <f aca="false">IF($B530="","",IFERROR(IF(INDEX(Students!$C$2:$C$301,MATCH($B530,Students!$A$2:$A$301,0))="","",INDEX(Students!$C$2:$C$301,MATCH($B530,Students!$A$2:$A$301,0))),""))</f>
        <v/>
      </c>
      <c r="J530" s="24" t="str">
        <f aca="false">IF($B530="","",IFERROR(IF(INDEX(Students!$B$2:$B$301,MATCH($B530,Students!$A$2:$A$301,0))="","",INDEX(Students!$B$2:$B$301,MATCH($B530,Students!$A$2:$A$301,0))),""))</f>
        <v/>
      </c>
      <c r="K530" s="25" t="str">
        <f aca="false">IF($A530="","",IF(D530="Withdrawn",0,IF(E530&lt;&gt;"",N(E530),IFERROR(N(INDEX(Activities!$I$2:$I$201,MATCH($A530,Activities!$A$2:$A$201,0))),0))))</f>
        <v/>
      </c>
      <c r="L530" s="24" t="str">
        <f aca="false">IF(AND($A530="",$B530=""),"",IF(ISNA(MATCH($A530,Activities!$A$2:$A$201,0)),"Unknown activity",IF(ISNA(MATCH($B530,Students!$A$2:$A$301,0)),"Unknown student",IF(D530="","No status",IF(COUNTIFS($A$2:$A$1001,$A530,$B$2:$B$1001,$B530)&gt;1,"Duplicate",IF(AND(D530&lt;&gt;"Withdrawn",G530&lt;&gt;"",COUNTIFS($B$2:$B$1001,$B530,$G$2:$G$1001,G530,$D$2:$D$1001,"&lt;&gt;Withdrawn")&gt;1),"Same-day clash","OK"))))))</f>
        <v/>
      </c>
    </row>
    <row r="531" customFormat="false" ht="15" hidden="false" customHeight="false" outlineLevel="0" collapsed="false">
      <c r="E531" s="26"/>
      <c r="G531" s="23" t="str">
        <f aca="false">IF($A531="","",IFERROR(IF(INDEX(Activities!$C$2:$C$201,MATCH($A531,Activities!$A$2:$A$201,0))="","",INDEX(Activities!$C$2:$C$201,MATCH($A531,Activities!$A$2:$A$201,0))),""))</f>
        <v/>
      </c>
      <c r="H531" s="24" t="str">
        <f aca="false">IF($A531="","",IFERROR(IF(INDEX(Activities!$B$2:$B$201,MATCH($A531,Activities!$A$2:$A$201,0))="","",INDEX(Activities!$B$2:$B$201,MATCH($A531,Activities!$A$2:$A$201,0))),""))</f>
        <v/>
      </c>
      <c r="I531" s="24" t="str">
        <f aca="false">IF($B531="","",IFERROR(IF(INDEX(Students!$C$2:$C$301,MATCH($B531,Students!$A$2:$A$301,0))="","",INDEX(Students!$C$2:$C$301,MATCH($B531,Students!$A$2:$A$301,0))),""))</f>
        <v/>
      </c>
      <c r="J531" s="24" t="str">
        <f aca="false">IF($B531="","",IFERROR(IF(INDEX(Students!$B$2:$B$301,MATCH($B531,Students!$A$2:$A$301,0))="","",INDEX(Students!$B$2:$B$301,MATCH($B531,Students!$A$2:$A$301,0))),""))</f>
        <v/>
      </c>
      <c r="K531" s="25" t="str">
        <f aca="false">IF($A531="","",IF(D531="Withdrawn",0,IF(E531&lt;&gt;"",N(E531),IFERROR(N(INDEX(Activities!$I$2:$I$201,MATCH($A531,Activities!$A$2:$A$201,0))),0))))</f>
        <v/>
      </c>
      <c r="L531" s="24" t="str">
        <f aca="false">IF(AND($A531="",$B531=""),"",IF(ISNA(MATCH($A531,Activities!$A$2:$A$201,0)),"Unknown activity",IF(ISNA(MATCH($B531,Students!$A$2:$A$301,0)),"Unknown student",IF(D531="","No status",IF(COUNTIFS($A$2:$A$1001,$A531,$B$2:$B$1001,$B531)&gt;1,"Duplicate",IF(AND(D531&lt;&gt;"Withdrawn",G531&lt;&gt;"",COUNTIFS($B$2:$B$1001,$B531,$G$2:$G$1001,G531,$D$2:$D$1001,"&lt;&gt;Withdrawn")&gt;1),"Same-day clash","OK"))))))</f>
        <v/>
      </c>
    </row>
    <row r="532" customFormat="false" ht="15" hidden="false" customHeight="false" outlineLevel="0" collapsed="false">
      <c r="E532" s="26"/>
      <c r="G532" s="23" t="str">
        <f aca="false">IF($A532="","",IFERROR(IF(INDEX(Activities!$C$2:$C$201,MATCH($A532,Activities!$A$2:$A$201,0))="","",INDEX(Activities!$C$2:$C$201,MATCH($A532,Activities!$A$2:$A$201,0))),""))</f>
        <v/>
      </c>
      <c r="H532" s="24" t="str">
        <f aca="false">IF($A532="","",IFERROR(IF(INDEX(Activities!$B$2:$B$201,MATCH($A532,Activities!$A$2:$A$201,0))="","",INDEX(Activities!$B$2:$B$201,MATCH($A532,Activities!$A$2:$A$201,0))),""))</f>
        <v/>
      </c>
      <c r="I532" s="24" t="str">
        <f aca="false">IF($B532="","",IFERROR(IF(INDEX(Students!$C$2:$C$301,MATCH($B532,Students!$A$2:$A$301,0))="","",INDEX(Students!$C$2:$C$301,MATCH($B532,Students!$A$2:$A$301,0))),""))</f>
        <v/>
      </c>
      <c r="J532" s="24" t="str">
        <f aca="false">IF($B532="","",IFERROR(IF(INDEX(Students!$B$2:$B$301,MATCH($B532,Students!$A$2:$A$301,0))="","",INDEX(Students!$B$2:$B$301,MATCH($B532,Students!$A$2:$A$301,0))),""))</f>
        <v/>
      </c>
      <c r="K532" s="25" t="str">
        <f aca="false">IF($A532="","",IF(D532="Withdrawn",0,IF(E532&lt;&gt;"",N(E532),IFERROR(N(INDEX(Activities!$I$2:$I$201,MATCH($A532,Activities!$A$2:$A$201,0))),0))))</f>
        <v/>
      </c>
      <c r="L532" s="24" t="str">
        <f aca="false">IF(AND($A532="",$B532=""),"",IF(ISNA(MATCH($A532,Activities!$A$2:$A$201,0)),"Unknown activity",IF(ISNA(MATCH($B532,Students!$A$2:$A$301,0)),"Unknown student",IF(D532="","No status",IF(COUNTIFS($A$2:$A$1001,$A532,$B$2:$B$1001,$B532)&gt;1,"Duplicate",IF(AND(D532&lt;&gt;"Withdrawn",G532&lt;&gt;"",COUNTIFS($B$2:$B$1001,$B532,$G$2:$G$1001,G532,$D$2:$D$1001,"&lt;&gt;Withdrawn")&gt;1),"Same-day clash","OK"))))))</f>
        <v/>
      </c>
    </row>
    <row r="533" customFormat="false" ht="15" hidden="false" customHeight="false" outlineLevel="0" collapsed="false">
      <c r="E533" s="26"/>
      <c r="G533" s="23" t="str">
        <f aca="false">IF($A533="","",IFERROR(IF(INDEX(Activities!$C$2:$C$201,MATCH($A533,Activities!$A$2:$A$201,0))="","",INDEX(Activities!$C$2:$C$201,MATCH($A533,Activities!$A$2:$A$201,0))),""))</f>
        <v/>
      </c>
      <c r="H533" s="24" t="str">
        <f aca="false">IF($A533="","",IFERROR(IF(INDEX(Activities!$B$2:$B$201,MATCH($A533,Activities!$A$2:$A$201,0))="","",INDEX(Activities!$B$2:$B$201,MATCH($A533,Activities!$A$2:$A$201,0))),""))</f>
        <v/>
      </c>
      <c r="I533" s="24" t="str">
        <f aca="false">IF($B533="","",IFERROR(IF(INDEX(Students!$C$2:$C$301,MATCH($B533,Students!$A$2:$A$301,0))="","",INDEX(Students!$C$2:$C$301,MATCH($B533,Students!$A$2:$A$301,0))),""))</f>
        <v/>
      </c>
      <c r="J533" s="24" t="str">
        <f aca="false">IF($B533="","",IFERROR(IF(INDEX(Students!$B$2:$B$301,MATCH($B533,Students!$A$2:$A$301,0))="","",INDEX(Students!$B$2:$B$301,MATCH($B533,Students!$A$2:$A$301,0))),""))</f>
        <v/>
      </c>
      <c r="K533" s="25" t="str">
        <f aca="false">IF($A533="","",IF(D533="Withdrawn",0,IF(E533&lt;&gt;"",N(E533),IFERROR(N(INDEX(Activities!$I$2:$I$201,MATCH($A533,Activities!$A$2:$A$201,0))),0))))</f>
        <v/>
      </c>
      <c r="L533" s="24" t="str">
        <f aca="false">IF(AND($A533="",$B533=""),"",IF(ISNA(MATCH($A533,Activities!$A$2:$A$201,0)),"Unknown activity",IF(ISNA(MATCH($B533,Students!$A$2:$A$301,0)),"Unknown student",IF(D533="","No status",IF(COUNTIFS($A$2:$A$1001,$A533,$B$2:$B$1001,$B533)&gt;1,"Duplicate",IF(AND(D533&lt;&gt;"Withdrawn",G533&lt;&gt;"",COUNTIFS($B$2:$B$1001,$B533,$G$2:$G$1001,G533,$D$2:$D$1001,"&lt;&gt;Withdrawn")&gt;1),"Same-day clash","OK"))))))</f>
        <v/>
      </c>
    </row>
    <row r="534" customFormat="false" ht="15" hidden="false" customHeight="false" outlineLevel="0" collapsed="false">
      <c r="E534" s="26"/>
      <c r="G534" s="23" t="str">
        <f aca="false">IF($A534="","",IFERROR(IF(INDEX(Activities!$C$2:$C$201,MATCH($A534,Activities!$A$2:$A$201,0))="","",INDEX(Activities!$C$2:$C$201,MATCH($A534,Activities!$A$2:$A$201,0))),""))</f>
        <v/>
      </c>
      <c r="H534" s="24" t="str">
        <f aca="false">IF($A534="","",IFERROR(IF(INDEX(Activities!$B$2:$B$201,MATCH($A534,Activities!$A$2:$A$201,0))="","",INDEX(Activities!$B$2:$B$201,MATCH($A534,Activities!$A$2:$A$201,0))),""))</f>
        <v/>
      </c>
      <c r="I534" s="24" t="str">
        <f aca="false">IF($B534="","",IFERROR(IF(INDEX(Students!$C$2:$C$301,MATCH($B534,Students!$A$2:$A$301,0))="","",INDEX(Students!$C$2:$C$301,MATCH($B534,Students!$A$2:$A$301,0))),""))</f>
        <v/>
      </c>
      <c r="J534" s="24" t="str">
        <f aca="false">IF($B534="","",IFERROR(IF(INDEX(Students!$B$2:$B$301,MATCH($B534,Students!$A$2:$A$301,0))="","",INDEX(Students!$B$2:$B$301,MATCH($B534,Students!$A$2:$A$301,0))),""))</f>
        <v/>
      </c>
      <c r="K534" s="25" t="str">
        <f aca="false">IF($A534="","",IF(D534="Withdrawn",0,IF(E534&lt;&gt;"",N(E534),IFERROR(N(INDEX(Activities!$I$2:$I$201,MATCH($A534,Activities!$A$2:$A$201,0))),0))))</f>
        <v/>
      </c>
      <c r="L534" s="24" t="str">
        <f aca="false">IF(AND($A534="",$B534=""),"",IF(ISNA(MATCH($A534,Activities!$A$2:$A$201,0)),"Unknown activity",IF(ISNA(MATCH($B534,Students!$A$2:$A$301,0)),"Unknown student",IF(D534="","No status",IF(COUNTIFS($A$2:$A$1001,$A534,$B$2:$B$1001,$B534)&gt;1,"Duplicate",IF(AND(D534&lt;&gt;"Withdrawn",G534&lt;&gt;"",COUNTIFS($B$2:$B$1001,$B534,$G$2:$G$1001,G534,$D$2:$D$1001,"&lt;&gt;Withdrawn")&gt;1),"Same-day clash","OK"))))))</f>
        <v/>
      </c>
    </row>
    <row r="535" customFormat="false" ht="15" hidden="false" customHeight="false" outlineLevel="0" collapsed="false">
      <c r="E535" s="26"/>
      <c r="G535" s="23" t="str">
        <f aca="false">IF($A535="","",IFERROR(IF(INDEX(Activities!$C$2:$C$201,MATCH($A535,Activities!$A$2:$A$201,0))="","",INDEX(Activities!$C$2:$C$201,MATCH($A535,Activities!$A$2:$A$201,0))),""))</f>
        <v/>
      </c>
      <c r="H535" s="24" t="str">
        <f aca="false">IF($A535="","",IFERROR(IF(INDEX(Activities!$B$2:$B$201,MATCH($A535,Activities!$A$2:$A$201,0))="","",INDEX(Activities!$B$2:$B$201,MATCH($A535,Activities!$A$2:$A$201,0))),""))</f>
        <v/>
      </c>
      <c r="I535" s="24" t="str">
        <f aca="false">IF($B535="","",IFERROR(IF(INDEX(Students!$C$2:$C$301,MATCH($B535,Students!$A$2:$A$301,0))="","",INDEX(Students!$C$2:$C$301,MATCH($B535,Students!$A$2:$A$301,0))),""))</f>
        <v/>
      </c>
      <c r="J535" s="24" t="str">
        <f aca="false">IF($B535="","",IFERROR(IF(INDEX(Students!$B$2:$B$301,MATCH($B535,Students!$A$2:$A$301,0))="","",INDEX(Students!$B$2:$B$301,MATCH($B535,Students!$A$2:$A$301,0))),""))</f>
        <v/>
      </c>
      <c r="K535" s="25" t="str">
        <f aca="false">IF($A535="","",IF(D535="Withdrawn",0,IF(E535&lt;&gt;"",N(E535),IFERROR(N(INDEX(Activities!$I$2:$I$201,MATCH($A535,Activities!$A$2:$A$201,0))),0))))</f>
        <v/>
      </c>
      <c r="L535" s="24" t="str">
        <f aca="false">IF(AND($A535="",$B535=""),"",IF(ISNA(MATCH($A535,Activities!$A$2:$A$201,0)),"Unknown activity",IF(ISNA(MATCH($B535,Students!$A$2:$A$301,0)),"Unknown student",IF(D535="","No status",IF(COUNTIFS($A$2:$A$1001,$A535,$B$2:$B$1001,$B535)&gt;1,"Duplicate",IF(AND(D535&lt;&gt;"Withdrawn",G535&lt;&gt;"",COUNTIFS($B$2:$B$1001,$B535,$G$2:$G$1001,G535,$D$2:$D$1001,"&lt;&gt;Withdrawn")&gt;1),"Same-day clash","OK"))))))</f>
        <v/>
      </c>
    </row>
    <row r="536" customFormat="false" ht="15" hidden="false" customHeight="false" outlineLevel="0" collapsed="false">
      <c r="E536" s="26"/>
      <c r="G536" s="23" t="str">
        <f aca="false">IF($A536="","",IFERROR(IF(INDEX(Activities!$C$2:$C$201,MATCH($A536,Activities!$A$2:$A$201,0))="","",INDEX(Activities!$C$2:$C$201,MATCH($A536,Activities!$A$2:$A$201,0))),""))</f>
        <v/>
      </c>
      <c r="H536" s="24" t="str">
        <f aca="false">IF($A536="","",IFERROR(IF(INDEX(Activities!$B$2:$B$201,MATCH($A536,Activities!$A$2:$A$201,0))="","",INDEX(Activities!$B$2:$B$201,MATCH($A536,Activities!$A$2:$A$201,0))),""))</f>
        <v/>
      </c>
      <c r="I536" s="24" t="str">
        <f aca="false">IF($B536="","",IFERROR(IF(INDEX(Students!$C$2:$C$301,MATCH($B536,Students!$A$2:$A$301,0))="","",INDEX(Students!$C$2:$C$301,MATCH($B536,Students!$A$2:$A$301,0))),""))</f>
        <v/>
      </c>
      <c r="J536" s="24" t="str">
        <f aca="false">IF($B536="","",IFERROR(IF(INDEX(Students!$B$2:$B$301,MATCH($B536,Students!$A$2:$A$301,0))="","",INDEX(Students!$B$2:$B$301,MATCH($B536,Students!$A$2:$A$301,0))),""))</f>
        <v/>
      </c>
      <c r="K536" s="25" t="str">
        <f aca="false">IF($A536="","",IF(D536="Withdrawn",0,IF(E536&lt;&gt;"",N(E536),IFERROR(N(INDEX(Activities!$I$2:$I$201,MATCH($A536,Activities!$A$2:$A$201,0))),0))))</f>
        <v/>
      </c>
      <c r="L536" s="24" t="str">
        <f aca="false">IF(AND($A536="",$B536=""),"",IF(ISNA(MATCH($A536,Activities!$A$2:$A$201,0)),"Unknown activity",IF(ISNA(MATCH($B536,Students!$A$2:$A$301,0)),"Unknown student",IF(D536="","No status",IF(COUNTIFS($A$2:$A$1001,$A536,$B$2:$B$1001,$B536)&gt;1,"Duplicate",IF(AND(D536&lt;&gt;"Withdrawn",G536&lt;&gt;"",COUNTIFS($B$2:$B$1001,$B536,$G$2:$G$1001,G536,$D$2:$D$1001,"&lt;&gt;Withdrawn")&gt;1),"Same-day clash","OK"))))))</f>
        <v/>
      </c>
    </row>
    <row r="537" customFormat="false" ht="15" hidden="false" customHeight="false" outlineLevel="0" collapsed="false">
      <c r="E537" s="26"/>
      <c r="G537" s="23" t="str">
        <f aca="false">IF($A537="","",IFERROR(IF(INDEX(Activities!$C$2:$C$201,MATCH($A537,Activities!$A$2:$A$201,0))="","",INDEX(Activities!$C$2:$C$201,MATCH($A537,Activities!$A$2:$A$201,0))),""))</f>
        <v/>
      </c>
      <c r="H537" s="24" t="str">
        <f aca="false">IF($A537="","",IFERROR(IF(INDEX(Activities!$B$2:$B$201,MATCH($A537,Activities!$A$2:$A$201,0))="","",INDEX(Activities!$B$2:$B$201,MATCH($A537,Activities!$A$2:$A$201,0))),""))</f>
        <v/>
      </c>
      <c r="I537" s="24" t="str">
        <f aca="false">IF($B537="","",IFERROR(IF(INDEX(Students!$C$2:$C$301,MATCH($B537,Students!$A$2:$A$301,0))="","",INDEX(Students!$C$2:$C$301,MATCH($B537,Students!$A$2:$A$301,0))),""))</f>
        <v/>
      </c>
      <c r="J537" s="24" t="str">
        <f aca="false">IF($B537="","",IFERROR(IF(INDEX(Students!$B$2:$B$301,MATCH($B537,Students!$A$2:$A$301,0))="","",INDEX(Students!$B$2:$B$301,MATCH($B537,Students!$A$2:$A$301,0))),""))</f>
        <v/>
      </c>
      <c r="K537" s="25" t="str">
        <f aca="false">IF($A537="","",IF(D537="Withdrawn",0,IF(E537&lt;&gt;"",N(E537),IFERROR(N(INDEX(Activities!$I$2:$I$201,MATCH($A537,Activities!$A$2:$A$201,0))),0))))</f>
        <v/>
      </c>
      <c r="L537" s="24" t="str">
        <f aca="false">IF(AND($A537="",$B537=""),"",IF(ISNA(MATCH($A537,Activities!$A$2:$A$201,0)),"Unknown activity",IF(ISNA(MATCH($B537,Students!$A$2:$A$301,0)),"Unknown student",IF(D537="","No status",IF(COUNTIFS($A$2:$A$1001,$A537,$B$2:$B$1001,$B537)&gt;1,"Duplicate",IF(AND(D537&lt;&gt;"Withdrawn",G537&lt;&gt;"",COUNTIFS($B$2:$B$1001,$B537,$G$2:$G$1001,G537,$D$2:$D$1001,"&lt;&gt;Withdrawn")&gt;1),"Same-day clash","OK"))))))</f>
        <v/>
      </c>
    </row>
    <row r="538" customFormat="false" ht="15" hidden="false" customHeight="false" outlineLevel="0" collapsed="false">
      <c r="E538" s="26"/>
      <c r="G538" s="23" t="str">
        <f aca="false">IF($A538="","",IFERROR(IF(INDEX(Activities!$C$2:$C$201,MATCH($A538,Activities!$A$2:$A$201,0))="","",INDEX(Activities!$C$2:$C$201,MATCH($A538,Activities!$A$2:$A$201,0))),""))</f>
        <v/>
      </c>
      <c r="H538" s="24" t="str">
        <f aca="false">IF($A538="","",IFERROR(IF(INDEX(Activities!$B$2:$B$201,MATCH($A538,Activities!$A$2:$A$201,0))="","",INDEX(Activities!$B$2:$B$201,MATCH($A538,Activities!$A$2:$A$201,0))),""))</f>
        <v/>
      </c>
      <c r="I538" s="24" t="str">
        <f aca="false">IF($B538="","",IFERROR(IF(INDEX(Students!$C$2:$C$301,MATCH($B538,Students!$A$2:$A$301,0))="","",INDEX(Students!$C$2:$C$301,MATCH($B538,Students!$A$2:$A$301,0))),""))</f>
        <v/>
      </c>
      <c r="J538" s="24" t="str">
        <f aca="false">IF($B538="","",IFERROR(IF(INDEX(Students!$B$2:$B$301,MATCH($B538,Students!$A$2:$A$301,0))="","",INDEX(Students!$B$2:$B$301,MATCH($B538,Students!$A$2:$A$301,0))),""))</f>
        <v/>
      </c>
      <c r="K538" s="25" t="str">
        <f aca="false">IF($A538="","",IF(D538="Withdrawn",0,IF(E538&lt;&gt;"",N(E538),IFERROR(N(INDEX(Activities!$I$2:$I$201,MATCH($A538,Activities!$A$2:$A$201,0))),0))))</f>
        <v/>
      </c>
      <c r="L538" s="24" t="str">
        <f aca="false">IF(AND($A538="",$B538=""),"",IF(ISNA(MATCH($A538,Activities!$A$2:$A$201,0)),"Unknown activity",IF(ISNA(MATCH($B538,Students!$A$2:$A$301,0)),"Unknown student",IF(D538="","No status",IF(COUNTIFS($A$2:$A$1001,$A538,$B$2:$B$1001,$B538)&gt;1,"Duplicate",IF(AND(D538&lt;&gt;"Withdrawn",G538&lt;&gt;"",COUNTIFS($B$2:$B$1001,$B538,$G$2:$G$1001,G538,$D$2:$D$1001,"&lt;&gt;Withdrawn")&gt;1),"Same-day clash","OK"))))))</f>
        <v/>
      </c>
    </row>
    <row r="539" customFormat="false" ht="15" hidden="false" customHeight="false" outlineLevel="0" collapsed="false">
      <c r="E539" s="26"/>
      <c r="G539" s="23" t="str">
        <f aca="false">IF($A539="","",IFERROR(IF(INDEX(Activities!$C$2:$C$201,MATCH($A539,Activities!$A$2:$A$201,0))="","",INDEX(Activities!$C$2:$C$201,MATCH($A539,Activities!$A$2:$A$201,0))),""))</f>
        <v/>
      </c>
      <c r="H539" s="24" t="str">
        <f aca="false">IF($A539="","",IFERROR(IF(INDEX(Activities!$B$2:$B$201,MATCH($A539,Activities!$A$2:$A$201,0))="","",INDEX(Activities!$B$2:$B$201,MATCH($A539,Activities!$A$2:$A$201,0))),""))</f>
        <v/>
      </c>
      <c r="I539" s="24" t="str">
        <f aca="false">IF($B539="","",IFERROR(IF(INDEX(Students!$C$2:$C$301,MATCH($B539,Students!$A$2:$A$301,0))="","",INDEX(Students!$C$2:$C$301,MATCH($B539,Students!$A$2:$A$301,0))),""))</f>
        <v/>
      </c>
      <c r="J539" s="24" t="str">
        <f aca="false">IF($B539="","",IFERROR(IF(INDEX(Students!$B$2:$B$301,MATCH($B539,Students!$A$2:$A$301,0))="","",INDEX(Students!$B$2:$B$301,MATCH($B539,Students!$A$2:$A$301,0))),""))</f>
        <v/>
      </c>
      <c r="K539" s="25" t="str">
        <f aca="false">IF($A539="","",IF(D539="Withdrawn",0,IF(E539&lt;&gt;"",N(E539),IFERROR(N(INDEX(Activities!$I$2:$I$201,MATCH($A539,Activities!$A$2:$A$201,0))),0))))</f>
        <v/>
      </c>
      <c r="L539" s="24" t="str">
        <f aca="false">IF(AND($A539="",$B539=""),"",IF(ISNA(MATCH($A539,Activities!$A$2:$A$201,0)),"Unknown activity",IF(ISNA(MATCH($B539,Students!$A$2:$A$301,0)),"Unknown student",IF(D539="","No status",IF(COUNTIFS($A$2:$A$1001,$A539,$B$2:$B$1001,$B539)&gt;1,"Duplicate",IF(AND(D539&lt;&gt;"Withdrawn",G539&lt;&gt;"",COUNTIFS($B$2:$B$1001,$B539,$G$2:$G$1001,G539,$D$2:$D$1001,"&lt;&gt;Withdrawn")&gt;1),"Same-day clash","OK"))))))</f>
        <v/>
      </c>
    </row>
    <row r="540" customFormat="false" ht="15" hidden="false" customHeight="false" outlineLevel="0" collapsed="false">
      <c r="E540" s="26"/>
      <c r="G540" s="23" t="str">
        <f aca="false">IF($A540="","",IFERROR(IF(INDEX(Activities!$C$2:$C$201,MATCH($A540,Activities!$A$2:$A$201,0))="","",INDEX(Activities!$C$2:$C$201,MATCH($A540,Activities!$A$2:$A$201,0))),""))</f>
        <v/>
      </c>
      <c r="H540" s="24" t="str">
        <f aca="false">IF($A540="","",IFERROR(IF(INDEX(Activities!$B$2:$B$201,MATCH($A540,Activities!$A$2:$A$201,0))="","",INDEX(Activities!$B$2:$B$201,MATCH($A540,Activities!$A$2:$A$201,0))),""))</f>
        <v/>
      </c>
      <c r="I540" s="24" t="str">
        <f aca="false">IF($B540="","",IFERROR(IF(INDEX(Students!$C$2:$C$301,MATCH($B540,Students!$A$2:$A$301,0))="","",INDEX(Students!$C$2:$C$301,MATCH($B540,Students!$A$2:$A$301,0))),""))</f>
        <v/>
      </c>
      <c r="J540" s="24" t="str">
        <f aca="false">IF($B540="","",IFERROR(IF(INDEX(Students!$B$2:$B$301,MATCH($B540,Students!$A$2:$A$301,0))="","",INDEX(Students!$B$2:$B$301,MATCH($B540,Students!$A$2:$A$301,0))),""))</f>
        <v/>
      </c>
      <c r="K540" s="25" t="str">
        <f aca="false">IF($A540="","",IF(D540="Withdrawn",0,IF(E540&lt;&gt;"",N(E540),IFERROR(N(INDEX(Activities!$I$2:$I$201,MATCH($A540,Activities!$A$2:$A$201,0))),0))))</f>
        <v/>
      </c>
      <c r="L540" s="24" t="str">
        <f aca="false">IF(AND($A540="",$B540=""),"",IF(ISNA(MATCH($A540,Activities!$A$2:$A$201,0)),"Unknown activity",IF(ISNA(MATCH($B540,Students!$A$2:$A$301,0)),"Unknown student",IF(D540="","No status",IF(COUNTIFS($A$2:$A$1001,$A540,$B$2:$B$1001,$B540)&gt;1,"Duplicate",IF(AND(D540&lt;&gt;"Withdrawn",G540&lt;&gt;"",COUNTIFS($B$2:$B$1001,$B540,$G$2:$G$1001,G540,$D$2:$D$1001,"&lt;&gt;Withdrawn")&gt;1),"Same-day clash","OK"))))))</f>
        <v/>
      </c>
    </row>
    <row r="541" customFormat="false" ht="15" hidden="false" customHeight="false" outlineLevel="0" collapsed="false">
      <c r="E541" s="26"/>
      <c r="G541" s="23" t="str">
        <f aca="false">IF($A541="","",IFERROR(IF(INDEX(Activities!$C$2:$C$201,MATCH($A541,Activities!$A$2:$A$201,0))="","",INDEX(Activities!$C$2:$C$201,MATCH($A541,Activities!$A$2:$A$201,0))),""))</f>
        <v/>
      </c>
      <c r="H541" s="24" t="str">
        <f aca="false">IF($A541="","",IFERROR(IF(INDEX(Activities!$B$2:$B$201,MATCH($A541,Activities!$A$2:$A$201,0))="","",INDEX(Activities!$B$2:$B$201,MATCH($A541,Activities!$A$2:$A$201,0))),""))</f>
        <v/>
      </c>
      <c r="I541" s="24" t="str">
        <f aca="false">IF($B541="","",IFERROR(IF(INDEX(Students!$C$2:$C$301,MATCH($B541,Students!$A$2:$A$301,0))="","",INDEX(Students!$C$2:$C$301,MATCH($B541,Students!$A$2:$A$301,0))),""))</f>
        <v/>
      </c>
      <c r="J541" s="24" t="str">
        <f aca="false">IF($B541="","",IFERROR(IF(INDEX(Students!$B$2:$B$301,MATCH($B541,Students!$A$2:$A$301,0))="","",INDEX(Students!$B$2:$B$301,MATCH($B541,Students!$A$2:$A$301,0))),""))</f>
        <v/>
      </c>
      <c r="K541" s="25" t="str">
        <f aca="false">IF($A541="","",IF(D541="Withdrawn",0,IF(E541&lt;&gt;"",N(E541),IFERROR(N(INDEX(Activities!$I$2:$I$201,MATCH($A541,Activities!$A$2:$A$201,0))),0))))</f>
        <v/>
      </c>
      <c r="L541" s="24" t="str">
        <f aca="false">IF(AND($A541="",$B541=""),"",IF(ISNA(MATCH($A541,Activities!$A$2:$A$201,0)),"Unknown activity",IF(ISNA(MATCH($B541,Students!$A$2:$A$301,0)),"Unknown student",IF(D541="","No status",IF(COUNTIFS($A$2:$A$1001,$A541,$B$2:$B$1001,$B541)&gt;1,"Duplicate",IF(AND(D541&lt;&gt;"Withdrawn",G541&lt;&gt;"",COUNTIFS($B$2:$B$1001,$B541,$G$2:$G$1001,G541,$D$2:$D$1001,"&lt;&gt;Withdrawn")&gt;1),"Same-day clash","OK"))))))</f>
        <v/>
      </c>
    </row>
    <row r="542" customFormat="false" ht="15" hidden="false" customHeight="false" outlineLevel="0" collapsed="false">
      <c r="E542" s="26"/>
      <c r="G542" s="23" t="str">
        <f aca="false">IF($A542="","",IFERROR(IF(INDEX(Activities!$C$2:$C$201,MATCH($A542,Activities!$A$2:$A$201,0))="","",INDEX(Activities!$C$2:$C$201,MATCH($A542,Activities!$A$2:$A$201,0))),""))</f>
        <v/>
      </c>
      <c r="H542" s="24" t="str">
        <f aca="false">IF($A542="","",IFERROR(IF(INDEX(Activities!$B$2:$B$201,MATCH($A542,Activities!$A$2:$A$201,0))="","",INDEX(Activities!$B$2:$B$201,MATCH($A542,Activities!$A$2:$A$201,0))),""))</f>
        <v/>
      </c>
      <c r="I542" s="24" t="str">
        <f aca="false">IF($B542="","",IFERROR(IF(INDEX(Students!$C$2:$C$301,MATCH($B542,Students!$A$2:$A$301,0))="","",INDEX(Students!$C$2:$C$301,MATCH($B542,Students!$A$2:$A$301,0))),""))</f>
        <v/>
      </c>
      <c r="J542" s="24" t="str">
        <f aca="false">IF($B542="","",IFERROR(IF(INDEX(Students!$B$2:$B$301,MATCH($B542,Students!$A$2:$A$301,0))="","",INDEX(Students!$B$2:$B$301,MATCH($B542,Students!$A$2:$A$301,0))),""))</f>
        <v/>
      </c>
      <c r="K542" s="25" t="str">
        <f aca="false">IF($A542="","",IF(D542="Withdrawn",0,IF(E542&lt;&gt;"",N(E542),IFERROR(N(INDEX(Activities!$I$2:$I$201,MATCH($A542,Activities!$A$2:$A$201,0))),0))))</f>
        <v/>
      </c>
      <c r="L542" s="24" t="str">
        <f aca="false">IF(AND($A542="",$B542=""),"",IF(ISNA(MATCH($A542,Activities!$A$2:$A$201,0)),"Unknown activity",IF(ISNA(MATCH($B542,Students!$A$2:$A$301,0)),"Unknown student",IF(D542="","No status",IF(COUNTIFS($A$2:$A$1001,$A542,$B$2:$B$1001,$B542)&gt;1,"Duplicate",IF(AND(D542&lt;&gt;"Withdrawn",G542&lt;&gt;"",COUNTIFS($B$2:$B$1001,$B542,$G$2:$G$1001,G542,$D$2:$D$1001,"&lt;&gt;Withdrawn")&gt;1),"Same-day clash","OK"))))))</f>
        <v/>
      </c>
    </row>
    <row r="543" customFormat="false" ht="15" hidden="false" customHeight="false" outlineLevel="0" collapsed="false">
      <c r="E543" s="26"/>
      <c r="G543" s="23" t="str">
        <f aca="false">IF($A543="","",IFERROR(IF(INDEX(Activities!$C$2:$C$201,MATCH($A543,Activities!$A$2:$A$201,0))="","",INDEX(Activities!$C$2:$C$201,MATCH($A543,Activities!$A$2:$A$201,0))),""))</f>
        <v/>
      </c>
      <c r="H543" s="24" t="str">
        <f aca="false">IF($A543="","",IFERROR(IF(INDEX(Activities!$B$2:$B$201,MATCH($A543,Activities!$A$2:$A$201,0))="","",INDEX(Activities!$B$2:$B$201,MATCH($A543,Activities!$A$2:$A$201,0))),""))</f>
        <v/>
      </c>
      <c r="I543" s="24" t="str">
        <f aca="false">IF($B543="","",IFERROR(IF(INDEX(Students!$C$2:$C$301,MATCH($B543,Students!$A$2:$A$301,0))="","",INDEX(Students!$C$2:$C$301,MATCH($B543,Students!$A$2:$A$301,0))),""))</f>
        <v/>
      </c>
      <c r="J543" s="24" t="str">
        <f aca="false">IF($B543="","",IFERROR(IF(INDEX(Students!$B$2:$B$301,MATCH($B543,Students!$A$2:$A$301,0))="","",INDEX(Students!$B$2:$B$301,MATCH($B543,Students!$A$2:$A$301,0))),""))</f>
        <v/>
      </c>
      <c r="K543" s="25" t="str">
        <f aca="false">IF($A543="","",IF(D543="Withdrawn",0,IF(E543&lt;&gt;"",N(E543),IFERROR(N(INDEX(Activities!$I$2:$I$201,MATCH($A543,Activities!$A$2:$A$201,0))),0))))</f>
        <v/>
      </c>
      <c r="L543" s="24" t="str">
        <f aca="false">IF(AND($A543="",$B543=""),"",IF(ISNA(MATCH($A543,Activities!$A$2:$A$201,0)),"Unknown activity",IF(ISNA(MATCH($B543,Students!$A$2:$A$301,0)),"Unknown student",IF(D543="","No status",IF(COUNTIFS($A$2:$A$1001,$A543,$B$2:$B$1001,$B543)&gt;1,"Duplicate",IF(AND(D543&lt;&gt;"Withdrawn",G543&lt;&gt;"",COUNTIFS($B$2:$B$1001,$B543,$G$2:$G$1001,G543,$D$2:$D$1001,"&lt;&gt;Withdrawn")&gt;1),"Same-day clash","OK"))))))</f>
        <v/>
      </c>
    </row>
    <row r="544" customFormat="false" ht="15" hidden="false" customHeight="false" outlineLevel="0" collapsed="false">
      <c r="E544" s="26"/>
      <c r="G544" s="23" t="str">
        <f aca="false">IF($A544="","",IFERROR(IF(INDEX(Activities!$C$2:$C$201,MATCH($A544,Activities!$A$2:$A$201,0))="","",INDEX(Activities!$C$2:$C$201,MATCH($A544,Activities!$A$2:$A$201,0))),""))</f>
        <v/>
      </c>
      <c r="H544" s="24" t="str">
        <f aca="false">IF($A544="","",IFERROR(IF(INDEX(Activities!$B$2:$B$201,MATCH($A544,Activities!$A$2:$A$201,0))="","",INDEX(Activities!$B$2:$B$201,MATCH($A544,Activities!$A$2:$A$201,0))),""))</f>
        <v/>
      </c>
      <c r="I544" s="24" t="str">
        <f aca="false">IF($B544="","",IFERROR(IF(INDEX(Students!$C$2:$C$301,MATCH($B544,Students!$A$2:$A$301,0))="","",INDEX(Students!$C$2:$C$301,MATCH($B544,Students!$A$2:$A$301,0))),""))</f>
        <v/>
      </c>
      <c r="J544" s="24" t="str">
        <f aca="false">IF($B544="","",IFERROR(IF(INDEX(Students!$B$2:$B$301,MATCH($B544,Students!$A$2:$A$301,0))="","",INDEX(Students!$B$2:$B$301,MATCH($B544,Students!$A$2:$A$301,0))),""))</f>
        <v/>
      </c>
      <c r="K544" s="25" t="str">
        <f aca="false">IF($A544="","",IF(D544="Withdrawn",0,IF(E544&lt;&gt;"",N(E544),IFERROR(N(INDEX(Activities!$I$2:$I$201,MATCH($A544,Activities!$A$2:$A$201,0))),0))))</f>
        <v/>
      </c>
      <c r="L544" s="24" t="str">
        <f aca="false">IF(AND($A544="",$B544=""),"",IF(ISNA(MATCH($A544,Activities!$A$2:$A$201,0)),"Unknown activity",IF(ISNA(MATCH($B544,Students!$A$2:$A$301,0)),"Unknown student",IF(D544="","No status",IF(COUNTIFS($A$2:$A$1001,$A544,$B$2:$B$1001,$B544)&gt;1,"Duplicate",IF(AND(D544&lt;&gt;"Withdrawn",G544&lt;&gt;"",COUNTIFS($B$2:$B$1001,$B544,$G$2:$G$1001,G544,$D$2:$D$1001,"&lt;&gt;Withdrawn")&gt;1),"Same-day clash","OK"))))))</f>
        <v/>
      </c>
    </row>
    <row r="545" customFormat="false" ht="15" hidden="false" customHeight="false" outlineLevel="0" collapsed="false">
      <c r="E545" s="26"/>
      <c r="G545" s="23" t="str">
        <f aca="false">IF($A545="","",IFERROR(IF(INDEX(Activities!$C$2:$C$201,MATCH($A545,Activities!$A$2:$A$201,0))="","",INDEX(Activities!$C$2:$C$201,MATCH($A545,Activities!$A$2:$A$201,0))),""))</f>
        <v/>
      </c>
      <c r="H545" s="24" t="str">
        <f aca="false">IF($A545="","",IFERROR(IF(INDEX(Activities!$B$2:$B$201,MATCH($A545,Activities!$A$2:$A$201,0))="","",INDEX(Activities!$B$2:$B$201,MATCH($A545,Activities!$A$2:$A$201,0))),""))</f>
        <v/>
      </c>
      <c r="I545" s="24" t="str">
        <f aca="false">IF($B545="","",IFERROR(IF(INDEX(Students!$C$2:$C$301,MATCH($B545,Students!$A$2:$A$301,0))="","",INDEX(Students!$C$2:$C$301,MATCH($B545,Students!$A$2:$A$301,0))),""))</f>
        <v/>
      </c>
      <c r="J545" s="24" t="str">
        <f aca="false">IF($B545="","",IFERROR(IF(INDEX(Students!$B$2:$B$301,MATCH($B545,Students!$A$2:$A$301,0))="","",INDEX(Students!$B$2:$B$301,MATCH($B545,Students!$A$2:$A$301,0))),""))</f>
        <v/>
      </c>
      <c r="K545" s="25" t="str">
        <f aca="false">IF($A545="","",IF(D545="Withdrawn",0,IF(E545&lt;&gt;"",N(E545),IFERROR(N(INDEX(Activities!$I$2:$I$201,MATCH($A545,Activities!$A$2:$A$201,0))),0))))</f>
        <v/>
      </c>
      <c r="L545" s="24" t="str">
        <f aca="false">IF(AND($A545="",$B545=""),"",IF(ISNA(MATCH($A545,Activities!$A$2:$A$201,0)),"Unknown activity",IF(ISNA(MATCH($B545,Students!$A$2:$A$301,0)),"Unknown student",IF(D545="","No status",IF(COUNTIFS($A$2:$A$1001,$A545,$B$2:$B$1001,$B545)&gt;1,"Duplicate",IF(AND(D545&lt;&gt;"Withdrawn",G545&lt;&gt;"",COUNTIFS($B$2:$B$1001,$B545,$G$2:$G$1001,G545,$D$2:$D$1001,"&lt;&gt;Withdrawn")&gt;1),"Same-day clash","OK"))))))</f>
        <v/>
      </c>
    </row>
    <row r="546" customFormat="false" ht="15" hidden="false" customHeight="false" outlineLevel="0" collapsed="false">
      <c r="E546" s="26"/>
      <c r="G546" s="23" t="str">
        <f aca="false">IF($A546="","",IFERROR(IF(INDEX(Activities!$C$2:$C$201,MATCH($A546,Activities!$A$2:$A$201,0))="","",INDEX(Activities!$C$2:$C$201,MATCH($A546,Activities!$A$2:$A$201,0))),""))</f>
        <v/>
      </c>
      <c r="H546" s="24" t="str">
        <f aca="false">IF($A546="","",IFERROR(IF(INDEX(Activities!$B$2:$B$201,MATCH($A546,Activities!$A$2:$A$201,0))="","",INDEX(Activities!$B$2:$B$201,MATCH($A546,Activities!$A$2:$A$201,0))),""))</f>
        <v/>
      </c>
      <c r="I546" s="24" t="str">
        <f aca="false">IF($B546="","",IFERROR(IF(INDEX(Students!$C$2:$C$301,MATCH($B546,Students!$A$2:$A$301,0))="","",INDEX(Students!$C$2:$C$301,MATCH($B546,Students!$A$2:$A$301,0))),""))</f>
        <v/>
      </c>
      <c r="J546" s="24" t="str">
        <f aca="false">IF($B546="","",IFERROR(IF(INDEX(Students!$B$2:$B$301,MATCH($B546,Students!$A$2:$A$301,0))="","",INDEX(Students!$B$2:$B$301,MATCH($B546,Students!$A$2:$A$301,0))),""))</f>
        <v/>
      </c>
      <c r="K546" s="25" t="str">
        <f aca="false">IF($A546="","",IF(D546="Withdrawn",0,IF(E546&lt;&gt;"",N(E546),IFERROR(N(INDEX(Activities!$I$2:$I$201,MATCH($A546,Activities!$A$2:$A$201,0))),0))))</f>
        <v/>
      </c>
      <c r="L546" s="24" t="str">
        <f aca="false">IF(AND($A546="",$B546=""),"",IF(ISNA(MATCH($A546,Activities!$A$2:$A$201,0)),"Unknown activity",IF(ISNA(MATCH($B546,Students!$A$2:$A$301,0)),"Unknown student",IF(D546="","No status",IF(COUNTIFS($A$2:$A$1001,$A546,$B$2:$B$1001,$B546)&gt;1,"Duplicate",IF(AND(D546&lt;&gt;"Withdrawn",G546&lt;&gt;"",COUNTIFS($B$2:$B$1001,$B546,$G$2:$G$1001,G546,$D$2:$D$1001,"&lt;&gt;Withdrawn")&gt;1),"Same-day clash","OK"))))))</f>
        <v/>
      </c>
    </row>
    <row r="547" customFormat="false" ht="15" hidden="false" customHeight="false" outlineLevel="0" collapsed="false">
      <c r="E547" s="26"/>
      <c r="G547" s="23" t="str">
        <f aca="false">IF($A547="","",IFERROR(IF(INDEX(Activities!$C$2:$C$201,MATCH($A547,Activities!$A$2:$A$201,0))="","",INDEX(Activities!$C$2:$C$201,MATCH($A547,Activities!$A$2:$A$201,0))),""))</f>
        <v/>
      </c>
      <c r="H547" s="24" t="str">
        <f aca="false">IF($A547="","",IFERROR(IF(INDEX(Activities!$B$2:$B$201,MATCH($A547,Activities!$A$2:$A$201,0))="","",INDEX(Activities!$B$2:$B$201,MATCH($A547,Activities!$A$2:$A$201,0))),""))</f>
        <v/>
      </c>
      <c r="I547" s="24" t="str">
        <f aca="false">IF($B547="","",IFERROR(IF(INDEX(Students!$C$2:$C$301,MATCH($B547,Students!$A$2:$A$301,0))="","",INDEX(Students!$C$2:$C$301,MATCH($B547,Students!$A$2:$A$301,0))),""))</f>
        <v/>
      </c>
      <c r="J547" s="24" t="str">
        <f aca="false">IF($B547="","",IFERROR(IF(INDEX(Students!$B$2:$B$301,MATCH($B547,Students!$A$2:$A$301,0))="","",INDEX(Students!$B$2:$B$301,MATCH($B547,Students!$A$2:$A$301,0))),""))</f>
        <v/>
      </c>
      <c r="K547" s="25" t="str">
        <f aca="false">IF($A547="","",IF(D547="Withdrawn",0,IF(E547&lt;&gt;"",N(E547),IFERROR(N(INDEX(Activities!$I$2:$I$201,MATCH($A547,Activities!$A$2:$A$201,0))),0))))</f>
        <v/>
      </c>
      <c r="L547" s="24" t="str">
        <f aca="false">IF(AND($A547="",$B547=""),"",IF(ISNA(MATCH($A547,Activities!$A$2:$A$201,0)),"Unknown activity",IF(ISNA(MATCH($B547,Students!$A$2:$A$301,0)),"Unknown student",IF(D547="","No status",IF(COUNTIFS($A$2:$A$1001,$A547,$B$2:$B$1001,$B547)&gt;1,"Duplicate",IF(AND(D547&lt;&gt;"Withdrawn",G547&lt;&gt;"",COUNTIFS($B$2:$B$1001,$B547,$G$2:$G$1001,G547,$D$2:$D$1001,"&lt;&gt;Withdrawn")&gt;1),"Same-day clash","OK"))))))</f>
        <v/>
      </c>
    </row>
    <row r="548" customFormat="false" ht="15" hidden="false" customHeight="false" outlineLevel="0" collapsed="false">
      <c r="E548" s="26"/>
      <c r="G548" s="23" t="str">
        <f aca="false">IF($A548="","",IFERROR(IF(INDEX(Activities!$C$2:$C$201,MATCH($A548,Activities!$A$2:$A$201,0))="","",INDEX(Activities!$C$2:$C$201,MATCH($A548,Activities!$A$2:$A$201,0))),""))</f>
        <v/>
      </c>
      <c r="H548" s="24" t="str">
        <f aca="false">IF($A548="","",IFERROR(IF(INDEX(Activities!$B$2:$B$201,MATCH($A548,Activities!$A$2:$A$201,0))="","",INDEX(Activities!$B$2:$B$201,MATCH($A548,Activities!$A$2:$A$201,0))),""))</f>
        <v/>
      </c>
      <c r="I548" s="24" t="str">
        <f aca="false">IF($B548="","",IFERROR(IF(INDEX(Students!$C$2:$C$301,MATCH($B548,Students!$A$2:$A$301,0))="","",INDEX(Students!$C$2:$C$301,MATCH($B548,Students!$A$2:$A$301,0))),""))</f>
        <v/>
      </c>
      <c r="J548" s="24" t="str">
        <f aca="false">IF($B548="","",IFERROR(IF(INDEX(Students!$B$2:$B$301,MATCH($B548,Students!$A$2:$A$301,0))="","",INDEX(Students!$B$2:$B$301,MATCH($B548,Students!$A$2:$A$301,0))),""))</f>
        <v/>
      </c>
      <c r="K548" s="25" t="str">
        <f aca="false">IF($A548="","",IF(D548="Withdrawn",0,IF(E548&lt;&gt;"",N(E548),IFERROR(N(INDEX(Activities!$I$2:$I$201,MATCH($A548,Activities!$A$2:$A$201,0))),0))))</f>
        <v/>
      </c>
      <c r="L548" s="24" t="str">
        <f aca="false">IF(AND($A548="",$B548=""),"",IF(ISNA(MATCH($A548,Activities!$A$2:$A$201,0)),"Unknown activity",IF(ISNA(MATCH($B548,Students!$A$2:$A$301,0)),"Unknown student",IF(D548="","No status",IF(COUNTIFS($A$2:$A$1001,$A548,$B$2:$B$1001,$B548)&gt;1,"Duplicate",IF(AND(D548&lt;&gt;"Withdrawn",G548&lt;&gt;"",COUNTIFS($B$2:$B$1001,$B548,$G$2:$G$1001,G548,$D$2:$D$1001,"&lt;&gt;Withdrawn")&gt;1),"Same-day clash","OK"))))))</f>
        <v/>
      </c>
    </row>
    <row r="549" customFormat="false" ht="15" hidden="false" customHeight="false" outlineLevel="0" collapsed="false">
      <c r="E549" s="26"/>
      <c r="G549" s="23" t="str">
        <f aca="false">IF($A549="","",IFERROR(IF(INDEX(Activities!$C$2:$C$201,MATCH($A549,Activities!$A$2:$A$201,0))="","",INDEX(Activities!$C$2:$C$201,MATCH($A549,Activities!$A$2:$A$201,0))),""))</f>
        <v/>
      </c>
      <c r="H549" s="24" t="str">
        <f aca="false">IF($A549="","",IFERROR(IF(INDEX(Activities!$B$2:$B$201,MATCH($A549,Activities!$A$2:$A$201,0))="","",INDEX(Activities!$B$2:$B$201,MATCH($A549,Activities!$A$2:$A$201,0))),""))</f>
        <v/>
      </c>
      <c r="I549" s="24" t="str">
        <f aca="false">IF($B549="","",IFERROR(IF(INDEX(Students!$C$2:$C$301,MATCH($B549,Students!$A$2:$A$301,0))="","",INDEX(Students!$C$2:$C$301,MATCH($B549,Students!$A$2:$A$301,0))),""))</f>
        <v/>
      </c>
      <c r="J549" s="24" t="str">
        <f aca="false">IF($B549="","",IFERROR(IF(INDEX(Students!$B$2:$B$301,MATCH($B549,Students!$A$2:$A$301,0))="","",INDEX(Students!$B$2:$B$301,MATCH($B549,Students!$A$2:$A$301,0))),""))</f>
        <v/>
      </c>
      <c r="K549" s="25" t="str">
        <f aca="false">IF($A549="","",IF(D549="Withdrawn",0,IF(E549&lt;&gt;"",N(E549),IFERROR(N(INDEX(Activities!$I$2:$I$201,MATCH($A549,Activities!$A$2:$A$201,0))),0))))</f>
        <v/>
      </c>
      <c r="L549" s="24" t="str">
        <f aca="false">IF(AND($A549="",$B549=""),"",IF(ISNA(MATCH($A549,Activities!$A$2:$A$201,0)),"Unknown activity",IF(ISNA(MATCH($B549,Students!$A$2:$A$301,0)),"Unknown student",IF(D549="","No status",IF(COUNTIFS($A$2:$A$1001,$A549,$B$2:$B$1001,$B549)&gt;1,"Duplicate",IF(AND(D549&lt;&gt;"Withdrawn",G549&lt;&gt;"",COUNTIFS($B$2:$B$1001,$B549,$G$2:$G$1001,G549,$D$2:$D$1001,"&lt;&gt;Withdrawn")&gt;1),"Same-day clash","OK"))))))</f>
        <v/>
      </c>
    </row>
    <row r="550" customFormat="false" ht="15" hidden="false" customHeight="false" outlineLevel="0" collapsed="false">
      <c r="E550" s="26"/>
      <c r="G550" s="23" t="str">
        <f aca="false">IF($A550="","",IFERROR(IF(INDEX(Activities!$C$2:$C$201,MATCH($A550,Activities!$A$2:$A$201,0))="","",INDEX(Activities!$C$2:$C$201,MATCH($A550,Activities!$A$2:$A$201,0))),""))</f>
        <v/>
      </c>
      <c r="H550" s="24" t="str">
        <f aca="false">IF($A550="","",IFERROR(IF(INDEX(Activities!$B$2:$B$201,MATCH($A550,Activities!$A$2:$A$201,0))="","",INDEX(Activities!$B$2:$B$201,MATCH($A550,Activities!$A$2:$A$201,0))),""))</f>
        <v/>
      </c>
      <c r="I550" s="24" t="str">
        <f aca="false">IF($B550="","",IFERROR(IF(INDEX(Students!$C$2:$C$301,MATCH($B550,Students!$A$2:$A$301,0))="","",INDEX(Students!$C$2:$C$301,MATCH($B550,Students!$A$2:$A$301,0))),""))</f>
        <v/>
      </c>
      <c r="J550" s="24" t="str">
        <f aca="false">IF($B550="","",IFERROR(IF(INDEX(Students!$B$2:$B$301,MATCH($B550,Students!$A$2:$A$301,0))="","",INDEX(Students!$B$2:$B$301,MATCH($B550,Students!$A$2:$A$301,0))),""))</f>
        <v/>
      </c>
      <c r="K550" s="25" t="str">
        <f aca="false">IF($A550="","",IF(D550="Withdrawn",0,IF(E550&lt;&gt;"",N(E550),IFERROR(N(INDEX(Activities!$I$2:$I$201,MATCH($A550,Activities!$A$2:$A$201,0))),0))))</f>
        <v/>
      </c>
      <c r="L550" s="24" t="str">
        <f aca="false">IF(AND($A550="",$B550=""),"",IF(ISNA(MATCH($A550,Activities!$A$2:$A$201,0)),"Unknown activity",IF(ISNA(MATCH($B550,Students!$A$2:$A$301,0)),"Unknown student",IF(D550="","No status",IF(COUNTIFS($A$2:$A$1001,$A550,$B$2:$B$1001,$B550)&gt;1,"Duplicate",IF(AND(D550&lt;&gt;"Withdrawn",G550&lt;&gt;"",COUNTIFS($B$2:$B$1001,$B550,$G$2:$G$1001,G550,$D$2:$D$1001,"&lt;&gt;Withdrawn")&gt;1),"Same-day clash","OK"))))))</f>
        <v/>
      </c>
    </row>
    <row r="551" customFormat="false" ht="15" hidden="false" customHeight="false" outlineLevel="0" collapsed="false">
      <c r="E551" s="26"/>
      <c r="G551" s="23" t="str">
        <f aca="false">IF($A551="","",IFERROR(IF(INDEX(Activities!$C$2:$C$201,MATCH($A551,Activities!$A$2:$A$201,0))="","",INDEX(Activities!$C$2:$C$201,MATCH($A551,Activities!$A$2:$A$201,0))),""))</f>
        <v/>
      </c>
      <c r="H551" s="24" t="str">
        <f aca="false">IF($A551="","",IFERROR(IF(INDEX(Activities!$B$2:$B$201,MATCH($A551,Activities!$A$2:$A$201,0))="","",INDEX(Activities!$B$2:$B$201,MATCH($A551,Activities!$A$2:$A$201,0))),""))</f>
        <v/>
      </c>
      <c r="I551" s="24" t="str">
        <f aca="false">IF($B551="","",IFERROR(IF(INDEX(Students!$C$2:$C$301,MATCH($B551,Students!$A$2:$A$301,0))="","",INDEX(Students!$C$2:$C$301,MATCH($B551,Students!$A$2:$A$301,0))),""))</f>
        <v/>
      </c>
      <c r="J551" s="24" t="str">
        <f aca="false">IF($B551="","",IFERROR(IF(INDEX(Students!$B$2:$B$301,MATCH($B551,Students!$A$2:$A$301,0))="","",INDEX(Students!$B$2:$B$301,MATCH($B551,Students!$A$2:$A$301,0))),""))</f>
        <v/>
      </c>
      <c r="K551" s="25" t="str">
        <f aca="false">IF($A551="","",IF(D551="Withdrawn",0,IF(E551&lt;&gt;"",N(E551),IFERROR(N(INDEX(Activities!$I$2:$I$201,MATCH($A551,Activities!$A$2:$A$201,0))),0))))</f>
        <v/>
      </c>
      <c r="L551" s="24" t="str">
        <f aca="false">IF(AND($A551="",$B551=""),"",IF(ISNA(MATCH($A551,Activities!$A$2:$A$201,0)),"Unknown activity",IF(ISNA(MATCH($B551,Students!$A$2:$A$301,0)),"Unknown student",IF(D551="","No status",IF(COUNTIFS($A$2:$A$1001,$A551,$B$2:$B$1001,$B551)&gt;1,"Duplicate",IF(AND(D551&lt;&gt;"Withdrawn",G551&lt;&gt;"",COUNTIFS($B$2:$B$1001,$B551,$G$2:$G$1001,G551,$D$2:$D$1001,"&lt;&gt;Withdrawn")&gt;1),"Same-day clash","OK"))))))</f>
        <v/>
      </c>
    </row>
    <row r="552" customFormat="false" ht="15" hidden="false" customHeight="false" outlineLevel="0" collapsed="false">
      <c r="E552" s="26"/>
      <c r="G552" s="23" t="str">
        <f aca="false">IF($A552="","",IFERROR(IF(INDEX(Activities!$C$2:$C$201,MATCH($A552,Activities!$A$2:$A$201,0))="","",INDEX(Activities!$C$2:$C$201,MATCH($A552,Activities!$A$2:$A$201,0))),""))</f>
        <v/>
      </c>
      <c r="H552" s="24" t="str">
        <f aca="false">IF($A552="","",IFERROR(IF(INDEX(Activities!$B$2:$B$201,MATCH($A552,Activities!$A$2:$A$201,0))="","",INDEX(Activities!$B$2:$B$201,MATCH($A552,Activities!$A$2:$A$201,0))),""))</f>
        <v/>
      </c>
      <c r="I552" s="24" t="str">
        <f aca="false">IF($B552="","",IFERROR(IF(INDEX(Students!$C$2:$C$301,MATCH($B552,Students!$A$2:$A$301,0))="","",INDEX(Students!$C$2:$C$301,MATCH($B552,Students!$A$2:$A$301,0))),""))</f>
        <v/>
      </c>
      <c r="J552" s="24" t="str">
        <f aca="false">IF($B552="","",IFERROR(IF(INDEX(Students!$B$2:$B$301,MATCH($B552,Students!$A$2:$A$301,0))="","",INDEX(Students!$B$2:$B$301,MATCH($B552,Students!$A$2:$A$301,0))),""))</f>
        <v/>
      </c>
      <c r="K552" s="25" t="str">
        <f aca="false">IF($A552="","",IF(D552="Withdrawn",0,IF(E552&lt;&gt;"",N(E552),IFERROR(N(INDEX(Activities!$I$2:$I$201,MATCH($A552,Activities!$A$2:$A$201,0))),0))))</f>
        <v/>
      </c>
      <c r="L552" s="24" t="str">
        <f aca="false">IF(AND($A552="",$B552=""),"",IF(ISNA(MATCH($A552,Activities!$A$2:$A$201,0)),"Unknown activity",IF(ISNA(MATCH($B552,Students!$A$2:$A$301,0)),"Unknown student",IF(D552="","No status",IF(COUNTIFS($A$2:$A$1001,$A552,$B$2:$B$1001,$B552)&gt;1,"Duplicate",IF(AND(D552&lt;&gt;"Withdrawn",G552&lt;&gt;"",COUNTIFS($B$2:$B$1001,$B552,$G$2:$G$1001,G552,$D$2:$D$1001,"&lt;&gt;Withdrawn")&gt;1),"Same-day clash","OK"))))))</f>
        <v/>
      </c>
    </row>
    <row r="553" customFormat="false" ht="15" hidden="false" customHeight="false" outlineLevel="0" collapsed="false">
      <c r="E553" s="26"/>
      <c r="G553" s="23" t="str">
        <f aca="false">IF($A553="","",IFERROR(IF(INDEX(Activities!$C$2:$C$201,MATCH($A553,Activities!$A$2:$A$201,0))="","",INDEX(Activities!$C$2:$C$201,MATCH($A553,Activities!$A$2:$A$201,0))),""))</f>
        <v/>
      </c>
      <c r="H553" s="24" t="str">
        <f aca="false">IF($A553="","",IFERROR(IF(INDEX(Activities!$B$2:$B$201,MATCH($A553,Activities!$A$2:$A$201,0))="","",INDEX(Activities!$B$2:$B$201,MATCH($A553,Activities!$A$2:$A$201,0))),""))</f>
        <v/>
      </c>
      <c r="I553" s="24" t="str">
        <f aca="false">IF($B553="","",IFERROR(IF(INDEX(Students!$C$2:$C$301,MATCH($B553,Students!$A$2:$A$301,0))="","",INDEX(Students!$C$2:$C$301,MATCH($B553,Students!$A$2:$A$301,0))),""))</f>
        <v/>
      </c>
      <c r="J553" s="24" t="str">
        <f aca="false">IF($B553="","",IFERROR(IF(INDEX(Students!$B$2:$B$301,MATCH($B553,Students!$A$2:$A$301,0))="","",INDEX(Students!$B$2:$B$301,MATCH($B553,Students!$A$2:$A$301,0))),""))</f>
        <v/>
      </c>
      <c r="K553" s="25" t="str">
        <f aca="false">IF($A553="","",IF(D553="Withdrawn",0,IF(E553&lt;&gt;"",N(E553),IFERROR(N(INDEX(Activities!$I$2:$I$201,MATCH($A553,Activities!$A$2:$A$201,0))),0))))</f>
        <v/>
      </c>
      <c r="L553" s="24" t="str">
        <f aca="false">IF(AND($A553="",$B553=""),"",IF(ISNA(MATCH($A553,Activities!$A$2:$A$201,0)),"Unknown activity",IF(ISNA(MATCH($B553,Students!$A$2:$A$301,0)),"Unknown student",IF(D553="","No status",IF(COUNTIFS($A$2:$A$1001,$A553,$B$2:$B$1001,$B553)&gt;1,"Duplicate",IF(AND(D553&lt;&gt;"Withdrawn",G553&lt;&gt;"",COUNTIFS($B$2:$B$1001,$B553,$G$2:$G$1001,G553,$D$2:$D$1001,"&lt;&gt;Withdrawn")&gt;1),"Same-day clash","OK"))))))</f>
        <v/>
      </c>
    </row>
    <row r="554" customFormat="false" ht="15" hidden="false" customHeight="false" outlineLevel="0" collapsed="false">
      <c r="E554" s="26"/>
      <c r="G554" s="23" t="str">
        <f aca="false">IF($A554="","",IFERROR(IF(INDEX(Activities!$C$2:$C$201,MATCH($A554,Activities!$A$2:$A$201,0))="","",INDEX(Activities!$C$2:$C$201,MATCH($A554,Activities!$A$2:$A$201,0))),""))</f>
        <v/>
      </c>
      <c r="H554" s="24" t="str">
        <f aca="false">IF($A554="","",IFERROR(IF(INDEX(Activities!$B$2:$B$201,MATCH($A554,Activities!$A$2:$A$201,0))="","",INDEX(Activities!$B$2:$B$201,MATCH($A554,Activities!$A$2:$A$201,0))),""))</f>
        <v/>
      </c>
      <c r="I554" s="24" t="str">
        <f aca="false">IF($B554="","",IFERROR(IF(INDEX(Students!$C$2:$C$301,MATCH($B554,Students!$A$2:$A$301,0))="","",INDEX(Students!$C$2:$C$301,MATCH($B554,Students!$A$2:$A$301,0))),""))</f>
        <v/>
      </c>
      <c r="J554" s="24" t="str">
        <f aca="false">IF($B554="","",IFERROR(IF(INDEX(Students!$B$2:$B$301,MATCH($B554,Students!$A$2:$A$301,0))="","",INDEX(Students!$B$2:$B$301,MATCH($B554,Students!$A$2:$A$301,0))),""))</f>
        <v/>
      </c>
      <c r="K554" s="25" t="str">
        <f aca="false">IF($A554="","",IF(D554="Withdrawn",0,IF(E554&lt;&gt;"",N(E554),IFERROR(N(INDEX(Activities!$I$2:$I$201,MATCH($A554,Activities!$A$2:$A$201,0))),0))))</f>
        <v/>
      </c>
      <c r="L554" s="24" t="str">
        <f aca="false">IF(AND($A554="",$B554=""),"",IF(ISNA(MATCH($A554,Activities!$A$2:$A$201,0)),"Unknown activity",IF(ISNA(MATCH($B554,Students!$A$2:$A$301,0)),"Unknown student",IF(D554="","No status",IF(COUNTIFS($A$2:$A$1001,$A554,$B$2:$B$1001,$B554)&gt;1,"Duplicate",IF(AND(D554&lt;&gt;"Withdrawn",G554&lt;&gt;"",COUNTIFS($B$2:$B$1001,$B554,$G$2:$G$1001,G554,$D$2:$D$1001,"&lt;&gt;Withdrawn")&gt;1),"Same-day clash","OK"))))))</f>
        <v/>
      </c>
    </row>
    <row r="555" customFormat="false" ht="15" hidden="false" customHeight="false" outlineLevel="0" collapsed="false">
      <c r="E555" s="26"/>
      <c r="G555" s="23" t="str">
        <f aca="false">IF($A555="","",IFERROR(IF(INDEX(Activities!$C$2:$C$201,MATCH($A555,Activities!$A$2:$A$201,0))="","",INDEX(Activities!$C$2:$C$201,MATCH($A555,Activities!$A$2:$A$201,0))),""))</f>
        <v/>
      </c>
      <c r="H555" s="24" t="str">
        <f aca="false">IF($A555="","",IFERROR(IF(INDEX(Activities!$B$2:$B$201,MATCH($A555,Activities!$A$2:$A$201,0))="","",INDEX(Activities!$B$2:$B$201,MATCH($A555,Activities!$A$2:$A$201,0))),""))</f>
        <v/>
      </c>
      <c r="I555" s="24" t="str">
        <f aca="false">IF($B555="","",IFERROR(IF(INDEX(Students!$C$2:$C$301,MATCH($B555,Students!$A$2:$A$301,0))="","",INDEX(Students!$C$2:$C$301,MATCH($B555,Students!$A$2:$A$301,0))),""))</f>
        <v/>
      </c>
      <c r="J555" s="24" t="str">
        <f aca="false">IF($B555="","",IFERROR(IF(INDEX(Students!$B$2:$B$301,MATCH($B555,Students!$A$2:$A$301,0))="","",INDEX(Students!$B$2:$B$301,MATCH($B555,Students!$A$2:$A$301,0))),""))</f>
        <v/>
      </c>
      <c r="K555" s="25" t="str">
        <f aca="false">IF($A555="","",IF(D555="Withdrawn",0,IF(E555&lt;&gt;"",N(E555),IFERROR(N(INDEX(Activities!$I$2:$I$201,MATCH($A555,Activities!$A$2:$A$201,0))),0))))</f>
        <v/>
      </c>
      <c r="L555" s="24" t="str">
        <f aca="false">IF(AND($A555="",$B555=""),"",IF(ISNA(MATCH($A555,Activities!$A$2:$A$201,0)),"Unknown activity",IF(ISNA(MATCH($B555,Students!$A$2:$A$301,0)),"Unknown student",IF(D555="","No status",IF(COUNTIFS($A$2:$A$1001,$A555,$B$2:$B$1001,$B555)&gt;1,"Duplicate",IF(AND(D555&lt;&gt;"Withdrawn",G555&lt;&gt;"",COUNTIFS($B$2:$B$1001,$B555,$G$2:$G$1001,G555,$D$2:$D$1001,"&lt;&gt;Withdrawn")&gt;1),"Same-day clash","OK"))))))</f>
        <v/>
      </c>
    </row>
    <row r="556" customFormat="false" ht="15" hidden="false" customHeight="false" outlineLevel="0" collapsed="false">
      <c r="E556" s="26"/>
      <c r="G556" s="23" t="str">
        <f aca="false">IF($A556="","",IFERROR(IF(INDEX(Activities!$C$2:$C$201,MATCH($A556,Activities!$A$2:$A$201,0))="","",INDEX(Activities!$C$2:$C$201,MATCH($A556,Activities!$A$2:$A$201,0))),""))</f>
        <v/>
      </c>
      <c r="H556" s="24" t="str">
        <f aca="false">IF($A556="","",IFERROR(IF(INDEX(Activities!$B$2:$B$201,MATCH($A556,Activities!$A$2:$A$201,0))="","",INDEX(Activities!$B$2:$B$201,MATCH($A556,Activities!$A$2:$A$201,0))),""))</f>
        <v/>
      </c>
      <c r="I556" s="24" t="str">
        <f aca="false">IF($B556="","",IFERROR(IF(INDEX(Students!$C$2:$C$301,MATCH($B556,Students!$A$2:$A$301,0))="","",INDEX(Students!$C$2:$C$301,MATCH($B556,Students!$A$2:$A$301,0))),""))</f>
        <v/>
      </c>
      <c r="J556" s="24" t="str">
        <f aca="false">IF($B556="","",IFERROR(IF(INDEX(Students!$B$2:$B$301,MATCH($B556,Students!$A$2:$A$301,0))="","",INDEX(Students!$B$2:$B$301,MATCH($B556,Students!$A$2:$A$301,0))),""))</f>
        <v/>
      </c>
      <c r="K556" s="25" t="str">
        <f aca="false">IF($A556="","",IF(D556="Withdrawn",0,IF(E556&lt;&gt;"",N(E556),IFERROR(N(INDEX(Activities!$I$2:$I$201,MATCH($A556,Activities!$A$2:$A$201,0))),0))))</f>
        <v/>
      </c>
      <c r="L556" s="24" t="str">
        <f aca="false">IF(AND($A556="",$B556=""),"",IF(ISNA(MATCH($A556,Activities!$A$2:$A$201,0)),"Unknown activity",IF(ISNA(MATCH($B556,Students!$A$2:$A$301,0)),"Unknown student",IF(D556="","No status",IF(COUNTIFS($A$2:$A$1001,$A556,$B$2:$B$1001,$B556)&gt;1,"Duplicate",IF(AND(D556&lt;&gt;"Withdrawn",G556&lt;&gt;"",COUNTIFS($B$2:$B$1001,$B556,$G$2:$G$1001,G556,$D$2:$D$1001,"&lt;&gt;Withdrawn")&gt;1),"Same-day clash","OK"))))))</f>
        <v/>
      </c>
    </row>
    <row r="557" customFormat="false" ht="15" hidden="false" customHeight="false" outlineLevel="0" collapsed="false">
      <c r="E557" s="26"/>
      <c r="G557" s="23" t="str">
        <f aca="false">IF($A557="","",IFERROR(IF(INDEX(Activities!$C$2:$C$201,MATCH($A557,Activities!$A$2:$A$201,0))="","",INDEX(Activities!$C$2:$C$201,MATCH($A557,Activities!$A$2:$A$201,0))),""))</f>
        <v/>
      </c>
      <c r="H557" s="24" t="str">
        <f aca="false">IF($A557="","",IFERROR(IF(INDEX(Activities!$B$2:$B$201,MATCH($A557,Activities!$A$2:$A$201,0))="","",INDEX(Activities!$B$2:$B$201,MATCH($A557,Activities!$A$2:$A$201,0))),""))</f>
        <v/>
      </c>
      <c r="I557" s="24" t="str">
        <f aca="false">IF($B557="","",IFERROR(IF(INDEX(Students!$C$2:$C$301,MATCH($B557,Students!$A$2:$A$301,0))="","",INDEX(Students!$C$2:$C$301,MATCH($B557,Students!$A$2:$A$301,0))),""))</f>
        <v/>
      </c>
      <c r="J557" s="24" t="str">
        <f aca="false">IF($B557="","",IFERROR(IF(INDEX(Students!$B$2:$B$301,MATCH($B557,Students!$A$2:$A$301,0))="","",INDEX(Students!$B$2:$B$301,MATCH($B557,Students!$A$2:$A$301,0))),""))</f>
        <v/>
      </c>
      <c r="K557" s="25" t="str">
        <f aca="false">IF($A557="","",IF(D557="Withdrawn",0,IF(E557&lt;&gt;"",N(E557),IFERROR(N(INDEX(Activities!$I$2:$I$201,MATCH($A557,Activities!$A$2:$A$201,0))),0))))</f>
        <v/>
      </c>
      <c r="L557" s="24" t="str">
        <f aca="false">IF(AND($A557="",$B557=""),"",IF(ISNA(MATCH($A557,Activities!$A$2:$A$201,0)),"Unknown activity",IF(ISNA(MATCH($B557,Students!$A$2:$A$301,0)),"Unknown student",IF(D557="","No status",IF(COUNTIFS($A$2:$A$1001,$A557,$B$2:$B$1001,$B557)&gt;1,"Duplicate",IF(AND(D557&lt;&gt;"Withdrawn",G557&lt;&gt;"",COUNTIFS($B$2:$B$1001,$B557,$G$2:$G$1001,G557,$D$2:$D$1001,"&lt;&gt;Withdrawn")&gt;1),"Same-day clash","OK"))))))</f>
        <v/>
      </c>
    </row>
    <row r="558" customFormat="false" ht="15" hidden="false" customHeight="false" outlineLevel="0" collapsed="false">
      <c r="E558" s="26"/>
      <c r="G558" s="23" t="str">
        <f aca="false">IF($A558="","",IFERROR(IF(INDEX(Activities!$C$2:$C$201,MATCH($A558,Activities!$A$2:$A$201,0))="","",INDEX(Activities!$C$2:$C$201,MATCH($A558,Activities!$A$2:$A$201,0))),""))</f>
        <v/>
      </c>
      <c r="H558" s="24" t="str">
        <f aca="false">IF($A558="","",IFERROR(IF(INDEX(Activities!$B$2:$B$201,MATCH($A558,Activities!$A$2:$A$201,0))="","",INDEX(Activities!$B$2:$B$201,MATCH($A558,Activities!$A$2:$A$201,0))),""))</f>
        <v/>
      </c>
      <c r="I558" s="24" t="str">
        <f aca="false">IF($B558="","",IFERROR(IF(INDEX(Students!$C$2:$C$301,MATCH($B558,Students!$A$2:$A$301,0))="","",INDEX(Students!$C$2:$C$301,MATCH($B558,Students!$A$2:$A$301,0))),""))</f>
        <v/>
      </c>
      <c r="J558" s="24" t="str">
        <f aca="false">IF($B558="","",IFERROR(IF(INDEX(Students!$B$2:$B$301,MATCH($B558,Students!$A$2:$A$301,0))="","",INDEX(Students!$B$2:$B$301,MATCH($B558,Students!$A$2:$A$301,0))),""))</f>
        <v/>
      </c>
      <c r="K558" s="25" t="str">
        <f aca="false">IF($A558="","",IF(D558="Withdrawn",0,IF(E558&lt;&gt;"",N(E558),IFERROR(N(INDEX(Activities!$I$2:$I$201,MATCH($A558,Activities!$A$2:$A$201,0))),0))))</f>
        <v/>
      </c>
      <c r="L558" s="24" t="str">
        <f aca="false">IF(AND($A558="",$B558=""),"",IF(ISNA(MATCH($A558,Activities!$A$2:$A$201,0)),"Unknown activity",IF(ISNA(MATCH($B558,Students!$A$2:$A$301,0)),"Unknown student",IF(D558="","No status",IF(COUNTIFS($A$2:$A$1001,$A558,$B$2:$B$1001,$B558)&gt;1,"Duplicate",IF(AND(D558&lt;&gt;"Withdrawn",G558&lt;&gt;"",COUNTIFS($B$2:$B$1001,$B558,$G$2:$G$1001,G558,$D$2:$D$1001,"&lt;&gt;Withdrawn")&gt;1),"Same-day clash","OK"))))))</f>
        <v/>
      </c>
    </row>
    <row r="559" customFormat="false" ht="15" hidden="false" customHeight="false" outlineLevel="0" collapsed="false">
      <c r="E559" s="26"/>
      <c r="G559" s="23" t="str">
        <f aca="false">IF($A559="","",IFERROR(IF(INDEX(Activities!$C$2:$C$201,MATCH($A559,Activities!$A$2:$A$201,0))="","",INDEX(Activities!$C$2:$C$201,MATCH($A559,Activities!$A$2:$A$201,0))),""))</f>
        <v/>
      </c>
      <c r="H559" s="24" t="str">
        <f aca="false">IF($A559="","",IFERROR(IF(INDEX(Activities!$B$2:$B$201,MATCH($A559,Activities!$A$2:$A$201,0))="","",INDEX(Activities!$B$2:$B$201,MATCH($A559,Activities!$A$2:$A$201,0))),""))</f>
        <v/>
      </c>
      <c r="I559" s="24" t="str">
        <f aca="false">IF($B559="","",IFERROR(IF(INDEX(Students!$C$2:$C$301,MATCH($B559,Students!$A$2:$A$301,0))="","",INDEX(Students!$C$2:$C$301,MATCH($B559,Students!$A$2:$A$301,0))),""))</f>
        <v/>
      </c>
      <c r="J559" s="24" t="str">
        <f aca="false">IF($B559="","",IFERROR(IF(INDEX(Students!$B$2:$B$301,MATCH($B559,Students!$A$2:$A$301,0))="","",INDEX(Students!$B$2:$B$301,MATCH($B559,Students!$A$2:$A$301,0))),""))</f>
        <v/>
      </c>
      <c r="K559" s="25" t="str">
        <f aca="false">IF($A559="","",IF(D559="Withdrawn",0,IF(E559&lt;&gt;"",N(E559),IFERROR(N(INDEX(Activities!$I$2:$I$201,MATCH($A559,Activities!$A$2:$A$201,0))),0))))</f>
        <v/>
      </c>
      <c r="L559" s="24" t="str">
        <f aca="false">IF(AND($A559="",$B559=""),"",IF(ISNA(MATCH($A559,Activities!$A$2:$A$201,0)),"Unknown activity",IF(ISNA(MATCH($B559,Students!$A$2:$A$301,0)),"Unknown student",IF(D559="","No status",IF(COUNTIFS($A$2:$A$1001,$A559,$B$2:$B$1001,$B559)&gt;1,"Duplicate",IF(AND(D559&lt;&gt;"Withdrawn",G559&lt;&gt;"",COUNTIFS($B$2:$B$1001,$B559,$G$2:$G$1001,G559,$D$2:$D$1001,"&lt;&gt;Withdrawn")&gt;1),"Same-day clash","OK"))))))</f>
        <v/>
      </c>
    </row>
    <row r="560" customFormat="false" ht="15" hidden="false" customHeight="false" outlineLevel="0" collapsed="false">
      <c r="E560" s="26"/>
      <c r="G560" s="23" t="str">
        <f aca="false">IF($A560="","",IFERROR(IF(INDEX(Activities!$C$2:$C$201,MATCH($A560,Activities!$A$2:$A$201,0))="","",INDEX(Activities!$C$2:$C$201,MATCH($A560,Activities!$A$2:$A$201,0))),""))</f>
        <v/>
      </c>
      <c r="H560" s="24" t="str">
        <f aca="false">IF($A560="","",IFERROR(IF(INDEX(Activities!$B$2:$B$201,MATCH($A560,Activities!$A$2:$A$201,0))="","",INDEX(Activities!$B$2:$B$201,MATCH($A560,Activities!$A$2:$A$201,0))),""))</f>
        <v/>
      </c>
      <c r="I560" s="24" t="str">
        <f aca="false">IF($B560="","",IFERROR(IF(INDEX(Students!$C$2:$C$301,MATCH($B560,Students!$A$2:$A$301,0))="","",INDEX(Students!$C$2:$C$301,MATCH($B560,Students!$A$2:$A$301,0))),""))</f>
        <v/>
      </c>
      <c r="J560" s="24" t="str">
        <f aca="false">IF($B560="","",IFERROR(IF(INDEX(Students!$B$2:$B$301,MATCH($B560,Students!$A$2:$A$301,0))="","",INDEX(Students!$B$2:$B$301,MATCH($B560,Students!$A$2:$A$301,0))),""))</f>
        <v/>
      </c>
      <c r="K560" s="25" t="str">
        <f aca="false">IF($A560="","",IF(D560="Withdrawn",0,IF(E560&lt;&gt;"",N(E560),IFERROR(N(INDEX(Activities!$I$2:$I$201,MATCH($A560,Activities!$A$2:$A$201,0))),0))))</f>
        <v/>
      </c>
      <c r="L560" s="24" t="str">
        <f aca="false">IF(AND($A560="",$B560=""),"",IF(ISNA(MATCH($A560,Activities!$A$2:$A$201,0)),"Unknown activity",IF(ISNA(MATCH($B560,Students!$A$2:$A$301,0)),"Unknown student",IF(D560="","No status",IF(COUNTIFS($A$2:$A$1001,$A560,$B$2:$B$1001,$B560)&gt;1,"Duplicate",IF(AND(D560&lt;&gt;"Withdrawn",G560&lt;&gt;"",COUNTIFS($B$2:$B$1001,$B560,$G$2:$G$1001,G560,$D$2:$D$1001,"&lt;&gt;Withdrawn")&gt;1),"Same-day clash","OK"))))))</f>
        <v/>
      </c>
    </row>
    <row r="561" customFormat="false" ht="15" hidden="false" customHeight="false" outlineLevel="0" collapsed="false">
      <c r="E561" s="26"/>
      <c r="G561" s="23" t="str">
        <f aca="false">IF($A561="","",IFERROR(IF(INDEX(Activities!$C$2:$C$201,MATCH($A561,Activities!$A$2:$A$201,0))="","",INDEX(Activities!$C$2:$C$201,MATCH($A561,Activities!$A$2:$A$201,0))),""))</f>
        <v/>
      </c>
      <c r="H561" s="24" t="str">
        <f aca="false">IF($A561="","",IFERROR(IF(INDEX(Activities!$B$2:$B$201,MATCH($A561,Activities!$A$2:$A$201,0))="","",INDEX(Activities!$B$2:$B$201,MATCH($A561,Activities!$A$2:$A$201,0))),""))</f>
        <v/>
      </c>
      <c r="I561" s="24" t="str">
        <f aca="false">IF($B561="","",IFERROR(IF(INDEX(Students!$C$2:$C$301,MATCH($B561,Students!$A$2:$A$301,0))="","",INDEX(Students!$C$2:$C$301,MATCH($B561,Students!$A$2:$A$301,0))),""))</f>
        <v/>
      </c>
      <c r="J561" s="24" t="str">
        <f aca="false">IF($B561="","",IFERROR(IF(INDEX(Students!$B$2:$B$301,MATCH($B561,Students!$A$2:$A$301,0))="","",INDEX(Students!$B$2:$B$301,MATCH($B561,Students!$A$2:$A$301,0))),""))</f>
        <v/>
      </c>
      <c r="K561" s="25" t="str">
        <f aca="false">IF($A561="","",IF(D561="Withdrawn",0,IF(E561&lt;&gt;"",N(E561),IFERROR(N(INDEX(Activities!$I$2:$I$201,MATCH($A561,Activities!$A$2:$A$201,0))),0))))</f>
        <v/>
      </c>
      <c r="L561" s="24" t="str">
        <f aca="false">IF(AND($A561="",$B561=""),"",IF(ISNA(MATCH($A561,Activities!$A$2:$A$201,0)),"Unknown activity",IF(ISNA(MATCH($B561,Students!$A$2:$A$301,0)),"Unknown student",IF(D561="","No status",IF(COUNTIFS($A$2:$A$1001,$A561,$B$2:$B$1001,$B561)&gt;1,"Duplicate",IF(AND(D561&lt;&gt;"Withdrawn",G561&lt;&gt;"",COUNTIFS($B$2:$B$1001,$B561,$G$2:$G$1001,G561,$D$2:$D$1001,"&lt;&gt;Withdrawn")&gt;1),"Same-day clash","OK"))))))</f>
        <v/>
      </c>
    </row>
    <row r="562" customFormat="false" ht="15" hidden="false" customHeight="false" outlineLevel="0" collapsed="false">
      <c r="E562" s="26"/>
      <c r="G562" s="23" t="str">
        <f aca="false">IF($A562="","",IFERROR(IF(INDEX(Activities!$C$2:$C$201,MATCH($A562,Activities!$A$2:$A$201,0))="","",INDEX(Activities!$C$2:$C$201,MATCH($A562,Activities!$A$2:$A$201,0))),""))</f>
        <v/>
      </c>
      <c r="H562" s="24" t="str">
        <f aca="false">IF($A562="","",IFERROR(IF(INDEX(Activities!$B$2:$B$201,MATCH($A562,Activities!$A$2:$A$201,0))="","",INDEX(Activities!$B$2:$B$201,MATCH($A562,Activities!$A$2:$A$201,0))),""))</f>
        <v/>
      </c>
      <c r="I562" s="24" t="str">
        <f aca="false">IF($B562="","",IFERROR(IF(INDEX(Students!$C$2:$C$301,MATCH($B562,Students!$A$2:$A$301,0))="","",INDEX(Students!$C$2:$C$301,MATCH($B562,Students!$A$2:$A$301,0))),""))</f>
        <v/>
      </c>
      <c r="J562" s="24" t="str">
        <f aca="false">IF($B562="","",IFERROR(IF(INDEX(Students!$B$2:$B$301,MATCH($B562,Students!$A$2:$A$301,0))="","",INDEX(Students!$B$2:$B$301,MATCH($B562,Students!$A$2:$A$301,0))),""))</f>
        <v/>
      </c>
      <c r="K562" s="25" t="str">
        <f aca="false">IF($A562="","",IF(D562="Withdrawn",0,IF(E562&lt;&gt;"",N(E562),IFERROR(N(INDEX(Activities!$I$2:$I$201,MATCH($A562,Activities!$A$2:$A$201,0))),0))))</f>
        <v/>
      </c>
      <c r="L562" s="24" t="str">
        <f aca="false">IF(AND($A562="",$B562=""),"",IF(ISNA(MATCH($A562,Activities!$A$2:$A$201,0)),"Unknown activity",IF(ISNA(MATCH($B562,Students!$A$2:$A$301,0)),"Unknown student",IF(D562="","No status",IF(COUNTIFS($A$2:$A$1001,$A562,$B$2:$B$1001,$B562)&gt;1,"Duplicate",IF(AND(D562&lt;&gt;"Withdrawn",G562&lt;&gt;"",COUNTIFS($B$2:$B$1001,$B562,$G$2:$G$1001,G562,$D$2:$D$1001,"&lt;&gt;Withdrawn")&gt;1),"Same-day clash","OK"))))))</f>
        <v/>
      </c>
    </row>
    <row r="563" customFormat="false" ht="15" hidden="false" customHeight="false" outlineLevel="0" collapsed="false">
      <c r="E563" s="26"/>
      <c r="G563" s="23" t="str">
        <f aca="false">IF($A563="","",IFERROR(IF(INDEX(Activities!$C$2:$C$201,MATCH($A563,Activities!$A$2:$A$201,0))="","",INDEX(Activities!$C$2:$C$201,MATCH($A563,Activities!$A$2:$A$201,0))),""))</f>
        <v/>
      </c>
      <c r="H563" s="24" t="str">
        <f aca="false">IF($A563="","",IFERROR(IF(INDEX(Activities!$B$2:$B$201,MATCH($A563,Activities!$A$2:$A$201,0))="","",INDEX(Activities!$B$2:$B$201,MATCH($A563,Activities!$A$2:$A$201,0))),""))</f>
        <v/>
      </c>
      <c r="I563" s="24" t="str">
        <f aca="false">IF($B563="","",IFERROR(IF(INDEX(Students!$C$2:$C$301,MATCH($B563,Students!$A$2:$A$301,0))="","",INDEX(Students!$C$2:$C$301,MATCH($B563,Students!$A$2:$A$301,0))),""))</f>
        <v/>
      </c>
      <c r="J563" s="24" t="str">
        <f aca="false">IF($B563="","",IFERROR(IF(INDEX(Students!$B$2:$B$301,MATCH($B563,Students!$A$2:$A$301,0))="","",INDEX(Students!$B$2:$B$301,MATCH($B563,Students!$A$2:$A$301,0))),""))</f>
        <v/>
      </c>
      <c r="K563" s="25" t="str">
        <f aca="false">IF($A563="","",IF(D563="Withdrawn",0,IF(E563&lt;&gt;"",N(E563),IFERROR(N(INDEX(Activities!$I$2:$I$201,MATCH($A563,Activities!$A$2:$A$201,0))),0))))</f>
        <v/>
      </c>
      <c r="L563" s="24" t="str">
        <f aca="false">IF(AND($A563="",$B563=""),"",IF(ISNA(MATCH($A563,Activities!$A$2:$A$201,0)),"Unknown activity",IF(ISNA(MATCH($B563,Students!$A$2:$A$301,0)),"Unknown student",IF(D563="","No status",IF(COUNTIFS($A$2:$A$1001,$A563,$B$2:$B$1001,$B563)&gt;1,"Duplicate",IF(AND(D563&lt;&gt;"Withdrawn",G563&lt;&gt;"",COUNTIFS($B$2:$B$1001,$B563,$G$2:$G$1001,G563,$D$2:$D$1001,"&lt;&gt;Withdrawn")&gt;1),"Same-day clash","OK"))))))</f>
        <v/>
      </c>
    </row>
    <row r="564" customFormat="false" ht="15" hidden="false" customHeight="false" outlineLevel="0" collapsed="false">
      <c r="E564" s="26"/>
      <c r="G564" s="23" t="str">
        <f aca="false">IF($A564="","",IFERROR(IF(INDEX(Activities!$C$2:$C$201,MATCH($A564,Activities!$A$2:$A$201,0))="","",INDEX(Activities!$C$2:$C$201,MATCH($A564,Activities!$A$2:$A$201,0))),""))</f>
        <v/>
      </c>
      <c r="H564" s="24" t="str">
        <f aca="false">IF($A564="","",IFERROR(IF(INDEX(Activities!$B$2:$B$201,MATCH($A564,Activities!$A$2:$A$201,0))="","",INDEX(Activities!$B$2:$B$201,MATCH($A564,Activities!$A$2:$A$201,0))),""))</f>
        <v/>
      </c>
      <c r="I564" s="24" t="str">
        <f aca="false">IF($B564="","",IFERROR(IF(INDEX(Students!$C$2:$C$301,MATCH($B564,Students!$A$2:$A$301,0))="","",INDEX(Students!$C$2:$C$301,MATCH($B564,Students!$A$2:$A$301,0))),""))</f>
        <v/>
      </c>
      <c r="J564" s="24" t="str">
        <f aca="false">IF($B564="","",IFERROR(IF(INDEX(Students!$B$2:$B$301,MATCH($B564,Students!$A$2:$A$301,0))="","",INDEX(Students!$B$2:$B$301,MATCH($B564,Students!$A$2:$A$301,0))),""))</f>
        <v/>
      </c>
      <c r="K564" s="25" t="str">
        <f aca="false">IF($A564="","",IF(D564="Withdrawn",0,IF(E564&lt;&gt;"",N(E564),IFERROR(N(INDEX(Activities!$I$2:$I$201,MATCH($A564,Activities!$A$2:$A$201,0))),0))))</f>
        <v/>
      </c>
      <c r="L564" s="24" t="str">
        <f aca="false">IF(AND($A564="",$B564=""),"",IF(ISNA(MATCH($A564,Activities!$A$2:$A$201,0)),"Unknown activity",IF(ISNA(MATCH($B564,Students!$A$2:$A$301,0)),"Unknown student",IF(D564="","No status",IF(COUNTIFS($A$2:$A$1001,$A564,$B$2:$B$1001,$B564)&gt;1,"Duplicate",IF(AND(D564&lt;&gt;"Withdrawn",G564&lt;&gt;"",COUNTIFS($B$2:$B$1001,$B564,$G$2:$G$1001,G564,$D$2:$D$1001,"&lt;&gt;Withdrawn")&gt;1),"Same-day clash","OK"))))))</f>
        <v/>
      </c>
    </row>
    <row r="565" customFormat="false" ht="15" hidden="false" customHeight="false" outlineLevel="0" collapsed="false">
      <c r="E565" s="26"/>
      <c r="G565" s="23" t="str">
        <f aca="false">IF($A565="","",IFERROR(IF(INDEX(Activities!$C$2:$C$201,MATCH($A565,Activities!$A$2:$A$201,0))="","",INDEX(Activities!$C$2:$C$201,MATCH($A565,Activities!$A$2:$A$201,0))),""))</f>
        <v/>
      </c>
      <c r="H565" s="24" t="str">
        <f aca="false">IF($A565="","",IFERROR(IF(INDEX(Activities!$B$2:$B$201,MATCH($A565,Activities!$A$2:$A$201,0))="","",INDEX(Activities!$B$2:$B$201,MATCH($A565,Activities!$A$2:$A$201,0))),""))</f>
        <v/>
      </c>
      <c r="I565" s="24" t="str">
        <f aca="false">IF($B565="","",IFERROR(IF(INDEX(Students!$C$2:$C$301,MATCH($B565,Students!$A$2:$A$301,0))="","",INDEX(Students!$C$2:$C$301,MATCH($B565,Students!$A$2:$A$301,0))),""))</f>
        <v/>
      </c>
      <c r="J565" s="24" t="str">
        <f aca="false">IF($B565="","",IFERROR(IF(INDEX(Students!$B$2:$B$301,MATCH($B565,Students!$A$2:$A$301,0))="","",INDEX(Students!$B$2:$B$301,MATCH($B565,Students!$A$2:$A$301,0))),""))</f>
        <v/>
      </c>
      <c r="K565" s="25" t="str">
        <f aca="false">IF($A565="","",IF(D565="Withdrawn",0,IF(E565&lt;&gt;"",N(E565),IFERROR(N(INDEX(Activities!$I$2:$I$201,MATCH($A565,Activities!$A$2:$A$201,0))),0))))</f>
        <v/>
      </c>
      <c r="L565" s="24" t="str">
        <f aca="false">IF(AND($A565="",$B565=""),"",IF(ISNA(MATCH($A565,Activities!$A$2:$A$201,0)),"Unknown activity",IF(ISNA(MATCH($B565,Students!$A$2:$A$301,0)),"Unknown student",IF(D565="","No status",IF(COUNTIFS($A$2:$A$1001,$A565,$B$2:$B$1001,$B565)&gt;1,"Duplicate",IF(AND(D565&lt;&gt;"Withdrawn",G565&lt;&gt;"",COUNTIFS($B$2:$B$1001,$B565,$G$2:$G$1001,G565,$D$2:$D$1001,"&lt;&gt;Withdrawn")&gt;1),"Same-day clash","OK"))))))</f>
        <v/>
      </c>
    </row>
    <row r="566" customFormat="false" ht="15" hidden="false" customHeight="false" outlineLevel="0" collapsed="false">
      <c r="E566" s="26"/>
      <c r="G566" s="23" t="str">
        <f aca="false">IF($A566="","",IFERROR(IF(INDEX(Activities!$C$2:$C$201,MATCH($A566,Activities!$A$2:$A$201,0))="","",INDEX(Activities!$C$2:$C$201,MATCH($A566,Activities!$A$2:$A$201,0))),""))</f>
        <v/>
      </c>
      <c r="H566" s="24" t="str">
        <f aca="false">IF($A566="","",IFERROR(IF(INDEX(Activities!$B$2:$B$201,MATCH($A566,Activities!$A$2:$A$201,0))="","",INDEX(Activities!$B$2:$B$201,MATCH($A566,Activities!$A$2:$A$201,0))),""))</f>
        <v/>
      </c>
      <c r="I566" s="24" t="str">
        <f aca="false">IF($B566="","",IFERROR(IF(INDEX(Students!$C$2:$C$301,MATCH($B566,Students!$A$2:$A$301,0))="","",INDEX(Students!$C$2:$C$301,MATCH($B566,Students!$A$2:$A$301,0))),""))</f>
        <v/>
      </c>
      <c r="J566" s="24" t="str">
        <f aca="false">IF($B566="","",IFERROR(IF(INDEX(Students!$B$2:$B$301,MATCH($B566,Students!$A$2:$A$301,0))="","",INDEX(Students!$B$2:$B$301,MATCH($B566,Students!$A$2:$A$301,0))),""))</f>
        <v/>
      </c>
      <c r="K566" s="25" t="str">
        <f aca="false">IF($A566="","",IF(D566="Withdrawn",0,IF(E566&lt;&gt;"",N(E566),IFERROR(N(INDEX(Activities!$I$2:$I$201,MATCH($A566,Activities!$A$2:$A$201,0))),0))))</f>
        <v/>
      </c>
      <c r="L566" s="24" t="str">
        <f aca="false">IF(AND($A566="",$B566=""),"",IF(ISNA(MATCH($A566,Activities!$A$2:$A$201,0)),"Unknown activity",IF(ISNA(MATCH($B566,Students!$A$2:$A$301,0)),"Unknown student",IF(D566="","No status",IF(COUNTIFS($A$2:$A$1001,$A566,$B$2:$B$1001,$B566)&gt;1,"Duplicate",IF(AND(D566&lt;&gt;"Withdrawn",G566&lt;&gt;"",COUNTIFS($B$2:$B$1001,$B566,$G$2:$G$1001,G566,$D$2:$D$1001,"&lt;&gt;Withdrawn")&gt;1),"Same-day clash","OK"))))))</f>
        <v/>
      </c>
    </row>
    <row r="567" customFormat="false" ht="15" hidden="false" customHeight="false" outlineLevel="0" collapsed="false">
      <c r="E567" s="26"/>
      <c r="G567" s="23" t="str">
        <f aca="false">IF($A567="","",IFERROR(IF(INDEX(Activities!$C$2:$C$201,MATCH($A567,Activities!$A$2:$A$201,0))="","",INDEX(Activities!$C$2:$C$201,MATCH($A567,Activities!$A$2:$A$201,0))),""))</f>
        <v/>
      </c>
      <c r="H567" s="24" t="str">
        <f aca="false">IF($A567="","",IFERROR(IF(INDEX(Activities!$B$2:$B$201,MATCH($A567,Activities!$A$2:$A$201,0))="","",INDEX(Activities!$B$2:$B$201,MATCH($A567,Activities!$A$2:$A$201,0))),""))</f>
        <v/>
      </c>
      <c r="I567" s="24" t="str">
        <f aca="false">IF($B567="","",IFERROR(IF(INDEX(Students!$C$2:$C$301,MATCH($B567,Students!$A$2:$A$301,0))="","",INDEX(Students!$C$2:$C$301,MATCH($B567,Students!$A$2:$A$301,0))),""))</f>
        <v/>
      </c>
      <c r="J567" s="24" t="str">
        <f aca="false">IF($B567="","",IFERROR(IF(INDEX(Students!$B$2:$B$301,MATCH($B567,Students!$A$2:$A$301,0))="","",INDEX(Students!$B$2:$B$301,MATCH($B567,Students!$A$2:$A$301,0))),""))</f>
        <v/>
      </c>
      <c r="K567" s="25" t="str">
        <f aca="false">IF($A567="","",IF(D567="Withdrawn",0,IF(E567&lt;&gt;"",N(E567),IFERROR(N(INDEX(Activities!$I$2:$I$201,MATCH($A567,Activities!$A$2:$A$201,0))),0))))</f>
        <v/>
      </c>
      <c r="L567" s="24" t="str">
        <f aca="false">IF(AND($A567="",$B567=""),"",IF(ISNA(MATCH($A567,Activities!$A$2:$A$201,0)),"Unknown activity",IF(ISNA(MATCH($B567,Students!$A$2:$A$301,0)),"Unknown student",IF(D567="","No status",IF(COUNTIFS($A$2:$A$1001,$A567,$B$2:$B$1001,$B567)&gt;1,"Duplicate",IF(AND(D567&lt;&gt;"Withdrawn",G567&lt;&gt;"",COUNTIFS($B$2:$B$1001,$B567,$G$2:$G$1001,G567,$D$2:$D$1001,"&lt;&gt;Withdrawn")&gt;1),"Same-day clash","OK"))))))</f>
        <v/>
      </c>
    </row>
    <row r="568" customFormat="false" ht="15" hidden="false" customHeight="false" outlineLevel="0" collapsed="false">
      <c r="E568" s="26"/>
      <c r="G568" s="23" t="str">
        <f aca="false">IF($A568="","",IFERROR(IF(INDEX(Activities!$C$2:$C$201,MATCH($A568,Activities!$A$2:$A$201,0))="","",INDEX(Activities!$C$2:$C$201,MATCH($A568,Activities!$A$2:$A$201,0))),""))</f>
        <v/>
      </c>
      <c r="H568" s="24" t="str">
        <f aca="false">IF($A568="","",IFERROR(IF(INDEX(Activities!$B$2:$B$201,MATCH($A568,Activities!$A$2:$A$201,0))="","",INDEX(Activities!$B$2:$B$201,MATCH($A568,Activities!$A$2:$A$201,0))),""))</f>
        <v/>
      </c>
      <c r="I568" s="24" t="str">
        <f aca="false">IF($B568="","",IFERROR(IF(INDEX(Students!$C$2:$C$301,MATCH($B568,Students!$A$2:$A$301,0))="","",INDEX(Students!$C$2:$C$301,MATCH($B568,Students!$A$2:$A$301,0))),""))</f>
        <v/>
      </c>
      <c r="J568" s="24" t="str">
        <f aca="false">IF($B568="","",IFERROR(IF(INDEX(Students!$B$2:$B$301,MATCH($B568,Students!$A$2:$A$301,0))="","",INDEX(Students!$B$2:$B$301,MATCH($B568,Students!$A$2:$A$301,0))),""))</f>
        <v/>
      </c>
      <c r="K568" s="25" t="str">
        <f aca="false">IF($A568="","",IF(D568="Withdrawn",0,IF(E568&lt;&gt;"",N(E568),IFERROR(N(INDEX(Activities!$I$2:$I$201,MATCH($A568,Activities!$A$2:$A$201,0))),0))))</f>
        <v/>
      </c>
      <c r="L568" s="24" t="str">
        <f aca="false">IF(AND($A568="",$B568=""),"",IF(ISNA(MATCH($A568,Activities!$A$2:$A$201,0)),"Unknown activity",IF(ISNA(MATCH($B568,Students!$A$2:$A$301,0)),"Unknown student",IF(D568="","No status",IF(COUNTIFS($A$2:$A$1001,$A568,$B$2:$B$1001,$B568)&gt;1,"Duplicate",IF(AND(D568&lt;&gt;"Withdrawn",G568&lt;&gt;"",COUNTIFS($B$2:$B$1001,$B568,$G$2:$G$1001,G568,$D$2:$D$1001,"&lt;&gt;Withdrawn")&gt;1),"Same-day clash","OK"))))))</f>
        <v/>
      </c>
    </row>
    <row r="569" customFormat="false" ht="15" hidden="false" customHeight="false" outlineLevel="0" collapsed="false">
      <c r="E569" s="26"/>
      <c r="G569" s="23" t="str">
        <f aca="false">IF($A569="","",IFERROR(IF(INDEX(Activities!$C$2:$C$201,MATCH($A569,Activities!$A$2:$A$201,0))="","",INDEX(Activities!$C$2:$C$201,MATCH($A569,Activities!$A$2:$A$201,0))),""))</f>
        <v/>
      </c>
      <c r="H569" s="24" t="str">
        <f aca="false">IF($A569="","",IFERROR(IF(INDEX(Activities!$B$2:$B$201,MATCH($A569,Activities!$A$2:$A$201,0))="","",INDEX(Activities!$B$2:$B$201,MATCH($A569,Activities!$A$2:$A$201,0))),""))</f>
        <v/>
      </c>
      <c r="I569" s="24" t="str">
        <f aca="false">IF($B569="","",IFERROR(IF(INDEX(Students!$C$2:$C$301,MATCH($B569,Students!$A$2:$A$301,0))="","",INDEX(Students!$C$2:$C$301,MATCH($B569,Students!$A$2:$A$301,0))),""))</f>
        <v/>
      </c>
      <c r="J569" s="24" t="str">
        <f aca="false">IF($B569="","",IFERROR(IF(INDEX(Students!$B$2:$B$301,MATCH($B569,Students!$A$2:$A$301,0))="","",INDEX(Students!$B$2:$B$301,MATCH($B569,Students!$A$2:$A$301,0))),""))</f>
        <v/>
      </c>
      <c r="K569" s="25" t="str">
        <f aca="false">IF($A569="","",IF(D569="Withdrawn",0,IF(E569&lt;&gt;"",N(E569),IFERROR(N(INDEX(Activities!$I$2:$I$201,MATCH($A569,Activities!$A$2:$A$201,0))),0))))</f>
        <v/>
      </c>
      <c r="L569" s="24" t="str">
        <f aca="false">IF(AND($A569="",$B569=""),"",IF(ISNA(MATCH($A569,Activities!$A$2:$A$201,0)),"Unknown activity",IF(ISNA(MATCH($B569,Students!$A$2:$A$301,0)),"Unknown student",IF(D569="","No status",IF(COUNTIFS($A$2:$A$1001,$A569,$B$2:$B$1001,$B569)&gt;1,"Duplicate",IF(AND(D569&lt;&gt;"Withdrawn",G569&lt;&gt;"",COUNTIFS($B$2:$B$1001,$B569,$G$2:$G$1001,G569,$D$2:$D$1001,"&lt;&gt;Withdrawn")&gt;1),"Same-day clash","OK"))))))</f>
        <v/>
      </c>
    </row>
    <row r="570" customFormat="false" ht="15" hidden="false" customHeight="false" outlineLevel="0" collapsed="false">
      <c r="E570" s="26"/>
      <c r="G570" s="23" t="str">
        <f aca="false">IF($A570="","",IFERROR(IF(INDEX(Activities!$C$2:$C$201,MATCH($A570,Activities!$A$2:$A$201,0))="","",INDEX(Activities!$C$2:$C$201,MATCH($A570,Activities!$A$2:$A$201,0))),""))</f>
        <v/>
      </c>
      <c r="H570" s="24" t="str">
        <f aca="false">IF($A570="","",IFERROR(IF(INDEX(Activities!$B$2:$B$201,MATCH($A570,Activities!$A$2:$A$201,0))="","",INDEX(Activities!$B$2:$B$201,MATCH($A570,Activities!$A$2:$A$201,0))),""))</f>
        <v/>
      </c>
      <c r="I570" s="24" t="str">
        <f aca="false">IF($B570="","",IFERROR(IF(INDEX(Students!$C$2:$C$301,MATCH($B570,Students!$A$2:$A$301,0))="","",INDEX(Students!$C$2:$C$301,MATCH($B570,Students!$A$2:$A$301,0))),""))</f>
        <v/>
      </c>
      <c r="J570" s="24" t="str">
        <f aca="false">IF($B570="","",IFERROR(IF(INDEX(Students!$B$2:$B$301,MATCH($B570,Students!$A$2:$A$301,0))="","",INDEX(Students!$B$2:$B$301,MATCH($B570,Students!$A$2:$A$301,0))),""))</f>
        <v/>
      </c>
      <c r="K570" s="25" t="str">
        <f aca="false">IF($A570="","",IF(D570="Withdrawn",0,IF(E570&lt;&gt;"",N(E570),IFERROR(N(INDEX(Activities!$I$2:$I$201,MATCH($A570,Activities!$A$2:$A$201,0))),0))))</f>
        <v/>
      </c>
      <c r="L570" s="24" t="str">
        <f aca="false">IF(AND($A570="",$B570=""),"",IF(ISNA(MATCH($A570,Activities!$A$2:$A$201,0)),"Unknown activity",IF(ISNA(MATCH($B570,Students!$A$2:$A$301,0)),"Unknown student",IF(D570="","No status",IF(COUNTIFS($A$2:$A$1001,$A570,$B$2:$B$1001,$B570)&gt;1,"Duplicate",IF(AND(D570&lt;&gt;"Withdrawn",G570&lt;&gt;"",COUNTIFS($B$2:$B$1001,$B570,$G$2:$G$1001,G570,$D$2:$D$1001,"&lt;&gt;Withdrawn")&gt;1),"Same-day clash","OK"))))))</f>
        <v/>
      </c>
    </row>
    <row r="571" customFormat="false" ht="15" hidden="false" customHeight="false" outlineLevel="0" collapsed="false">
      <c r="E571" s="26"/>
      <c r="G571" s="23" t="str">
        <f aca="false">IF($A571="","",IFERROR(IF(INDEX(Activities!$C$2:$C$201,MATCH($A571,Activities!$A$2:$A$201,0))="","",INDEX(Activities!$C$2:$C$201,MATCH($A571,Activities!$A$2:$A$201,0))),""))</f>
        <v/>
      </c>
      <c r="H571" s="24" t="str">
        <f aca="false">IF($A571="","",IFERROR(IF(INDEX(Activities!$B$2:$B$201,MATCH($A571,Activities!$A$2:$A$201,0))="","",INDEX(Activities!$B$2:$B$201,MATCH($A571,Activities!$A$2:$A$201,0))),""))</f>
        <v/>
      </c>
      <c r="I571" s="24" t="str">
        <f aca="false">IF($B571="","",IFERROR(IF(INDEX(Students!$C$2:$C$301,MATCH($B571,Students!$A$2:$A$301,0))="","",INDEX(Students!$C$2:$C$301,MATCH($B571,Students!$A$2:$A$301,0))),""))</f>
        <v/>
      </c>
      <c r="J571" s="24" t="str">
        <f aca="false">IF($B571="","",IFERROR(IF(INDEX(Students!$B$2:$B$301,MATCH($B571,Students!$A$2:$A$301,0))="","",INDEX(Students!$B$2:$B$301,MATCH($B571,Students!$A$2:$A$301,0))),""))</f>
        <v/>
      </c>
      <c r="K571" s="25" t="str">
        <f aca="false">IF($A571="","",IF(D571="Withdrawn",0,IF(E571&lt;&gt;"",N(E571),IFERROR(N(INDEX(Activities!$I$2:$I$201,MATCH($A571,Activities!$A$2:$A$201,0))),0))))</f>
        <v/>
      </c>
      <c r="L571" s="24" t="str">
        <f aca="false">IF(AND($A571="",$B571=""),"",IF(ISNA(MATCH($A571,Activities!$A$2:$A$201,0)),"Unknown activity",IF(ISNA(MATCH($B571,Students!$A$2:$A$301,0)),"Unknown student",IF(D571="","No status",IF(COUNTIFS($A$2:$A$1001,$A571,$B$2:$B$1001,$B571)&gt;1,"Duplicate",IF(AND(D571&lt;&gt;"Withdrawn",G571&lt;&gt;"",COUNTIFS($B$2:$B$1001,$B571,$G$2:$G$1001,G571,$D$2:$D$1001,"&lt;&gt;Withdrawn")&gt;1),"Same-day clash","OK"))))))</f>
        <v/>
      </c>
    </row>
    <row r="572" customFormat="false" ht="15" hidden="false" customHeight="false" outlineLevel="0" collapsed="false">
      <c r="E572" s="26"/>
      <c r="G572" s="23" t="str">
        <f aca="false">IF($A572="","",IFERROR(IF(INDEX(Activities!$C$2:$C$201,MATCH($A572,Activities!$A$2:$A$201,0))="","",INDEX(Activities!$C$2:$C$201,MATCH($A572,Activities!$A$2:$A$201,0))),""))</f>
        <v/>
      </c>
      <c r="H572" s="24" t="str">
        <f aca="false">IF($A572="","",IFERROR(IF(INDEX(Activities!$B$2:$B$201,MATCH($A572,Activities!$A$2:$A$201,0))="","",INDEX(Activities!$B$2:$B$201,MATCH($A572,Activities!$A$2:$A$201,0))),""))</f>
        <v/>
      </c>
      <c r="I572" s="24" t="str">
        <f aca="false">IF($B572="","",IFERROR(IF(INDEX(Students!$C$2:$C$301,MATCH($B572,Students!$A$2:$A$301,0))="","",INDEX(Students!$C$2:$C$301,MATCH($B572,Students!$A$2:$A$301,0))),""))</f>
        <v/>
      </c>
      <c r="J572" s="24" t="str">
        <f aca="false">IF($B572="","",IFERROR(IF(INDEX(Students!$B$2:$B$301,MATCH($B572,Students!$A$2:$A$301,0))="","",INDEX(Students!$B$2:$B$301,MATCH($B572,Students!$A$2:$A$301,0))),""))</f>
        <v/>
      </c>
      <c r="K572" s="25" t="str">
        <f aca="false">IF($A572="","",IF(D572="Withdrawn",0,IF(E572&lt;&gt;"",N(E572),IFERROR(N(INDEX(Activities!$I$2:$I$201,MATCH($A572,Activities!$A$2:$A$201,0))),0))))</f>
        <v/>
      </c>
      <c r="L572" s="24" t="str">
        <f aca="false">IF(AND($A572="",$B572=""),"",IF(ISNA(MATCH($A572,Activities!$A$2:$A$201,0)),"Unknown activity",IF(ISNA(MATCH($B572,Students!$A$2:$A$301,0)),"Unknown student",IF(D572="","No status",IF(COUNTIFS($A$2:$A$1001,$A572,$B$2:$B$1001,$B572)&gt;1,"Duplicate",IF(AND(D572&lt;&gt;"Withdrawn",G572&lt;&gt;"",COUNTIFS($B$2:$B$1001,$B572,$G$2:$G$1001,G572,$D$2:$D$1001,"&lt;&gt;Withdrawn")&gt;1),"Same-day clash","OK"))))))</f>
        <v/>
      </c>
    </row>
    <row r="573" customFormat="false" ht="15" hidden="false" customHeight="false" outlineLevel="0" collapsed="false">
      <c r="E573" s="26"/>
      <c r="G573" s="23" t="str">
        <f aca="false">IF($A573="","",IFERROR(IF(INDEX(Activities!$C$2:$C$201,MATCH($A573,Activities!$A$2:$A$201,0))="","",INDEX(Activities!$C$2:$C$201,MATCH($A573,Activities!$A$2:$A$201,0))),""))</f>
        <v/>
      </c>
      <c r="H573" s="24" t="str">
        <f aca="false">IF($A573="","",IFERROR(IF(INDEX(Activities!$B$2:$B$201,MATCH($A573,Activities!$A$2:$A$201,0))="","",INDEX(Activities!$B$2:$B$201,MATCH($A573,Activities!$A$2:$A$201,0))),""))</f>
        <v/>
      </c>
      <c r="I573" s="24" t="str">
        <f aca="false">IF($B573="","",IFERROR(IF(INDEX(Students!$C$2:$C$301,MATCH($B573,Students!$A$2:$A$301,0))="","",INDEX(Students!$C$2:$C$301,MATCH($B573,Students!$A$2:$A$301,0))),""))</f>
        <v/>
      </c>
      <c r="J573" s="24" t="str">
        <f aca="false">IF($B573="","",IFERROR(IF(INDEX(Students!$B$2:$B$301,MATCH($B573,Students!$A$2:$A$301,0))="","",INDEX(Students!$B$2:$B$301,MATCH($B573,Students!$A$2:$A$301,0))),""))</f>
        <v/>
      </c>
      <c r="K573" s="25" t="str">
        <f aca="false">IF($A573="","",IF(D573="Withdrawn",0,IF(E573&lt;&gt;"",N(E573),IFERROR(N(INDEX(Activities!$I$2:$I$201,MATCH($A573,Activities!$A$2:$A$201,0))),0))))</f>
        <v/>
      </c>
      <c r="L573" s="24" t="str">
        <f aca="false">IF(AND($A573="",$B573=""),"",IF(ISNA(MATCH($A573,Activities!$A$2:$A$201,0)),"Unknown activity",IF(ISNA(MATCH($B573,Students!$A$2:$A$301,0)),"Unknown student",IF(D573="","No status",IF(COUNTIFS($A$2:$A$1001,$A573,$B$2:$B$1001,$B573)&gt;1,"Duplicate",IF(AND(D573&lt;&gt;"Withdrawn",G573&lt;&gt;"",COUNTIFS($B$2:$B$1001,$B573,$G$2:$G$1001,G573,$D$2:$D$1001,"&lt;&gt;Withdrawn")&gt;1),"Same-day clash","OK"))))))</f>
        <v/>
      </c>
    </row>
    <row r="574" customFormat="false" ht="15" hidden="false" customHeight="false" outlineLevel="0" collapsed="false">
      <c r="E574" s="26"/>
      <c r="G574" s="23" t="str">
        <f aca="false">IF($A574="","",IFERROR(IF(INDEX(Activities!$C$2:$C$201,MATCH($A574,Activities!$A$2:$A$201,0))="","",INDEX(Activities!$C$2:$C$201,MATCH($A574,Activities!$A$2:$A$201,0))),""))</f>
        <v/>
      </c>
      <c r="H574" s="24" t="str">
        <f aca="false">IF($A574="","",IFERROR(IF(INDEX(Activities!$B$2:$B$201,MATCH($A574,Activities!$A$2:$A$201,0))="","",INDEX(Activities!$B$2:$B$201,MATCH($A574,Activities!$A$2:$A$201,0))),""))</f>
        <v/>
      </c>
      <c r="I574" s="24" t="str">
        <f aca="false">IF($B574="","",IFERROR(IF(INDEX(Students!$C$2:$C$301,MATCH($B574,Students!$A$2:$A$301,0))="","",INDEX(Students!$C$2:$C$301,MATCH($B574,Students!$A$2:$A$301,0))),""))</f>
        <v/>
      </c>
      <c r="J574" s="24" t="str">
        <f aca="false">IF($B574="","",IFERROR(IF(INDEX(Students!$B$2:$B$301,MATCH($B574,Students!$A$2:$A$301,0))="","",INDEX(Students!$B$2:$B$301,MATCH($B574,Students!$A$2:$A$301,0))),""))</f>
        <v/>
      </c>
      <c r="K574" s="25" t="str">
        <f aca="false">IF($A574="","",IF(D574="Withdrawn",0,IF(E574&lt;&gt;"",N(E574),IFERROR(N(INDEX(Activities!$I$2:$I$201,MATCH($A574,Activities!$A$2:$A$201,0))),0))))</f>
        <v/>
      </c>
      <c r="L574" s="24" t="str">
        <f aca="false">IF(AND($A574="",$B574=""),"",IF(ISNA(MATCH($A574,Activities!$A$2:$A$201,0)),"Unknown activity",IF(ISNA(MATCH($B574,Students!$A$2:$A$301,0)),"Unknown student",IF(D574="","No status",IF(COUNTIFS($A$2:$A$1001,$A574,$B$2:$B$1001,$B574)&gt;1,"Duplicate",IF(AND(D574&lt;&gt;"Withdrawn",G574&lt;&gt;"",COUNTIFS($B$2:$B$1001,$B574,$G$2:$G$1001,G574,$D$2:$D$1001,"&lt;&gt;Withdrawn")&gt;1),"Same-day clash","OK"))))))</f>
        <v/>
      </c>
    </row>
    <row r="575" customFormat="false" ht="15" hidden="false" customHeight="false" outlineLevel="0" collapsed="false">
      <c r="E575" s="26"/>
      <c r="G575" s="23" t="str">
        <f aca="false">IF($A575="","",IFERROR(IF(INDEX(Activities!$C$2:$C$201,MATCH($A575,Activities!$A$2:$A$201,0))="","",INDEX(Activities!$C$2:$C$201,MATCH($A575,Activities!$A$2:$A$201,0))),""))</f>
        <v/>
      </c>
      <c r="H575" s="24" t="str">
        <f aca="false">IF($A575="","",IFERROR(IF(INDEX(Activities!$B$2:$B$201,MATCH($A575,Activities!$A$2:$A$201,0))="","",INDEX(Activities!$B$2:$B$201,MATCH($A575,Activities!$A$2:$A$201,0))),""))</f>
        <v/>
      </c>
      <c r="I575" s="24" t="str">
        <f aca="false">IF($B575="","",IFERROR(IF(INDEX(Students!$C$2:$C$301,MATCH($B575,Students!$A$2:$A$301,0))="","",INDEX(Students!$C$2:$C$301,MATCH($B575,Students!$A$2:$A$301,0))),""))</f>
        <v/>
      </c>
      <c r="J575" s="24" t="str">
        <f aca="false">IF($B575="","",IFERROR(IF(INDEX(Students!$B$2:$B$301,MATCH($B575,Students!$A$2:$A$301,0))="","",INDEX(Students!$B$2:$B$301,MATCH($B575,Students!$A$2:$A$301,0))),""))</f>
        <v/>
      </c>
      <c r="K575" s="25" t="str">
        <f aca="false">IF($A575="","",IF(D575="Withdrawn",0,IF(E575&lt;&gt;"",N(E575),IFERROR(N(INDEX(Activities!$I$2:$I$201,MATCH($A575,Activities!$A$2:$A$201,0))),0))))</f>
        <v/>
      </c>
      <c r="L575" s="24" t="str">
        <f aca="false">IF(AND($A575="",$B575=""),"",IF(ISNA(MATCH($A575,Activities!$A$2:$A$201,0)),"Unknown activity",IF(ISNA(MATCH($B575,Students!$A$2:$A$301,0)),"Unknown student",IF(D575="","No status",IF(COUNTIFS($A$2:$A$1001,$A575,$B$2:$B$1001,$B575)&gt;1,"Duplicate",IF(AND(D575&lt;&gt;"Withdrawn",G575&lt;&gt;"",COUNTIFS($B$2:$B$1001,$B575,$G$2:$G$1001,G575,$D$2:$D$1001,"&lt;&gt;Withdrawn")&gt;1),"Same-day clash","OK"))))))</f>
        <v/>
      </c>
    </row>
    <row r="576" customFormat="false" ht="15" hidden="false" customHeight="false" outlineLevel="0" collapsed="false">
      <c r="E576" s="26"/>
      <c r="G576" s="23" t="str">
        <f aca="false">IF($A576="","",IFERROR(IF(INDEX(Activities!$C$2:$C$201,MATCH($A576,Activities!$A$2:$A$201,0))="","",INDEX(Activities!$C$2:$C$201,MATCH($A576,Activities!$A$2:$A$201,0))),""))</f>
        <v/>
      </c>
      <c r="H576" s="24" t="str">
        <f aca="false">IF($A576="","",IFERROR(IF(INDEX(Activities!$B$2:$B$201,MATCH($A576,Activities!$A$2:$A$201,0))="","",INDEX(Activities!$B$2:$B$201,MATCH($A576,Activities!$A$2:$A$201,0))),""))</f>
        <v/>
      </c>
      <c r="I576" s="24" t="str">
        <f aca="false">IF($B576="","",IFERROR(IF(INDEX(Students!$C$2:$C$301,MATCH($B576,Students!$A$2:$A$301,0))="","",INDEX(Students!$C$2:$C$301,MATCH($B576,Students!$A$2:$A$301,0))),""))</f>
        <v/>
      </c>
      <c r="J576" s="24" t="str">
        <f aca="false">IF($B576="","",IFERROR(IF(INDEX(Students!$B$2:$B$301,MATCH($B576,Students!$A$2:$A$301,0))="","",INDEX(Students!$B$2:$B$301,MATCH($B576,Students!$A$2:$A$301,0))),""))</f>
        <v/>
      </c>
      <c r="K576" s="25" t="str">
        <f aca="false">IF($A576="","",IF(D576="Withdrawn",0,IF(E576&lt;&gt;"",N(E576),IFERROR(N(INDEX(Activities!$I$2:$I$201,MATCH($A576,Activities!$A$2:$A$201,0))),0))))</f>
        <v/>
      </c>
      <c r="L576" s="24" t="str">
        <f aca="false">IF(AND($A576="",$B576=""),"",IF(ISNA(MATCH($A576,Activities!$A$2:$A$201,0)),"Unknown activity",IF(ISNA(MATCH($B576,Students!$A$2:$A$301,0)),"Unknown student",IF(D576="","No status",IF(COUNTIFS($A$2:$A$1001,$A576,$B$2:$B$1001,$B576)&gt;1,"Duplicate",IF(AND(D576&lt;&gt;"Withdrawn",G576&lt;&gt;"",COUNTIFS($B$2:$B$1001,$B576,$G$2:$G$1001,G576,$D$2:$D$1001,"&lt;&gt;Withdrawn")&gt;1),"Same-day clash","OK"))))))</f>
        <v/>
      </c>
    </row>
    <row r="577" customFormat="false" ht="15" hidden="false" customHeight="false" outlineLevel="0" collapsed="false">
      <c r="E577" s="26"/>
      <c r="G577" s="23" t="str">
        <f aca="false">IF($A577="","",IFERROR(IF(INDEX(Activities!$C$2:$C$201,MATCH($A577,Activities!$A$2:$A$201,0))="","",INDEX(Activities!$C$2:$C$201,MATCH($A577,Activities!$A$2:$A$201,0))),""))</f>
        <v/>
      </c>
      <c r="H577" s="24" t="str">
        <f aca="false">IF($A577="","",IFERROR(IF(INDEX(Activities!$B$2:$B$201,MATCH($A577,Activities!$A$2:$A$201,0))="","",INDEX(Activities!$B$2:$B$201,MATCH($A577,Activities!$A$2:$A$201,0))),""))</f>
        <v/>
      </c>
      <c r="I577" s="24" t="str">
        <f aca="false">IF($B577="","",IFERROR(IF(INDEX(Students!$C$2:$C$301,MATCH($B577,Students!$A$2:$A$301,0))="","",INDEX(Students!$C$2:$C$301,MATCH($B577,Students!$A$2:$A$301,0))),""))</f>
        <v/>
      </c>
      <c r="J577" s="24" t="str">
        <f aca="false">IF($B577="","",IFERROR(IF(INDEX(Students!$B$2:$B$301,MATCH($B577,Students!$A$2:$A$301,0))="","",INDEX(Students!$B$2:$B$301,MATCH($B577,Students!$A$2:$A$301,0))),""))</f>
        <v/>
      </c>
      <c r="K577" s="25" t="str">
        <f aca="false">IF($A577="","",IF(D577="Withdrawn",0,IF(E577&lt;&gt;"",N(E577),IFERROR(N(INDEX(Activities!$I$2:$I$201,MATCH($A577,Activities!$A$2:$A$201,0))),0))))</f>
        <v/>
      </c>
      <c r="L577" s="24" t="str">
        <f aca="false">IF(AND($A577="",$B577=""),"",IF(ISNA(MATCH($A577,Activities!$A$2:$A$201,0)),"Unknown activity",IF(ISNA(MATCH($B577,Students!$A$2:$A$301,0)),"Unknown student",IF(D577="","No status",IF(COUNTIFS($A$2:$A$1001,$A577,$B$2:$B$1001,$B577)&gt;1,"Duplicate",IF(AND(D577&lt;&gt;"Withdrawn",G577&lt;&gt;"",COUNTIFS($B$2:$B$1001,$B577,$G$2:$G$1001,G577,$D$2:$D$1001,"&lt;&gt;Withdrawn")&gt;1),"Same-day clash","OK"))))))</f>
        <v/>
      </c>
    </row>
    <row r="578" customFormat="false" ht="15" hidden="false" customHeight="false" outlineLevel="0" collapsed="false">
      <c r="E578" s="26"/>
      <c r="G578" s="23" t="str">
        <f aca="false">IF($A578="","",IFERROR(IF(INDEX(Activities!$C$2:$C$201,MATCH($A578,Activities!$A$2:$A$201,0))="","",INDEX(Activities!$C$2:$C$201,MATCH($A578,Activities!$A$2:$A$201,0))),""))</f>
        <v/>
      </c>
      <c r="H578" s="24" t="str">
        <f aca="false">IF($A578="","",IFERROR(IF(INDEX(Activities!$B$2:$B$201,MATCH($A578,Activities!$A$2:$A$201,0))="","",INDEX(Activities!$B$2:$B$201,MATCH($A578,Activities!$A$2:$A$201,0))),""))</f>
        <v/>
      </c>
      <c r="I578" s="24" t="str">
        <f aca="false">IF($B578="","",IFERROR(IF(INDEX(Students!$C$2:$C$301,MATCH($B578,Students!$A$2:$A$301,0))="","",INDEX(Students!$C$2:$C$301,MATCH($B578,Students!$A$2:$A$301,0))),""))</f>
        <v/>
      </c>
      <c r="J578" s="24" t="str">
        <f aca="false">IF($B578="","",IFERROR(IF(INDEX(Students!$B$2:$B$301,MATCH($B578,Students!$A$2:$A$301,0))="","",INDEX(Students!$B$2:$B$301,MATCH($B578,Students!$A$2:$A$301,0))),""))</f>
        <v/>
      </c>
      <c r="K578" s="25" t="str">
        <f aca="false">IF($A578="","",IF(D578="Withdrawn",0,IF(E578&lt;&gt;"",N(E578),IFERROR(N(INDEX(Activities!$I$2:$I$201,MATCH($A578,Activities!$A$2:$A$201,0))),0))))</f>
        <v/>
      </c>
      <c r="L578" s="24" t="str">
        <f aca="false">IF(AND($A578="",$B578=""),"",IF(ISNA(MATCH($A578,Activities!$A$2:$A$201,0)),"Unknown activity",IF(ISNA(MATCH($B578,Students!$A$2:$A$301,0)),"Unknown student",IF(D578="","No status",IF(COUNTIFS($A$2:$A$1001,$A578,$B$2:$B$1001,$B578)&gt;1,"Duplicate",IF(AND(D578&lt;&gt;"Withdrawn",G578&lt;&gt;"",COUNTIFS($B$2:$B$1001,$B578,$G$2:$G$1001,G578,$D$2:$D$1001,"&lt;&gt;Withdrawn")&gt;1),"Same-day clash","OK"))))))</f>
        <v/>
      </c>
    </row>
    <row r="579" customFormat="false" ht="15" hidden="false" customHeight="false" outlineLevel="0" collapsed="false">
      <c r="E579" s="26"/>
      <c r="G579" s="23" t="str">
        <f aca="false">IF($A579="","",IFERROR(IF(INDEX(Activities!$C$2:$C$201,MATCH($A579,Activities!$A$2:$A$201,0))="","",INDEX(Activities!$C$2:$C$201,MATCH($A579,Activities!$A$2:$A$201,0))),""))</f>
        <v/>
      </c>
      <c r="H579" s="24" t="str">
        <f aca="false">IF($A579="","",IFERROR(IF(INDEX(Activities!$B$2:$B$201,MATCH($A579,Activities!$A$2:$A$201,0))="","",INDEX(Activities!$B$2:$B$201,MATCH($A579,Activities!$A$2:$A$201,0))),""))</f>
        <v/>
      </c>
      <c r="I579" s="24" t="str">
        <f aca="false">IF($B579="","",IFERROR(IF(INDEX(Students!$C$2:$C$301,MATCH($B579,Students!$A$2:$A$301,0))="","",INDEX(Students!$C$2:$C$301,MATCH($B579,Students!$A$2:$A$301,0))),""))</f>
        <v/>
      </c>
      <c r="J579" s="24" t="str">
        <f aca="false">IF($B579="","",IFERROR(IF(INDEX(Students!$B$2:$B$301,MATCH($B579,Students!$A$2:$A$301,0))="","",INDEX(Students!$B$2:$B$301,MATCH($B579,Students!$A$2:$A$301,0))),""))</f>
        <v/>
      </c>
      <c r="K579" s="25" t="str">
        <f aca="false">IF($A579="","",IF(D579="Withdrawn",0,IF(E579&lt;&gt;"",N(E579),IFERROR(N(INDEX(Activities!$I$2:$I$201,MATCH($A579,Activities!$A$2:$A$201,0))),0))))</f>
        <v/>
      </c>
      <c r="L579" s="24" t="str">
        <f aca="false">IF(AND($A579="",$B579=""),"",IF(ISNA(MATCH($A579,Activities!$A$2:$A$201,0)),"Unknown activity",IF(ISNA(MATCH($B579,Students!$A$2:$A$301,0)),"Unknown student",IF(D579="","No status",IF(COUNTIFS($A$2:$A$1001,$A579,$B$2:$B$1001,$B579)&gt;1,"Duplicate",IF(AND(D579&lt;&gt;"Withdrawn",G579&lt;&gt;"",COUNTIFS($B$2:$B$1001,$B579,$G$2:$G$1001,G579,$D$2:$D$1001,"&lt;&gt;Withdrawn")&gt;1),"Same-day clash","OK"))))))</f>
        <v/>
      </c>
    </row>
    <row r="580" customFormat="false" ht="15" hidden="false" customHeight="false" outlineLevel="0" collapsed="false">
      <c r="E580" s="26"/>
      <c r="G580" s="23" t="str">
        <f aca="false">IF($A580="","",IFERROR(IF(INDEX(Activities!$C$2:$C$201,MATCH($A580,Activities!$A$2:$A$201,0))="","",INDEX(Activities!$C$2:$C$201,MATCH($A580,Activities!$A$2:$A$201,0))),""))</f>
        <v/>
      </c>
      <c r="H580" s="24" t="str">
        <f aca="false">IF($A580="","",IFERROR(IF(INDEX(Activities!$B$2:$B$201,MATCH($A580,Activities!$A$2:$A$201,0))="","",INDEX(Activities!$B$2:$B$201,MATCH($A580,Activities!$A$2:$A$201,0))),""))</f>
        <v/>
      </c>
      <c r="I580" s="24" t="str">
        <f aca="false">IF($B580="","",IFERROR(IF(INDEX(Students!$C$2:$C$301,MATCH($B580,Students!$A$2:$A$301,0))="","",INDEX(Students!$C$2:$C$301,MATCH($B580,Students!$A$2:$A$301,0))),""))</f>
        <v/>
      </c>
      <c r="J580" s="24" t="str">
        <f aca="false">IF($B580="","",IFERROR(IF(INDEX(Students!$B$2:$B$301,MATCH($B580,Students!$A$2:$A$301,0))="","",INDEX(Students!$B$2:$B$301,MATCH($B580,Students!$A$2:$A$301,0))),""))</f>
        <v/>
      </c>
      <c r="K580" s="25" t="str">
        <f aca="false">IF($A580="","",IF(D580="Withdrawn",0,IF(E580&lt;&gt;"",N(E580),IFERROR(N(INDEX(Activities!$I$2:$I$201,MATCH($A580,Activities!$A$2:$A$201,0))),0))))</f>
        <v/>
      </c>
      <c r="L580" s="24" t="str">
        <f aca="false">IF(AND($A580="",$B580=""),"",IF(ISNA(MATCH($A580,Activities!$A$2:$A$201,0)),"Unknown activity",IF(ISNA(MATCH($B580,Students!$A$2:$A$301,0)),"Unknown student",IF(D580="","No status",IF(COUNTIFS($A$2:$A$1001,$A580,$B$2:$B$1001,$B580)&gt;1,"Duplicate",IF(AND(D580&lt;&gt;"Withdrawn",G580&lt;&gt;"",COUNTIFS($B$2:$B$1001,$B580,$G$2:$G$1001,G580,$D$2:$D$1001,"&lt;&gt;Withdrawn")&gt;1),"Same-day clash","OK"))))))</f>
        <v/>
      </c>
    </row>
    <row r="581" customFormat="false" ht="15" hidden="false" customHeight="false" outlineLevel="0" collapsed="false">
      <c r="E581" s="26"/>
      <c r="G581" s="23" t="str">
        <f aca="false">IF($A581="","",IFERROR(IF(INDEX(Activities!$C$2:$C$201,MATCH($A581,Activities!$A$2:$A$201,0))="","",INDEX(Activities!$C$2:$C$201,MATCH($A581,Activities!$A$2:$A$201,0))),""))</f>
        <v/>
      </c>
      <c r="H581" s="24" t="str">
        <f aca="false">IF($A581="","",IFERROR(IF(INDEX(Activities!$B$2:$B$201,MATCH($A581,Activities!$A$2:$A$201,0))="","",INDEX(Activities!$B$2:$B$201,MATCH($A581,Activities!$A$2:$A$201,0))),""))</f>
        <v/>
      </c>
      <c r="I581" s="24" t="str">
        <f aca="false">IF($B581="","",IFERROR(IF(INDEX(Students!$C$2:$C$301,MATCH($B581,Students!$A$2:$A$301,0))="","",INDEX(Students!$C$2:$C$301,MATCH($B581,Students!$A$2:$A$301,0))),""))</f>
        <v/>
      </c>
      <c r="J581" s="24" t="str">
        <f aca="false">IF($B581="","",IFERROR(IF(INDEX(Students!$B$2:$B$301,MATCH($B581,Students!$A$2:$A$301,0))="","",INDEX(Students!$B$2:$B$301,MATCH($B581,Students!$A$2:$A$301,0))),""))</f>
        <v/>
      </c>
      <c r="K581" s="25" t="str">
        <f aca="false">IF($A581="","",IF(D581="Withdrawn",0,IF(E581&lt;&gt;"",N(E581),IFERROR(N(INDEX(Activities!$I$2:$I$201,MATCH($A581,Activities!$A$2:$A$201,0))),0))))</f>
        <v/>
      </c>
      <c r="L581" s="24" t="str">
        <f aca="false">IF(AND($A581="",$B581=""),"",IF(ISNA(MATCH($A581,Activities!$A$2:$A$201,0)),"Unknown activity",IF(ISNA(MATCH($B581,Students!$A$2:$A$301,0)),"Unknown student",IF(D581="","No status",IF(COUNTIFS($A$2:$A$1001,$A581,$B$2:$B$1001,$B581)&gt;1,"Duplicate",IF(AND(D581&lt;&gt;"Withdrawn",G581&lt;&gt;"",COUNTIFS($B$2:$B$1001,$B581,$G$2:$G$1001,G581,$D$2:$D$1001,"&lt;&gt;Withdrawn")&gt;1),"Same-day clash","OK"))))))</f>
        <v/>
      </c>
    </row>
    <row r="582" customFormat="false" ht="15" hidden="false" customHeight="false" outlineLevel="0" collapsed="false">
      <c r="E582" s="26"/>
      <c r="G582" s="23" t="str">
        <f aca="false">IF($A582="","",IFERROR(IF(INDEX(Activities!$C$2:$C$201,MATCH($A582,Activities!$A$2:$A$201,0))="","",INDEX(Activities!$C$2:$C$201,MATCH($A582,Activities!$A$2:$A$201,0))),""))</f>
        <v/>
      </c>
      <c r="H582" s="24" t="str">
        <f aca="false">IF($A582="","",IFERROR(IF(INDEX(Activities!$B$2:$B$201,MATCH($A582,Activities!$A$2:$A$201,0))="","",INDEX(Activities!$B$2:$B$201,MATCH($A582,Activities!$A$2:$A$201,0))),""))</f>
        <v/>
      </c>
      <c r="I582" s="24" t="str">
        <f aca="false">IF($B582="","",IFERROR(IF(INDEX(Students!$C$2:$C$301,MATCH($B582,Students!$A$2:$A$301,0))="","",INDEX(Students!$C$2:$C$301,MATCH($B582,Students!$A$2:$A$301,0))),""))</f>
        <v/>
      </c>
      <c r="J582" s="24" t="str">
        <f aca="false">IF($B582="","",IFERROR(IF(INDEX(Students!$B$2:$B$301,MATCH($B582,Students!$A$2:$A$301,0))="","",INDEX(Students!$B$2:$B$301,MATCH($B582,Students!$A$2:$A$301,0))),""))</f>
        <v/>
      </c>
      <c r="K582" s="25" t="str">
        <f aca="false">IF($A582="","",IF(D582="Withdrawn",0,IF(E582&lt;&gt;"",N(E582),IFERROR(N(INDEX(Activities!$I$2:$I$201,MATCH($A582,Activities!$A$2:$A$201,0))),0))))</f>
        <v/>
      </c>
      <c r="L582" s="24" t="str">
        <f aca="false">IF(AND($A582="",$B582=""),"",IF(ISNA(MATCH($A582,Activities!$A$2:$A$201,0)),"Unknown activity",IF(ISNA(MATCH($B582,Students!$A$2:$A$301,0)),"Unknown student",IF(D582="","No status",IF(COUNTIFS($A$2:$A$1001,$A582,$B$2:$B$1001,$B582)&gt;1,"Duplicate",IF(AND(D582&lt;&gt;"Withdrawn",G582&lt;&gt;"",COUNTIFS($B$2:$B$1001,$B582,$G$2:$G$1001,G582,$D$2:$D$1001,"&lt;&gt;Withdrawn")&gt;1),"Same-day clash","OK"))))))</f>
        <v/>
      </c>
    </row>
    <row r="583" customFormat="false" ht="15" hidden="false" customHeight="false" outlineLevel="0" collapsed="false">
      <c r="E583" s="26"/>
      <c r="G583" s="23" t="str">
        <f aca="false">IF($A583="","",IFERROR(IF(INDEX(Activities!$C$2:$C$201,MATCH($A583,Activities!$A$2:$A$201,0))="","",INDEX(Activities!$C$2:$C$201,MATCH($A583,Activities!$A$2:$A$201,0))),""))</f>
        <v/>
      </c>
      <c r="H583" s="24" t="str">
        <f aca="false">IF($A583="","",IFERROR(IF(INDEX(Activities!$B$2:$B$201,MATCH($A583,Activities!$A$2:$A$201,0))="","",INDEX(Activities!$B$2:$B$201,MATCH($A583,Activities!$A$2:$A$201,0))),""))</f>
        <v/>
      </c>
      <c r="I583" s="24" t="str">
        <f aca="false">IF($B583="","",IFERROR(IF(INDEX(Students!$C$2:$C$301,MATCH($B583,Students!$A$2:$A$301,0))="","",INDEX(Students!$C$2:$C$301,MATCH($B583,Students!$A$2:$A$301,0))),""))</f>
        <v/>
      </c>
      <c r="J583" s="24" t="str">
        <f aca="false">IF($B583="","",IFERROR(IF(INDEX(Students!$B$2:$B$301,MATCH($B583,Students!$A$2:$A$301,0))="","",INDEX(Students!$B$2:$B$301,MATCH($B583,Students!$A$2:$A$301,0))),""))</f>
        <v/>
      </c>
      <c r="K583" s="25" t="str">
        <f aca="false">IF($A583="","",IF(D583="Withdrawn",0,IF(E583&lt;&gt;"",N(E583),IFERROR(N(INDEX(Activities!$I$2:$I$201,MATCH($A583,Activities!$A$2:$A$201,0))),0))))</f>
        <v/>
      </c>
      <c r="L583" s="24" t="str">
        <f aca="false">IF(AND($A583="",$B583=""),"",IF(ISNA(MATCH($A583,Activities!$A$2:$A$201,0)),"Unknown activity",IF(ISNA(MATCH($B583,Students!$A$2:$A$301,0)),"Unknown student",IF(D583="","No status",IF(COUNTIFS($A$2:$A$1001,$A583,$B$2:$B$1001,$B583)&gt;1,"Duplicate",IF(AND(D583&lt;&gt;"Withdrawn",G583&lt;&gt;"",COUNTIFS($B$2:$B$1001,$B583,$G$2:$G$1001,G583,$D$2:$D$1001,"&lt;&gt;Withdrawn")&gt;1),"Same-day clash","OK"))))))</f>
        <v/>
      </c>
    </row>
    <row r="584" customFormat="false" ht="15" hidden="false" customHeight="false" outlineLevel="0" collapsed="false">
      <c r="E584" s="26"/>
      <c r="G584" s="23" t="str">
        <f aca="false">IF($A584="","",IFERROR(IF(INDEX(Activities!$C$2:$C$201,MATCH($A584,Activities!$A$2:$A$201,0))="","",INDEX(Activities!$C$2:$C$201,MATCH($A584,Activities!$A$2:$A$201,0))),""))</f>
        <v/>
      </c>
      <c r="H584" s="24" t="str">
        <f aca="false">IF($A584="","",IFERROR(IF(INDEX(Activities!$B$2:$B$201,MATCH($A584,Activities!$A$2:$A$201,0))="","",INDEX(Activities!$B$2:$B$201,MATCH($A584,Activities!$A$2:$A$201,0))),""))</f>
        <v/>
      </c>
      <c r="I584" s="24" t="str">
        <f aca="false">IF($B584="","",IFERROR(IF(INDEX(Students!$C$2:$C$301,MATCH($B584,Students!$A$2:$A$301,0))="","",INDEX(Students!$C$2:$C$301,MATCH($B584,Students!$A$2:$A$301,0))),""))</f>
        <v/>
      </c>
      <c r="J584" s="24" t="str">
        <f aca="false">IF($B584="","",IFERROR(IF(INDEX(Students!$B$2:$B$301,MATCH($B584,Students!$A$2:$A$301,0))="","",INDEX(Students!$B$2:$B$301,MATCH($B584,Students!$A$2:$A$301,0))),""))</f>
        <v/>
      </c>
      <c r="K584" s="25" t="str">
        <f aca="false">IF($A584="","",IF(D584="Withdrawn",0,IF(E584&lt;&gt;"",N(E584),IFERROR(N(INDEX(Activities!$I$2:$I$201,MATCH($A584,Activities!$A$2:$A$201,0))),0))))</f>
        <v/>
      </c>
      <c r="L584" s="24" t="str">
        <f aca="false">IF(AND($A584="",$B584=""),"",IF(ISNA(MATCH($A584,Activities!$A$2:$A$201,0)),"Unknown activity",IF(ISNA(MATCH($B584,Students!$A$2:$A$301,0)),"Unknown student",IF(D584="","No status",IF(COUNTIFS($A$2:$A$1001,$A584,$B$2:$B$1001,$B584)&gt;1,"Duplicate",IF(AND(D584&lt;&gt;"Withdrawn",G584&lt;&gt;"",COUNTIFS($B$2:$B$1001,$B584,$G$2:$G$1001,G584,$D$2:$D$1001,"&lt;&gt;Withdrawn")&gt;1),"Same-day clash","OK"))))))</f>
        <v/>
      </c>
    </row>
    <row r="585" customFormat="false" ht="15" hidden="false" customHeight="false" outlineLevel="0" collapsed="false">
      <c r="E585" s="26"/>
      <c r="G585" s="23" t="str">
        <f aca="false">IF($A585="","",IFERROR(IF(INDEX(Activities!$C$2:$C$201,MATCH($A585,Activities!$A$2:$A$201,0))="","",INDEX(Activities!$C$2:$C$201,MATCH($A585,Activities!$A$2:$A$201,0))),""))</f>
        <v/>
      </c>
      <c r="H585" s="24" t="str">
        <f aca="false">IF($A585="","",IFERROR(IF(INDEX(Activities!$B$2:$B$201,MATCH($A585,Activities!$A$2:$A$201,0))="","",INDEX(Activities!$B$2:$B$201,MATCH($A585,Activities!$A$2:$A$201,0))),""))</f>
        <v/>
      </c>
      <c r="I585" s="24" t="str">
        <f aca="false">IF($B585="","",IFERROR(IF(INDEX(Students!$C$2:$C$301,MATCH($B585,Students!$A$2:$A$301,0))="","",INDEX(Students!$C$2:$C$301,MATCH($B585,Students!$A$2:$A$301,0))),""))</f>
        <v/>
      </c>
      <c r="J585" s="24" t="str">
        <f aca="false">IF($B585="","",IFERROR(IF(INDEX(Students!$B$2:$B$301,MATCH($B585,Students!$A$2:$A$301,0))="","",INDEX(Students!$B$2:$B$301,MATCH($B585,Students!$A$2:$A$301,0))),""))</f>
        <v/>
      </c>
      <c r="K585" s="25" t="str">
        <f aca="false">IF($A585="","",IF(D585="Withdrawn",0,IF(E585&lt;&gt;"",N(E585),IFERROR(N(INDEX(Activities!$I$2:$I$201,MATCH($A585,Activities!$A$2:$A$201,0))),0))))</f>
        <v/>
      </c>
      <c r="L585" s="24" t="str">
        <f aca="false">IF(AND($A585="",$B585=""),"",IF(ISNA(MATCH($A585,Activities!$A$2:$A$201,0)),"Unknown activity",IF(ISNA(MATCH($B585,Students!$A$2:$A$301,0)),"Unknown student",IF(D585="","No status",IF(COUNTIFS($A$2:$A$1001,$A585,$B$2:$B$1001,$B585)&gt;1,"Duplicate",IF(AND(D585&lt;&gt;"Withdrawn",G585&lt;&gt;"",COUNTIFS($B$2:$B$1001,$B585,$G$2:$G$1001,G585,$D$2:$D$1001,"&lt;&gt;Withdrawn")&gt;1),"Same-day clash","OK"))))))</f>
        <v/>
      </c>
    </row>
    <row r="586" customFormat="false" ht="15" hidden="false" customHeight="false" outlineLevel="0" collapsed="false">
      <c r="E586" s="26"/>
      <c r="G586" s="23" t="str">
        <f aca="false">IF($A586="","",IFERROR(IF(INDEX(Activities!$C$2:$C$201,MATCH($A586,Activities!$A$2:$A$201,0))="","",INDEX(Activities!$C$2:$C$201,MATCH($A586,Activities!$A$2:$A$201,0))),""))</f>
        <v/>
      </c>
      <c r="H586" s="24" t="str">
        <f aca="false">IF($A586="","",IFERROR(IF(INDEX(Activities!$B$2:$B$201,MATCH($A586,Activities!$A$2:$A$201,0))="","",INDEX(Activities!$B$2:$B$201,MATCH($A586,Activities!$A$2:$A$201,0))),""))</f>
        <v/>
      </c>
      <c r="I586" s="24" t="str">
        <f aca="false">IF($B586="","",IFERROR(IF(INDEX(Students!$C$2:$C$301,MATCH($B586,Students!$A$2:$A$301,0))="","",INDEX(Students!$C$2:$C$301,MATCH($B586,Students!$A$2:$A$301,0))),""))</f>
        <v/>
      </c>
      <c r="J586" s="24" t="str">
        <f aca="false">IF($B586="","",IFERROR(IF(INDEX(Students!$B$2:$B$301,MATCH($B586,Students!$A$2:$A$301,0))="","",INDEX(Students!$B$2:$B$301,MATCH($B586,Students!$A$2:$A$301,0))),""))</f>
        <v/>
      </c>
      <c r="K586" s="25" t="str">
        <f aca="false">IF($A586="","",IF(D586="Withdrawn",0,IF(E586&lt;&gt;"",N(E586),IFERROR(N(INDEX(Activities!$I$2:$I$201,MATCH($A586,Activities!$A$2:$A$201,0))),0))))</f>
        <v/>
      </c>
      <c r="L586" s="24" t="str">
        <f aca="false">IF(AND($A586="",$B586=""),"",IF(ISNA(MATCH($A586,Activities!$A$2:$A$201,0)),"Unknown activity",IF(ISNA(MATCH($B586,Students!$A$2:$A$301,0)),"Unknown student",IF(D586="","No status",IF(COUNTIFS($A$2:$A$1001,$A586,$B$2:$B$1001,$B586)&gt;1,"Duplicate",IF(AND(D586&lt;&gt;"Withdrawn",G586&lt;&gt;"",COUNTIFS($B$2:$B$1001,$B586,$G$2:$G$1001,G586,$D$2:$D$1001,"&lt;&gt;Withdrawn")&gt;1),"Same-day clash","OK"))))))</f>
        <v/>
      </c>
    </row>
    <row r="587" customFormat="false" ht="15" hidden="false" customHeight="false" outlineLevel="0" collapsed="false">
      <c r="E587" s="26"/>
      <c r="G587" s="23" t="str">
        <f aca="false">IF($A587="","",IFERROR(IF(INDEX(Activities!$C$2:$C$201,MATCH($A587,Activities!$A$2:$A$201,0))="","",INDEX(Activities!$C$2:$C$201,MATCH($A587,Activities!$A$2:$A$201,0))),""))</f>
        <v/>
      </c>
      <c r="H587" s="24" t="str">
        <f aca="false">IF($A587="","",IFERROR(IF(INDEX(Activities!$B$2:$B$201,MATCH($A587,Activities!$A$2:$A$201,0))="","",INDEX(Activities!$B$2:$B$201,MATCH($A587,Activities!$A$2:$A$201,0))),""))</f>
        <v/>
      </c>
      <c r="I587" s="24" t="str">
        <f aca="false">IF($B587="","",IFERROR(IF(INDEX(Students!$C$2:$C$301,MATCH($B587,Students!$A$2:$A$301,0))="","",INDEX(Students!$C$2:$C$301,MATCH($B587,Students!$A$2:$A$301,0))),""))</f>
        <v/>
      </c>
      <c r="J587" s="24" t="str">
        <f aca="false">IF($B587="","",IFERROR(IF(INDEX(Students!$B$2:$B$301,MATCH($B587,Students!$A$2:$A$301,0))="","",INDEX(Students!$B$2:$B$301,MATCH($B587,Students!$A$2:$A$301,0))),""))</f>
        <v/>
      </c>
      <c r="K587" s="25" t="str">
        <f aca="false">IF($A587="","",IF(D587="Withdrawn",0,IF(E587&lt;&gt;"",N(E587),IFERROR(N(INDEX(Activities!$I$2:$I$201,MATCH($A587,Activities!$A$2:$A$201,0))),0))))</f>
        <v/>
      </c>
      <c r="L587" s="24" t="str">
        <f aca="false">IF(AND($A587="",$B587=""),"",IF(ISNA(MATCH($A587,Activities!$A$2:$A$201,0)),"Unknown activity",IF(ISNA(MATCH($B587,Students!$A$2:$A$301,0)),"Unknown student",IF(D587="","No status",IF(COUNTIFS($A$2:$A$1001,$A587,$B$2:$B$1001,$B587)&gt;1,"Duplicate",IF(AND(D587&lt;&gt;"Withdrawn",G587&lt;&gt;"",COUNTIFS($B$2:$B$1001,$B587,$G$2:$G$1001,G587,$D$2:$D$1001,"&lt;&gt;Withdrawn")&gt;1),"Same-day clash","OK"))))))</f>
        <v/>
      </c>
    </row>
    <row r="588" customFormat="false" ht="15" hidden="false" customHeight="false" outlineLevel="0" collapsed="false">
      <c r="E588" s="26"/>
      <c r="G588" s="23" t="str">
        <f aca="false">IF($A588="","",IFERROR(IF(INDEX(Activities!$C$2:$C$201,MATCH($A588,Activities!$A$2:$A$201,0))="","",INDEX(Activities!$C$2:$C$201,MATCH($A588,Activities!$A$2:$A$201,0))),""))</f>
        <v/>
      </c>
      <c r="H588" s="24" t="str">
        <f aca="false">IF($A588="","",IFERROR(IF(INDEX(Activities!$B$2:$B$201,MATCH($A588,Activities!$A$2:$A$201,0))="","",INDEX(Activities!$B$2:$B$201,MATCH($A588,Activities!$A$2:$A$201,0))),""))</f>
        <v/>
      </c>
      <c r="I588" s="24" t="str">
        <f aca="false">IF($B588="","",IFERROR(IF(INDEX(Students!$C$2:$C$301,MATCH($B588,Students!$A$2:$A$301,0))="","",INDEX(Students!$C$2:$C$301,MATCH($B588,Students!$A$2:$A$301,0))),""))</f>
        <v/>
      </c>
      <c r="J588" s="24" t="str">
        <f aca="false">IF($B588="","",IFERROR(IF(INDEX(Students!$B$2:$B$301,MATCH($B588,Students!$A$2:$A$301,0))="","",INDEX(Students!$B$2:$B$301,MATCH($B588,Students!$A$2:$A$301,0))),""))</f>
        <v/>
      </c>
      <c r="K588" s="25" t="str">
        <f aca="false">IF($A588="","",IF(D588="Withdrawn",0,IF(E588&lt;&gt;"",N(E588),IFERROR(N(INDEX(Activities!$I$2:$I$201,MATCH($A588,Activities!$A$2:$A$201,0))),0))))</f>
        <v/>
      </c>
      <c r="L588" s="24" t="str">
        <f aca="false">IF(AND($A588="",$B588=""),"",IF(ISNA(MATCH($A588,Activities!$A$2:$A$201,0)),"Unknown activity",IF(ISNA(MATCH($B588,Students!$A$2:$A$301,0)),"Unknown student",IF(D588="","No status",IF(COUNTIFS($A$2:$A$1001,$A588,$B$2:$B$1001,$B588)&gt;1,"Duplicate",IF(AND(D588&lt;&gt;"Withdrawn",G588&lt;&gt;"",COUNTIFS($B$2:$B$1001,$B588,$G$2:$G$1001,G588,$D$2:$D$1001,"&lt;&gt;Withdrawn")&gt;1),"Same-day clash","OK"))))))</f>
        <v/>
      </c>
    </row>
    <row r="589" customFormat="false" ht="15" hidden="false" customHeight="false" outlineLevel="0" collapsed="false">
      <c r="E589" s="26"/>
      <c r="G589" s="23" t="str">
        <f aca="false">IF($A589="","",IFERROR(IF(INDEX(Activities!$C$2:$C$201,MATCH($A589,Activities!$A$2:$A$201,0))="","",INDEX(Activities!$C$2:$C$201,MATCH($A589,Activities!$A$2:$A$201,0))),""))</f>
        <v/>
      </c>
      <c r="H589" s="24" t="str">
        <f aca="false">IF($A589="","",IFERROR(IF(INDEX(Activities!$B$2:$B$201,MATCH($A589,Activities!$A$2:$A$201,0))="","",INDEX(Activities!$B$2:$B$201,MATCH($A589,Activities!$A$2:$A$201,0))),""))</f>
        <v/>
      </c>
      <c r="I589" s="24" t="str">
        <f aca="false">IF($B589="","",IFERROR(IF(INDEX(Students!$C$2:$C$301,MATCH($B589,Students!$A$2:$A$301,0))="","",INDEX(Students!$C$2:$C$301,MATCH($B589,Students!$A$2:$A$301,0))),""))</f>
        <v/>
      </c>
      <c r="J589" s="24" t="str">
        <f aca="false">IF($B589="","",IFERROR(IF(INDEX(Students!$B$2:$B$301,MATCH($B589,Students!$A$2:$A$301,0))="","",INDEX(Students!$B$2:$B$301,MATCH($B589,Students!$A$2:$A$301,0))),""))</f>
        <v/>
      </c>
      <c r="K589" s="25" t="str">
        <f aca="false">IF($A589="","",IF(D589="Withdrawn",0,IF(E589&lt;&gt;"",N(E589),IFERROR(N(INDEX(Activities!$I$2:$I$201,MATCH($A589,Activities!$A$2:$A$201,0))),0))))</f>
        <v/>
      </c>
      <c r="L589" s="24" t="str">
        <f aca="false">IF(AND($A589="",$B589=""),"",IF(ISNA(MATCH($A589,Activities!$A$2:$A$201,0)),"Unknown activity",IF(ISNA(MATCH($B589,Students!$A$2:$A$301,0)),"Unknown student",IF(D589="","No status",IF(COUNTIFS($A$2:$A$1001,$A589,$B$2:$B$1001,$B589)&gt;1,"Duplicate",IF(AND(D589&lt;&gt;"Withdrawn",G589&lt;&gt;"",COUNTIFS($B$2:$B$1001,$B589,$G$2:$G$1001,G589,$D$2:$D$1001,"&lt;&gt;Withdrawn")&gt;1),"Same-day clash","OK"))))))</f>
        <v/>
      </c>
    </row>
    <row r="590" customFormat="false" ht="15" hidden="false" customHeight="false" outlineLevel="0" collapsed="false">
      <c r="E590" s="26"/>
      <c r="G590" s="23" t="str">
        <f aca="false">IF($A590="","",IFERROR(IF(INDEX(Activities!$C$2:$C$201,MATCH($A590,Activities!$A$2:$A$201,0))="","",INDEX(Activities!$C$2:$C$201,MATCH($A590,Activities!$A$2:$A$201,0))),""))</f>
        <v/>
      </c>
      <c r="H590" s="24" t="str">
        <f aca="false">IF($A590="","",IFERROR(IF(INDEX(Activities!$B$2:$B$201,MATCH($A590,Activities!$A$2:$A$201,0))="","",INDEX(Activities!$B$2:$B$201,MATCH($A590,Activities!$A$2:$A$201,0))),""))</f>
        <v/>
      </c>
      <c r="I590" s="24" t="str">
        <f aca="false">IF($B590="","",IFERROR(IF(INDEX(Students!$C$2:$C$301,MATCH($B590,Students!$A$2:$A$301,0))="","",INDEX(Students!$C$2:$C$301,MATCH($B590,Students!$A$2:$A$301,0))),""))</f>
        <v/>
      </c>
      <c r="J590" s="24" t="str">
        <f aca="false">IF($B590="","",IFERROR(IF(INDEX(Students!$B$2:$B$301,MATCH($B590,Students!$A$2:$A$301,0))="","",INDEX(Students!$B$2:$B$301,MATCH($B590,Students!$A$2:$A$301,0))),""))</f>
        <v/>
      </c>
      <c r="K590" s="25" t="str">
        <f aca="false">IF($A590="","",IF(D590="Withdrawn",0,IF(E590&lt;&gt;"",N(E590),IFERROR(N(INDEX(Activities!$I$2:$I$201,MATCH($A590,Activities!$A$2:$A$201,0))),0))))</f>
        <v/>
      </c>
      <c r="L590" s="24" t="str">
        <f aca="false">IF(AND($A590="",$B590=""),"",IF(ISNA(MATCH($A590,Activities!$A$2:$A$201,0)),"Unknown activity",IF(ISNA(MATCH($B590,Students!$A$2:$A$301,0)),"Unknown student",IF(D590="","No status",IF(COUNTIFS($A$2:$A$1001,$A590,$B$2:$B$1001,$B590)&gt;1,"Duplicate",IF(AND(D590&lt;&gt;"Withdrawn",G590&lt;&gt;"",COUNTIFS($B$2:$B$1001,$B590,$G$2:$G$1001,G590,$D$2:$D$1001,"&lt;&gt;Withdrawn")&gt;1),"Same-day clash","OK"))))))</f>
        <v/>
      </c>
    </row>
    <row r="591" customFormat="false" ht="15" hidden="false" customHeight="false" outlineLevel="0" collapsed="false">
      <c r="E591" s="26"/>
      <c r="G591" s="23" t="str">
        <f aca="false">IF($A591="","",IFERROR(IF(INDEX(Activities!$C$2:$C$201,MATCH($A591,Activities!$A$2:$A$201,0))="","",INDEX(Activities!$C$2:$C$201,MATCH($A591,Activities!$A$2:$A$201,0))),""))</f>
        <v/>
      </c>
      <c r="H591" s="24" t="str">
        <f aca="false">IF($A591="","",IFERROR(IF(INDEX(Activities!$B$2:$B$201,MATCH($A591,Activities!$A$2:$A$201,0))="","",INDEX(Activities!$B$2:$B$201,MATCH($A591,Activities!$A$2:$A$201,0))),""))</f>
        <v/>
      </c>
      <c r="I591" s="24" t="str">
        <f aca="false">IF($B591="","",IFERROR(IF(INDEX(Students!$C$2:$C$301,MATCH($B591,Students!$A$2:$A$301,0))="","",INDEX(Students!$C$2:$C$301,MATCH($B591,Students!$A$2:$A$301,0))),""))</f>
        <v/>
      </c>
      <c r="J591" s="24" t="str">
        <f aca="false">IF($B591="","",IFERROR(IF(INDEX(Students!$B$2:$B$301,MATCH($B591,Students!$A$2:$A$301,0))="","",INDEX(Students!$B$2:$B$301,MATCH($B591,Students!$A$2:$A$301,0))),""))</f>
        <v/>
      </c>
      <c r="K591" s="25" t="str">
        <f aca="false">IF($A591="","",IF(D591="Withdrawn",0,IF(E591&lt;&gt;"",N(E591),IFERROR(N(INDEX(Activities!$I$2:$I$201,MATCH($A591,Activities!$A$2:$A$201,0))),0))))</f>
        <v/>
      </c>
      <c r="L591" s="24" t="str">
        <f aca="false">IF(AND($A591="",$B591=""),"",IF(ISNA(MATCH($A591,Activities!$A$2:$A$201,0)),"Unknown activity",IF(ISNA(MATCH($B591,Students!$A$2:$A$301,0)),"Unknown student",IF(D591="","No status",IF(COUNTIFS($A$2:$A$1001,$A591,$B$2:$B$1001,$B591)&gt;1,"Duplicate",IF(AND(D591&lt;&gt;"Withdrawn",G591&lt;&gt;"",COUNTIFS($B$2:$B$1001,$B591,$G$2:$G$1001,G591,$D$2:$D$1001,"&lt;&gt;Withdrawn")&gt;1),"Same-day clash","OK"))))))</f>
        <v/>
      </c>
    </row>
    <row r="592" customFormat="false" ht="15" hidden="false" customHeight="false" outlineLevel="0" collapsed="false">
      <c r="E592" s="26"/>
      <c r="G592" s="23" t="str">
        <f aca="false">IF($A592="","",IFERROR(IF(INDEX(Activities!$C$2:$C$201,MATCH($A592,Activities!$A$2:$A$201,0))="","",INDEX(Activities!$C$2:$C$201,MATCH($A592,Activities!$A$2:$A$201,0))),""))</f>
        <v/>
      </c>
      <c r="H592" s="24" t="str">
        <f aca="false">IF($A592="","",IFERROR(IF(INDEX(Activities!$B$2:$B$201,MATCH($A592,Activities!$A$2:$A$201,0))="","",INDEX(Activities!$B$2:$B$201,MATCH($A592,Activities!$A$2:$A$201,0))),""))</f>
        <v/>
      </c>
      <c r="I592" s="24" t="str">
        <f aca="false">IF($B592="","",IFERROR(IF(INDEX(Students!$C$2:$C$301,MATCH($B592,Students!$A$2:$A$301,0))="","",INDEX(Students!$C$2:$C$301,MATCH($B592,Students!$A$2:$A$301,0))),""))</f>
        <v/>
      </c>
      <c r="J592" s="24" t="str">
        <f aca="false">IF($B592="","",IFERROR(IF(INDEX(Students!$B$2:$B$301,MATCH($B592,Students!$A$2:$A$301,0))="","",INDEX(Students!$B$2:$B$301,MATCH($B592,Students!$A$2:$A$301,0))),""))</f>
        <v/>
      </c>
      <c r="K592" s="25" t="str">
        <f aca="false">IF($A592="","",IF(D592="Withdrawn",0,IF(E592&lt;&gt;"",N(E592),IFERROR(N(INDEX(Activities!$I$2:$I$201,MATCH($A592,Activities!$A$2:$A$201,0))),0))))</f>
        <v/>
      </c>
      <c r="L592" s="24" t="str">
        <f aca="false">IF(AND($A592="",$B592=""),"",IF(ISNA(MATCH($A592,Activities!$A$2:$A$201,0)),"Unknown activity",IF(ISNA(MATCH($B592,Students!$A$2:$A$301,0)),"Unknown student",IF(D592="","No status",IF(COUNTIFS($A$2:$A$1001,$A592,$B$2:$B$1001,$B592)&gt;1,"Duplicate",IF(AND(D592&lt;&gt;"Withdrawn",G592&lt;&gt;"",COUNTIFS($B$2:$B$1001,$B592,$G$2:$G$1001,G592,$D$2:$D$1001,"&lt;&gt;Withdrawn")&gt;1),"Same-day clash","OK"))))))</f>
        <v/>
      </c>
    </row>
    <row r="593" customFormat="false" ht="15" hidden="false" customHeight="false" outlineLevel="0" collapsed="false">
      <c r="E593" s="26"/>
      <c r="G593" s="23" t="str">
        <f aca="false">IF($A593="","",IFERROR(IF(INDEX(Activities!$C$2:$C$201,MATCH($A593,Activities!$A$2:$A$201,0))="","",INDEX(Activities!$C$2:$C$201,MATCH($A593,Activities!$A$2:$A$201,0))),""))</f>
        <v/>
      </c>
      <c r="H593" s="24" t="str">
        <f aca="false">IF($A593="","",IFERROR(IF(INDEX(Activities!$B$2:$B$201,MATCH($A593,Activities!$A$2:$A$201,0))="","",INDEX(Activities!$B$2:$B$201,MATCH($A593,Activities!$A$2:$A$201,0))),""))</f>
        <v/>
      </c>
      <c r="I593" s="24" t="str">
        <f aca="false">IF($B593="","",IFERROR(IF(INDEX(Students!$C$2:$C$301,MATCH($B593,Students!$A$2:$A$301,0))="","",INDEX(Students!$C$2:$C$301,MATCH($B593,Students!$A$2:$A$301,0))),""))</f>
        <v/>
      </c>
      <c r="J593" s="24" t="str">
        <f aca="false">IF($B593="","",IFERROR(IF(INDEX(Students!$B$2:$B$301,MATCH($B593,Students!$A$2:$A$301,0))="","",INDEX(Students!$B$2:$B$301,MATCH($B593,Students!$A$2:$A$301,0))),""))</f>
        <v/>
      </c>
      <c r="K593" s="25" t="str">
        <f aca="false">IF($A593="","",IF(D593="Withdrawn",0,IF(E593&lt;&gt;"",N(E593),IFERROR(N(INDEX(Activities!$I$2:$I$201,MATCH($A593,Activities!$A$2:$A$201,0))),0))))</f>
        <v/>
      </c>
      <c r="L593" s="24" t="str">
        <f aca="false">IF(AND($A593="",$B593=""),"",IF(ISNA(MATCH($A593,Activities!$A$2:$A$201,0)),"Unknown activity",IF(ISNA(MATCH($B593,Students!$A$2:$A$301,0)),"Unknown student",IF(D593="","No status",IF(COUNTIFS($A$2:$A$1001,$A593,$B$2:$B$1001,$B593)&gt;1,"Duplicate",IF(AND(D593&lt;&gt;"Withdrawn",G593&lt;&gt;"",COUNTIFS($B$2:$B$1001,$B593,$G$2:$G$1001,G593,$D$2:$D$1001,"&lt;&gt;Withdrawn")&gt;1),"Same-day clash","OK"))))))</f>
        <v/>
      </c>
    </row>
    <row r="594" customFormat="false" ht="15" hidden="false" customHeight="false" outlineLevel="0" collapsed="false">
      <c r="E594" s="26"/>
      <c r="G594" s="23" t="str">
        <f aca="false">IF($A594="","",IFERROR(IF(INDEX(Activities!$C$2:$C$201,MATCH($A594,Activities!$A$2:$A$201,0))="","",INDEX(Activities!$C$2:$C$201,MATCH($A594,Activities!$A$2:$A$201,0))),""))</f>
        <v/>
      </c>
      <c r="H594" s="24" t="str">
        <f aca="false">IF($A594="","",IFERROR(IF(INDEX(Activities!$B$2:$B$201,MATCH($A594,Activities!$A$2:$A$201,0))="","",INDEX(Activities!$B$2:$B$201,MATCH($A594,Activities!$A$2:$A$201,0))),""))</f>
        <v/>
      </c>
      <c r="I594" s="24" t="str">
        <f aca="false">IF($B594="","",IFERROR(IF(INDEX(Students!$C$2:$C$301,MATCH($B594,Students!$A$2:$A$301,0))="","",INDEX(Students!$C$2:$C$301,MATCH($B594,Students!$A$2:$A$301,0))),""))</f>
        <v/>
      </c>
      <c r="J594" s="24" t="str">
        <f aca="false">IF($B594="","",IFERROR(IF(INDEX(Students!$B$2:$B$301,MATCH($B594,Students!$A$2:$A$301,0))="","",INDEX(Students!$B$2:$B$301,MATCH($B594,Students!$A$2:$A$301,0))),""))</f>
        <v/>
      </c>
      <c r="K594" s="25" t="str">
        <f aca="false">IF($A594="","",IF(D594="Withdrawn",0,IF(E594&lt;&gt;"",N(E594),IFERROR(N(INDEX(Activities!$I$2:$I$201,MATCH($A594,Activities!$A$2:$A$201,0))),0))))</f>
        <v/>
      </c>
      <c r="L594" s="24" t="str">
        <f aca="false">IF(AND($A594="",$B594=""),"",IF(ISNA(MATCH($A594,Activities!$A$2:$A$201,0)),"Unknown activity",IF(ISNA(MATCH($B594,Students!$A$2:$A$301,0)),"Unknown student",IF(D594="","No status",IF(COUNTIFS($A$2:$A$1001,$A594,$B$2:$B$1001,$B594)&gt;1,"Duplicate",IF(AND(D594&lt;&gt;"Withdrawn",G594&lt;&gt;"",COUNTIFS($B$2:$B$1001,$B594,$G$2:$G$1001,G594,$D$2:$D$1001,"&lt;&gt;Withdrawn")&gt;1),"Same-day clash","OK"))))))</f>
        <v/>
      </c>
    </row>
    <row r="595" customFormat="false" ht="15" hidden="false" customHeight="false" outlineLevel="0" collapsed="false">
      <c r="E595" s="26"/>
      <c r="G595" s="23" t="str">
        <f aca="false">IF($A595="","",IFERROR(IF(INDEX(Activities!$C$2:$C$201,MATCH($A595,Activities!$A$2:$A$201,0))="","",INDEX(Activities!$C$2:$C$201,MATCH($A595,Activities!$A$2:$A$201,0))),""))</f>
        <v/>
      </c>
      <c r="H595" s="24" t="str">
        <f aca="false">IF($A595="","",IFERROR(IF(INDEX(Activities!$B$2:$B$201,MATCH($A595,Activities!$A$2:$A$201,0))="","",INDEX(Activities!$B$2:$B$201,MATCH($A595,Activities!$A$2:$A$201,0))),""))</f>
        <v/>
      </c>
      <c r="I595" s="24" t="str">
        <f aca="false">IF($B595="","",IFERROR(IF(INDEX(Students!$C$2:$C$301,MATCH($B595,Students!$A$2:$A$301,0))="","",INDEX(Students!$C$2:$C$301,MATCH($B595,Students!$A$2:$A$301,0))),""))</f>
        <v/>
      </c>
      <c r="J595" s="24" t="str">
        <f aca="false">IF($B595="","",IFERROR(IF(INDEX(Students!$B$2:$B$301,MATCH($B595,Students!$A$2:$A$301,0))="","",INDEX(Students!$B$2:$B$301,MATCH($B595,Students!$A$2:$A$301,0))),""))</f>
        <v/>
      </c>
      <c r="K595" s="25" t="str">
        <f aca="false">IF($A595="","",IF(D595="Withdrawn",0,IF(E595&lt;&gt;"",N(E595),IFERROR(N(INDEX(Activities!$I$2:$I$201,MATCH($A595,Activities!$A$2:$A$201,0))),0))))</f>
        <v/>
      </c>
      <c r="L595" s="24" t="str">
        <f aca="false">IF(AND($A595="",$B595=""),"",IF(ISNA(MATCH($A595,Activities!$A$2:$A$201,0)),"Unknown activity",IF(ISNA(MATCH($B595,Students!$A$2:$A$301,0)),"Unknown student",IF(D595="","No status",IF(COUNTIFS($A$2:$A$1001,$A595,$B$2:$B$1001,$B595)&gt;1,"Duplicate",IF(AND(D595&lt;&gt;"Withdrawn",G595&lt;&gt;"",COUNTIFS($B$2:$B$1001,$B595,$G$2:$G$1001,G595,$D$2:$D$1001,"&lt;&gt;Withdrawn")&gt;1),"Same-day clash","OK"))))))</f>
        <v/>
      </c>
    </row>
    <row r="596" customFormat="false" ht="15" hidden="false" customHeight="false" outlineLevel="0" collapsed="false">
      <c r="E596" s="26"/>
      <c r="G596" s="23" t="str">
        <f aca="false">IF($A596="","",IFERROR(IF(INDEX(Activities!$C$2:$C$201,MATCH($A596,Activities!$A$2:$A$201,0))="","",INDEX(Activities!$C$2:$C$201,MATCH($A596,Activities!$A$2:$A$201,0))),""))</f>
        <v/>
      </c>
      <c r="H596" s="24" t="str">
        <f aca="false">IF($A596="","",IFERROR(IF(INDEX(Activities!$B$2:$B$201,MATCH($A596,Activities!$A$2:$A$201,0))="","",INDEX(Activities!$B$2:$B$201,MATCH($A596,Activities!$A$2:$A$201,0))),""))</f>
        <v/>
      </c>
      <c r="I596" s="24" t="str">
        <f aca="false">IF($B596="","",IFERROR(IF(INDEX(Students!$C$2:$C$301,MATCH($B596,Students!$A$2:$A$301,0))="","",INDEX(Students!$C$2:$C$301,MATCH($B596,Students!$A$2:$A$301,0))),""))</f>
        <v/>
      </c>
      <c r="J596" s="24" t="str">
        <f aca="false">IF($B596="","",IFERROR(IF(INDEX(Students!$B$2:$B$301,MATCH($B596,Students!$A$2:$A$301,0))="","",INDEX(Students!$B$2:$B$301,MATCH($B596,Students!$A$2:$A$301,0))),""))</f>
        <v/>
      </c>
      <c r="K596" s="25" t="str">
        <f aca="false">IF($A596="","",IF(D596="Withdrawn",0,IF(E596&lt;&gt;"",N(E596),IFERROR(N(INDEX(Activities!$I$2:$I$201,MATCH($A596,Activities!$A$2:$A$201,0))),0))))</f>
        <v/>
      </c>
      <c r="L596" s="24" t="str">
        <f aca="false">IF(AND($A596="",$B596=""),"",IF(ISNA(MATCH($A596,Activities!$A$2:$A$201,0)),"Unknown activity",IF(ISNA(MATCH($B596,Students!$A$2:$A$301,0)),"Unknown student",IF(D596="","No status",IF(COUNTIFS($A$2:$A$1001,$A596,$B$2:$B$1001,$B596)&gt;1,"Duplicate",IF(AND(D596&lt;&gt;"Withdrawn",G596&lt;&gt;"",COUNTIFS($B$2:$B$1001,$B596,$G$2:$G$1001,G596,$D$2:$D$1001,"&lt;&gt;Withdrawn")&gt;1),"Same-day clash","OK"))))))</f>
        <v/>
      </c>
    </row>
    <row r="597" customFormat="false" ht="15" hidden="false" customHeight="false" outlineLevel="0" collapsed="false">
      <c r="E597" s="26"/>
      <c r="G597" s="23" t="str">
        <f aca="false">IF($A597="","",IFERROR(IF(INDEX(Activities!$C$2:$C$201,MATCH($A597,Activities!$A$2:$A$201,0))="","",INDEX(Activities!$C$2:$C$201,MATCH($A597,Activities!$A$2:$A$201,0))),""))</f>
        <v/>
      </c>
      <c r="H597" s="24" t="str">
        <f aca="false">IF($A597="","",IFERROR(IF(INDEX(Activities!$B$2:$B$201,MATCH($A597,Activities!$A$2:$A$201,0))="","",INDEX(Activities!$B$2:$B$201,MATCH($A597,Activities!$A$2:$A$201,0))),""))</f>
        <v/>
      </c>
      <c r="I597" s="24" t="str">
        <f aca="false">IF($B597="","",IFERROR(IF(INDEX(Students!$C$2:$C$301,MATCH($B597,Students!$A$2:$A$301,0))="","",INDEX(Students!$C$2:$C$301,MATCH($B597,Students!$A$2:$A$301,0))),""))</f>
        <v/>
      </c>
      <c r="J597" s="24" t="str">
        <f aca="false">IF($B597="","",IFERROR(IF(INDEX(Students!$B$2:$B$301,MATCH($B597,Students!$A$2:$A$301,0))="","",INDEX(Students!$B$2:$B$301,MATCH($B597,Students!$A$2:$A$301,0))),""))</f>
        <v/>
      </c>
      <c r="K597" s="25" t="str">
        <f aca="false">IF($A597="","",IF(D597="Withdrawn",0,IF(E597&lt;&gt;"",N(E597),IFERROR(N(INDEX(Activities!$I$2:$I$201,MATCH($A597,Activities!$A$2:$A$201,0))),0))))</f>
        <v/>
      </c>
      <c r="L597" s="24" t="str">
        <f aca="false">IF(AND($A597="",$B597=""),"",IF(ISNA(MATCH($A597,Activities!$A$2:$A$201,0)),"Unknown activity",IF(ISNA(MATCH($B597,Students!$A$2:$A$301,0)),"Unknown student",IF(D597="","No status",IF(COUNTIFS($A$2:$A$1001,$A597,$B$2:$B$1001,$B597)&gt;1,"Duplicate",IF(AND(D597&lt;&gt;"Withdrawn",G597&lt;&gt;"",COUNTIFS($B$2:$B$1001,$B597,$G$2:$G$1001,G597,$D$2:$D$1001,"&lt;&gt;Withdrawn")&gt;1),"Same-day clash","OK"))))))</f>
        <v/>
      </c>
    </row>
    <row r="598" customFormat="false" ht="15" hidden="false" customHeight="false" outlineLevel="0" collapsed="false">
      <c r="E598" s="26"/>
      <c r="G598" s="23" t="str">
        <f aca="false">IF($A598="","",IFERROR(IF(INDEX(Activities!$C$2:$C$201,MATCH($A598,Activities!$A$2:$A$201,0))="","",INDEX(Activities!$C$2:$C$201,MATCH($A598,Activities!$A$2:$A$201,0))),""))</f>
        <v/>
      </c>
      <c r="H598" s="24" t="str">
        <f aca="false">IF($A598="","",IFERROR(IF(INDEX(Activities!$B$2:$B$201,MATCH($A598,Activities!$A$2:$A$201,0))="","",INDEX(Activities!$B$2:$B$201,MATCH($A598,Activities!$A$2:$A$201,0))),""))</f>
        <v/>
      </c>
      <c r="I598" s="24" t="str">
        <f aca="false">IF($B598="","",IFERROR(IF(INDEX(Students!$C$2:$C$301,MATCH($B598,Students!$A$2:$A$301,0))="","",INDEX(Students!$C$2:$C$301,MATCH($B598,Students!$A$2:$A$301,0))),""))</f>
        <v/>
      </c>
      <c r="J598" s="24" t="str">
        <f aca="false">IF($B598="","",IFERROR(IF(INDEX(Students!$B$2:$B$301,MATCH($B598,Students!$A$2:$A$301,0))="","",INDEX(Students!$B$2:$B$301,MATCH($B598,Students!$A$2:$A$301,0))),""))</f>
        <v/>
      </c>
      <c r="K598" s="25" t="str">
        <f aca="false">IF($A598="","",IF(D598="Withdrawn",0,IF(E598&lt;&gt;"",N(E598),IFERROR(N(INDEX(Activities!$I$2:$I$201,MATCH($A598,Activities!$A$2:$A$201,0))),0))))</f>
        <v/>
      </c>
      <c r="L598" s="24" t="str">
        <f aca="false">IF(AND($A598="",$B598=""),"",IF(ISNA(MATCH($A598,Activities!$A$2:$A$201,0)),"Unknown activity",IF(ISNA(MATCH($B598,Students!$A$2:$A$301,0)),"Unknown student",IF(D598="","No status",IF(COUNTIFS($A$2:$A$1001,$A598,$B$2:$B$1001,$B598)&gt;1,"Duplicate",IF(AND(D598&lt;&gt;"Withdrawn",G598&lt;&gt;"",COUNTIFS($B$2:$B$1001,$B598,$G$2:$G$1001,G598,$D$2:$D$1001,"&lt;&gt;Withdrawn")&gt;1),"Same-day clash","OK"))))))</f>
        <v/>
      </c>
    </row>
    <row r="599" customFormat="false" ht="15" hidden="false" customHeight="false" outlineLevel="0" collapsed="false">
      <c r="E599" s="26"/>
      <c r="G599" s="23" t="str">
        <f aca="false">IF($A599="","",IFERROR(IF(INDEX(Activities!$C$2:$C$201,MATCH($A599,Activities!$A$2:$A$201,0))="","",INDEX(Activities!$C$2:$C$201,MATCH($A599,Activities!$A$2:$A$201,0))),""))</f>
        <v/>
      </c>
      <c r="H599" s="24" t="str">
        <f aca="false">IF($A599="","",IFERROR(IF(INDEX(Activities!$B$2:$B$201,MATCH($A599,Activities!$A$2:$A$201,0))="","",INDEX(Activities!$B$2:$B$201,MATCH($A599,Activities!$A$2:$A$201,0))),""))</f>
        <v/>
      </c>
      <c r="I599" s="24" t="str">
        <f aca="false">IF($B599="","",IFERROR(IF(INDEX(Students!$C$2:$C$301,MATCH($B599,Students!$A$2:$A$301,0))="","",INDEX(Students!$C$2:$C$301,MATCH($B599,Students!$A$2:$A$301,0))),""))</f>
        <v/>
      </c>
      <c r="J599" s="24" t="str">
        <f aca="false">IF($B599="","",IFERROR(IF(INDEX(Students!$B$2:$B$301,MATCH($B599,Students!$A$2:$A$301,0))="","",INDEX(Students!$B$2:$B$301,MATCH($B599,Students!$A$2:$A$301,0))),""))</f>
        <v/>
      </c>
      <c r="K599" s="25" t="str">
        <f aca="false">IF($A599="","",IF(D599="Withdrawn",0,IF(E599&lt;&gt;"",N(E599),IFERROR(N(INDEX(Activities!$I$2:$I$201,MATCH($A599,Activities!$A$2:$A$201,0))),0))))</f>
        <v/>
      </c>
      <c r="L599" s="24" t="str">
        <f aca="false">IF(AND($A599="",$B599=""),"",IF(ISNA(MATCH($A599,Activities!$A$2:$A$201,0)),"Unknown activity",IF(ISNA(MATCH($B599,Students!$A$2:$A$301,0)),"Unknown student",IF(D599="","No status",IF(COUNTIFS($A$2:$A$1001,$A599,$B$2:$B$1001,$B599)&gt;1,"Duplicate",IF(AND(D599&lt;&gt;"Withdrawn",G599&lt;&gt;"",COUNTIFS($B$2:$B$1001,$B599,$G$2:$G$1001,G599,$D$2:$D$1001,"&lt;&gt;Withdrawn")&gt;1),"Same-day clash","OK"))))))</f>
        <v/>
      </c>
    </row>
    <row r="600" customFormat="false" ht="15" hidden="false" customHeight="false" outlineLevel="0" collapsed="false">
      <c r="E600" s="26"/>
      <c r="G600" s="23" t="str">
        <f aca="false">IF($A600="","",IFERROR(IF(INDEX(Activities!$C$2:$C$201,MATCH($A600,Activities!$A$2:$A$201,0))="","",INDEX(Activities!$C$2:$C$201,MATCH($A600,Activities!$A$2:$A$201,0))),""))</f>
        <v/>
      </c>
      <c r="H600" s="24" t="str">
        <f aca="false">IF($A600="","",IFERROR(IF(INDEX(Activities!$B$2:$B$201,MATCH($A600,Activities!$A$2:$A$201,0))="","",INDEX(Activities!$B$2:$B$201,MATCH($A600,Activities!$A$2:$A$201,0))),""))</f>
        <v/>
      </c>
      <c r="I600" s="24" t="str">
        <f aca="false">IF($B600="","",IFERROR(IF(INDEX(Students!$C$2:$C$301,MATCH($B600,Students!$A$2:$A$301,0))="","",INDEX(Students!$C$2:$C$301,MATCH($B600,Students!$A$2:$A$301,0))),""))</f>
        <v/>
      </c>
      <c r="J600" s="24" t="str">
        <f aca="false">IF($B600="","",IFERROR(IF(INDEX(Students!$B$2:$B$301,MATCH($B600,Students!$A$2:$A$301,0))="","",INDEX(Students!$B$2:$B$301,MATCH($B600,Students!$A$2:$A$301,0))),""))</f>
        <v/>
      </c>
      <c r="K600" s="25" t="str">
        <f aca="false">IF($A600="","",IF(D600="Withdrawn",0,IF(E600&lt;&gt;"",N(E600),IFERROR(N(INDEX(Activities!$I$2:$I$201,MATCH($A600,Activities!$A$2:$A$201,0))),0))))</f>
        <v/>
      </c>
      <c r="L600" s="24" t="str">
        <f aca="false">IF(AND($A600="",$B600=""),"",IF(ISNA(MATCH($A600,Activities!$A$2:$A$201,0)),"Unknown activity",IF(ISNA(MATCH($B600,Students!$A$2:$A$301,0)),"Unknown student",IF(D600="","No status",IF(COUNTIFS($A$2:$A$1001,$A600,$B$2:$B$1001,$B600)&gt;1,"Duplicate",IF(AND(D600&lt;&gt;"Withdrawn",G600&lt;&gt;"",COUNTIFS($B$2:$B$1001,$B600,$G$2:$G$1001,G600,$D$2:$D$1001,"&lt;&gt;Withdrawn")&gt;1),"Same-day clash","OK"))))))</f>
        <v/>
      </c>
    </row>
    <row r="601" customFormat="false" ht="15" hidden="false" customHeight="false" outlineLevel="0" collapsed="false">
      <c r="E601" s="26"/>
      <c r="G601" s="23" t="str">
        <f aca="false">IF($A601="","",IFERROR(IF(INDEX(Activities!$C$2:$C$201,MATCH($A601,Activities!$A$2:$A$201,0))="","",INDEX(Activities!$C$2:$C$201,MATCH($A601,Activities!$A$2:$A$201,0))),""))</f>
        <v/>
      </c>
      <c r="H601" s="24" t="str">
        <f aca="false">IF($A601="","",IFERROR(IF(INDEX(Activities!$B$2:$B$201,MATCH($A601,Activities!$A$2:$A$201,0))="","",INDEX(Activities!$B$2:$B$201,MATCH($A601,Activities!$A$2:$A$201,0))),""))</f>
        <v/>
      </c>
      <c r="I601" s="24" t="str">
        <f aca="false">IF($B601="","",IFERROR(IF(INDEX(Students!$C$2:$C$301,MATCH($B601,Students!$A$2:$A$301,0))="","",INDEX(Students!$C$2:$C$301,MATCH($B601,Students!$A$2:$A$301,0))),""))</f>
        <v/>
      </c>
      <c r="J601" s="24" t="str">
        <f aca="false">IF($B601="","",IFERROR(IF(INDEX(Students!$B$2:$B$301,MATCH($B601,Students!$A$2:$A$301,0))="","",INDEX(Students!$B$2:$B$301,MATCH($B601,Students!$A$2:$A$301,0))),""))</f>
        <v/>
      </c>
      <c r="K601" s="25" t="str">
        <f aca="false">IF($A601="","",IF(D601="Withdrawn",0,IF(E601&lt;&gt;"",N(E601),IFERROR(N(INDEX(Activities!$I$2:$I$201,MATCH($A601,Activities!$A$2:$A$201,0))),0))))</f>
        <v/>
      </c>
      <c r="L601" s="24" t="str">
        <f aca="false">IF(AND($A601="",$B601=""),"",IF(ISNA(MATCH($A601,Activities!$A$2:$A$201,0)),"Unknown activity",IF(ISNA(MATCH($B601,Students!$A$2:$A$301,0)),"Unknown student",IF(D601="","No status",IF(COUNTIFS($A$2:$A$1001,$A601,$B$2:$B$1001,$B601)&gt;1,"Duplicate",IF(AND(D601&lt;&gt;"Withdrawn",G601&lt;&gt;"",COUNTIFS($B$2:$B$1001,$B601,$G$2:$G$1001,G601,$D$2:$D$1001,"&lt;&gt;Withdrawn")&gt;1),"Same-day clash","OK"))))))</f>
        <v/>
      </c>
    </row>
    <row r="602" customFormat="false" ht="15" hidden="false" customHeight="false" outlineLevel="0" collapsed="false">
      <c r="E602" s="26"/>
      <c r="G602" s="23" t="str">
        <f aca="false">IF($A602="","",IFERROR(IF(INDEX(Activities!$C$2:$C$201,MATCH($A602,Activities!$A$2:$A$201,0))="","",INDEX(Activities!$C$2:$C$201,MATCH($A602,Activities!$A$2:$A$201,0))),""))</f>
        <v/>
      </c>
      <c r="H602" s="24" t="str">
        <f aca="false">IF($A602="","",IFERROR(IF(INDEX(Activities!$B$2:$B$201,MATCH($A602,Activities!$A$2:$A$201,0))="","",INDEX(Activities!$B$2:$B$201,MATCH($A602,Activities!$A$2:$A$201,0))),""))</f>
        <v/>
      </c>
      <c r="I602" s="24" t="str">
        <f aca="false">IF($B602="","",IFERROR(IF(INDEX(Students!$C$2:$C$301,MATCH($B602,Students!$A$2:$A$301,0))="","",INDEX(Students!$C$2:$C$301,MATCH($B602,Students!$A$2:$A$301,0))),""))</f>
        <v/>
      </c>
      <c r="J602" s="24" t="str">
        <f aca="false">IF($B602="","",IFERROR(IF(INDEX(Students!$B$2:$B$301,MATCH($B602,Students!$A$2:$A$301,0))="","",INDEX(Students!$B$2:$B$301,MATCH($B602,Students!$A$2:$A$301,0))),""))</f>
        <v/>
      </c>
      <c r="K602" s="25" t="str">
        <f aca="false">IF($A602="","",IF(D602="Withdrawn",0,IF(E602&lt;&gt;"",N(E602),IFERROR(N(INDEX(Activities!$I$2:$I$201,MATCH($A602,Activities!$A$2:$A$201,0))),0))))</f>
        <v/>
      </c>
      <c r="L602" s="24" t="str">
        <f aca="false">IF(AND($A602="",$B602=""),"",IF(ISNA(MATCH($A602,Activities!$A$2:$A$201,0)),"Unknown activity",IF(ISNA(MATCH($B602,Students!$A$2:$A$301,0)),"Unknown student",IF(D602="","No status",IF(COUNTIFS($A$2:$A$1001,$A602,$B$2:$B$1001,$B602)&gt;1,"Duplicate",IF(AND(D602&lt;&gt;"Withdrawn",G602&lt;&gt;"",COUNTIFS($B$2:$B$1001,$B602,$G$2:$G$1001,G602,$D$2:$D$1001,"&lt;&gt;Withdrawn")&gt;1),"Same-day clash","OK"))))))</f>
        <v/>
      </c>
    </row>
    <row r="603" customFormat="false" ht="15" hidden="false" customHeight="false" outlineLevel="0" collapsed="false">
      <c r="E603" s="26"/>
      <c r="G603" s="23" t="str">
        <f aca="false">IF($A603="","",IFERROR(IF(INDEX(Activities!$C$2:$C$201,MATCH($A603,Activities!$A$2:$A$201,0))="","",INDEX(Activities!$C$2:$C$201,MATCH($A603,Activities!$A$2:$A$201,0))),""))</f>
        <v/>
      </c>
      <c r="H603" s="24" t="str">
        <f aca="false">IF($A603="","",IFERROR(IF(INDEX(Activities!$B$2:$B$201,MATCH($A603,Activities!$A$2:$A$201,0))="","",INDEX(Activities!$B$2:$B$201,MATCH($A603,Activities!$A$2:$A$201,0))),""))</f>
        <v/>
      </c>
      <c r="I603" s="24" t="str">
        <f aca="false">IF($B603="","",IFERROR(IF(INDEX(Students!$C$2:$C$301,MATCH($B603,Students!$A$2:$A$301,0))="","",INDEX(Students!$C$2:$C$301,MATCH($B603,Students!$A$2:$A$301,0))),""))</f>
        <v/>
      </c>
      <c r="J603" s="24" t="str">
        <f aca="false">IF($B603="","",IFERROR(IF(INDEX(Students!$B$2:$B$301,MATCH($B603,Students!$A$2:$A$301,0))="","",INDEX(Students!$B$2:$B$301,MATCH($B603,Students!$A$2:$A$301,0))),""))</f>
        <v/>
      </c>
      <c r="K603" s="25" t="str">
        <f aca="false">IF($A603="","",IF(D603="Withdrawn",0,IF(E603&lt;&gt;"",N(E603),IFERROR(N(INDEX(Activities!$I$2:$I$201,MATCH($A603,Activities!$A$2:$A$201,0))),0))))</f>
        <v/>
      </c>
      <c r="L603" s="24" t="str">
        <f aca="false">IF(AND($A603="",$B603=""),"",IF(ISNA(MATCH($A603,Activities!$A$2:$A$201,0)),"Unknown activity",IF(ISNA(MATCH($B603,Students!$A$2:$A$301,0)),"Unknown student",IF(D603="","No status",IF(COUNTIFS($A$2:$A$1001,$A603,$B$2:$B$1001,$B603)&gt;1,"Duplicate",IF(AND(D603&lt;&gt;"Withdrawn",G603&lt;&gt;"",COUNTIFS($B$2:$B$1001,$B603,$G$2:$G$1001,G603,$D$2:$D$1001,"&lt;&gt;Withdrawn")&gt;1),"Same-day clash","OK"))))))</f>
        <v/>
      </c>
    </row>
    <row r="604" customFormat="false" ht="15" hidden="false" customHeight="false" outlineLevel="0" collapsed="false">
      <c r="E604" s="26"/>
      <c r="G604" s="23" t="str">
        <f aca="false">IF($A604="","",IFERROR(IF(INDEX(Activities!$C$2:$C$201,MATCH($A604,Activities!$A$2:$A$201,0))="","",INDEX(Activities!$C$2:$C$201,MATCH($A604,Activities!$A$2:$A$201,0))),""))</f>
        <v/>
      </c>
      <c r="H604" s="24" t="str">
        <f aca="false">IF($A604="","",IFERROR(IF(INDEX(Activities!$B$2:$B$201,MATCH($A604,Activities!$A$2:$A$201,0))="","",INDEX(Activities!$B$2:$B$201,MATCH($A604,Activities!$A$2:$A$201,0))),""))</f>
        <v/>
      </c>
      <c r="I604" s="24" t="str">
        <f aca="false">IF($B604="","",IFERROR(IF(INDEX(Students!$C$2:$C$301,MATCH($B604,Students!$A$2:$A$301,0))="","",INDEX(Students!$C$2:$C$301,MATCH($B604,Students!$A$2:$A$301,0))),""))</f>
        <v/>
      </c>
      <c r="J604" s="24" t="str">
        <f aca="false">IF($B604="","",IFERROR(IF(INDEX(Students!$B$2:$B$301,MATCH($B604,Students!$A$2:$A$301,0))="","",INDEX(Students!$B$2:$B$301,MATCH($B604,Students!$A$2:$A$301,0))),""))</f>
        <v/>
      </c>
      <c r="K604" s="25" t="str">
        <f aca="false">IF($A604="","",IF(D604="Withdrawn",0,IF(E604&lt;&gt;"",N(E604),IFERROR(N(INDEX(Activities!$I$2:$I$201,MATCH($A604,Activities!$A$2:$A$201,0))),0))))</f>
        <v/>
      </c>
      <c r="L604" s="24" t="str">
        <f aca="false">IF(AND($A604="",$B604=""),"",IF(ISNA(MATCH($A604,Activities!$A$2:$A$201,0)),"Unknown activity",IF(ISNA(MATCH($B604,Students!$A$2:$A$301,0)),"Unknown student",IF(D604="","No status",IF(COUNTIFS($A$2:$A$1001,$A604,$B$2:$B$1001,$B604)&gt;1,"Duplicate",IF(AND(D604&lt;&gt;"Withdrawn",G604&lt;&gt;"",COUNTIFS($B$2:$B$1001,$B604,$G$2:$G$1001,G604,$D$2:$D$1001,"&lt;&gt;Withdrawn")&gt;1),"Same-day clash","OK"))))))</f>
        <v/>
      </c>
    </row>
    <row r="605" customFormat="false" ht="15" hidden="false" customHeight="false" outlineLevel="0" collapsed="false">
      <c r="E605" s="26"/>
      <c r="G605" s="23" t="str">
        <f aca="false">IF($A605="","",IFERROR(IF(INDEX(Activities!$C$2:$C$201,MATCH($A605,Activities!$A$2:$A$201,0))="","",INDEX(Activities!$C$2:$C$201,MATCH($A605,Activities!$A$2:$A$201,0))),""))</f>
        <v/>
      </c>
      <c r="H605" s="24" t="str">
        <f aca="false">IF($A605="","",IFERROR(IF(INDEX(Activities!$B$2:$B$201,MATCH($A605,Activities!$A$2:$A$201,0))="","",INDEX(Activities!$B$2:$B$201,MATCH($A605,Activities!$A$2:$A$201,0))),""))</f>
        <v/>
      </c>
      <c r="I605" s="24" t="str">
        <f aca="false">IF($B605="","",IFERROR(IF(INDEX(Students!$C$2:$C$301,MATCH($B605,Students!$A$2:$A$301,0))="","",INDEX(Students!$C$2:$C$301,MATCH($B605,Students!$A$2:$A$301,0))),""))</f>
        <v/>
      </c>
      <c r="J605" s="24" t="str">
        <f aca="false">IF($B605="","",IFERROR(IF(INDEX(Students!$B$2:$B$301,MATCH($B605,Students!$A$2:$A$301,0))="","",INDEX(Students!$B$2:$B$301,MATCH($B605,Students!$A$2:$A$301,0))),""))</f>
        <v/>
      </c>
      <c r="K605" s="25" t="str">
        <f aca="false">IF($A605="","",IF(D605="Withdrawn",0,IF(E605&lt;&gt;"",N(E605),IFERROR(N(INDEX(Activities!$I$2:$I$201,MATCH($A605,Activities!$A$2:$A$201,0))),0))))</f>
        <v/>
      </c>
      <c r="L605" s="24" t="str">
        <f aca="false">IF(AND($A605="",$B605=""),"",IF(ISNA(MATCH($A605,Activities!$A$2:$A$201,0)),"Unknown activity",IF(ISNA(MATCH($B605,Students!$A$2:$A$301,0)),"Unknown student",IF(D605="","No status",IF(COUNTIFS($A$2:$A$1001,$A605,$B$2:$B$1001,$B605)&gt;1,"Duplicate",IF(AND(D605&lt;&gt;"Withdrawn",G605&lt;&gt;"",COUNTIFS($B$2:$B$1001,$B605,$G$2:$G$1001,G605,$D$2:$D$1001,"&lt;&gt;Withdrawn")&gt;1),"Same-day clash","OK"))))))</f>
        <v/>
      </c>
    </row>
    <row r="606" customFormat="false" ht="15" hidden="false" customHeight="false" outlineLevel="0" collapsed="false">
      <c r="E606" s="26"/>
      <c r="G606" s="23" t="str">
        <f aca="false">IF($A606="","",IFERROR(IF(INDEX(Activities!$C$2:$C$201,MATCH($A606,Activities!$A$2:$A$201,0))="","",INDEX(Activities!$C$2:$C$201,MATCH($A606,Activities!$A$2:$A$201,0))),""))</f>
        <v/>
      </c>
      <c r="H606" s="24" t="str">
        <f aca="false">IF($A606="","",IFERROR(IF(INDEX(Activities!$B$2:$B$201,MATCH($A606,Activities!$A$2:$A$201,0))="","",INDEX(Activities!$B$2:$B$201,MATCH($A606,Activities!$A$2:$A$201,0))),""))</f>
        <v/>
      </c>
      <c r="I606" s="24" t="str">
        <f aca="false">IF($B606="","",IFERROR(IF(INDEX(Students!$C$2:$C$301,MATCH($B606,Students!$A$2:$A$301,0))="","",INDEX(Students!$C$2:$C$301,MATCH($B606,Students!$A$2:$A$301,0))),""))</f>
        <v/>
      </c>
      <c r="J606" s="24" t="str">
        <f aca="false">IF($B606="","",IFERROR(IF(INDEX(Students!$B$2:$B$301,MATCH($B606,Students!$A$2:$A$301,0))="","",INDEX(Students!$B$2:$B$301,MATCH($B606,Students!$A$2:$A$301,0))),""))</f>
        <v/>
      </c>
      <c r="K606" s="25" t="str">
        <f aca="false">IF($A606="","",IF(D606="Withdrawn",0,IF(E606&lt;&gt;"",N(E606),IFERROR(N(INDEX(Activities!$I$2:$I$201,MATCH($A606,Activities!$A$2:$A$201,0))),0))))</f>
        <v/>
      </c>
      <c r="L606" s="24" t="str">
        <f aca="false">IF(AND($A606="",$B606=""),"",IF(ISNA(MATCH($A606,Activities!$A$2:$A$201,0)),"Unknown activity",IF(ISNA(MATCH($B606,Students!$A$2:$A$301,0)),"Unknown student",IF(D606="","No status",IF(COUNTIFS($A$2:$A$1001,$A606,$B$2:$B$1001,$B606)&gt;1,"Duplicate",IF(AND(D606&lt;&gt;"Withdrawn",G606&lt;&gt;"",COUNTIFS($B$2:$B$1001,$B606,$G$2:$G$1001,G606,$D$2:$D$1001,"&lt;&gt;Withdrawn")&gt;1),"Same-day clash","OK"))))))</f>
        <v/>
      </c>
    </row>
    <row r="607" customFormat="false" ht="15" hidden="false" customHeight="false" outlineLevel="0" collapsed="false">
      <c r="E607" s="26"/>
      <c r="G607" s="23" t="str">
        <f aca="false">IF($A607="","",IFERROR(IF(INDEX(Activities!$C$2:$C$201,MATCH($A607,Activities!$A$2:$A$201,0))="","",INDEX(Activities!$C$2:$C$201,MATCH($A607,Activities!$A$2:$A$201,0))),""))</f>
        <v/>
      </c>
      <c r="H607" s="24" t="str">
        <f aca="false">IF($A607="","",IFERROR(IF(INDEX(Activities!$B$2:$B$201,MATCH($A607,Activities!$A$2:$A$201,0))="","",INDEX(Activities!$B$2:$B$201,MATCH($A607,Activities!$A$2:$A$201,0))),""))</f>
        <v/>
      </c>
      <c r="I607" s="24" t="str">
        <f aca="false">IF($B607="","",IFERROR(IF(INDEX(Students!$C$2:$C$301,MATCH($B607,Students!$A$2:$A$301,0))="","",INDEX(Students!$C$2:$C$301,MATCH($B607,Students!$A$2:$A$301,0))),""))</f>
        <v/>
      </c>
      <c r="J607" s="24" t="str">
        <f aca="false">IF($B607="","",IFERROR(IF(INDEX(Students!$B$2:$B$301,MATCH($B607,Students!$A$2:$A$301,0))="","",INDEX(Students!$B$2:$B$301,MATCH($B607,Students!$A$2:$A$301,0))),""))</f>
        <v/>
      </c>
      <c r="K607" s="25" t="str">
        <f aca="false">IF($A607="","",IF(D607="Withdrawn",0,IF(E607&lt;&gt;"",N(E607),IFERROR(N(INDEX(Activities!$I$2:$I$201,MATCH($A607,Activities!$A$2:$A$201,0))),0))))</f>
        <v/>
      </c>
      <c r="L607" s="24" t="str">
        <f aca="false">IF(AND($A607="",$B607=""),"",IF(ISNA(MATCH($A607,Activities!$A$2:$A$201,0)),"Unknown activity",IF(ISNA(MATCH($B607,Students!$A$2:$A$301,0)),"Unknown student",IF(D607="","No status",IF(COUNTIFS($A$2:$A$1001,$A607,$B$2:$B$1001,$B607)&gt;1,"Duplicate",IF(AND(D607&lt;&gt;"Withdrawn",G607&lt;&gt;"",COUNTIFS($B$2:$B$1001,$B607,$G$2:$G$1001,G607,$D$2:$D$1001,"&lt;&gt;Withdrawn")&gt;1),"Same-day clash","OK"))))))</f>
        <v/>
      </c>
    </row>
    <row r="608" customFormat="false" ht="15" hidden="false" customHeight="false" outlineLevel="0" collapsed="false">
      <c r="E608" s="26"/>
      <c r="G608" s="23" t="str">
        <f aca="false">IF($A608="","",IFERROR(IF(INDEX(Activities!$C$2:$C$201,MATCH($A608,Activities!$A$2:$A$201,0))="","",INDEX(Activities!$C$2:$C$201,MATCH($A608,Activities!$A$2:$A$201,0))),""))</f>
        <v/>
      </c>
      <c r="H608" s="24" t="str">
        <f aca="false">IF($A608="","",IFERROR(IF(INDEX(Activities!$B$2:$B$201,MATCH($A608,Activities!$A$2:$A$201,0))="","",INDEX(Activities!$B$2:$B$201,MATCH($A608,Activities!$A$2:$A$201,0))),""))</f>
        <v/>
      </c>
      <c r="I608" s="24" t="str">
        <f aca="false">IF($B608="","",IFERROR(IF(INDEX(Students!$C$2:$C$301,MATCH($B608,Students!$A$2:$A$301,0))="","",INDEX(Students!$C$2:$C$301,MATCH($B608,Students!$A$2:$A$301,0))),""))</f>
        <v/>
      </c>
      <c r="J608" s="24" t="str">
        <f aca="false">IF($B608="","",IFERROR(IF(INDEX(Students!$B$2:$B$301,MATCH($B608,Students!$A$2:$A$301,0))="","",INDEX(Students!$B$2:$B$301,MATCH($B608,Students!$A$2:$A$301,0))),""))</f>
        <v/>
      </c>
      <c r="K608" s="25" t="str">
        <f aca="false">IF($A608="","",IF(D608="Withdrawn",0,IF(E608&lt;&gt;"",N(E608),IFERROR(N(INDEX(Activities!$I$2:$I$201,MATCH($A608,Activities!$A$2:$A$201,0))),0))))</f>
        <v/>
      </c>
      <c r="L608" s="24" t="str">
        <f aca="false">IF(AND($A608="",$B608=""),"",IF(ISNA(MATCH($A608,Activities!$A$2:$A$201,0)),"Unknown activity",IF(ISNA(MATCH($B608,Students!$A$2:$A$301,0)),"Unknown student",IF(D608="","No status",IF(COUNTIFS($A$2:$A$1001,$A608,$B$2:$B$1001,$B608)&gt;1,"Duplicate",IF(AND(D608&lt;&gt;"Withdrawn",G608&lt;&gt;"",COUNTIFS($B$2:$B$1001,$B608,$G$2:$G$1001,G608,$D$2:$D$1001,"&lt;&gt;Withdrawn")&gt;1),"Same-day clash","OK"))))))</f>
        <v/>
      </c>
    </row>
    <row r="609" customFormat="false" ht="15" hidden="false" customHeight="false" outlineLevel="0" collapsed="false">
      <c r="E609" s="26"/>
      <c r="G609" s="23" t="str">
        <f aca="false">IF($A609="","",IFERROR(IF(INDEX(Activities!$C$2:$C$201,MATCH($A609,Activities!$A$2:$A$201,0))="","",INDEX(Activities!$C$2:$C$201,MATCH($A609,Activities!$A$2:$A$201,0))),""))</f>
        <v/>
      </c>
      <c r="H609" s="24" t="str">
        <f aca="false">IF($A609="","",IFERROR(IF(INDEX(Activities!$B$2:$B$201,MATCH($A609,Activities!$A$2:$A$201,0))="","",INDEX(Activities!$B$2:$B$201,MATCH($A609,Activities!$A$2:$A$201,0))),""))</f>
        <v/>
      </c>
      <c r="I609" s="24" t="str">
        <f aca="false">IF($B609="","",IFERROR(IF(INDEX(Students!$C$2:$C$301,MATCH($B609,Students!$A$2:$A$301,0))="","",INDEX(Students!$C$2:$C$301,MATCH($B609,Students!$A$2:$A$301,0))),""))</f>
        <v/>
      </c>
      <c r="J609" s="24" t="str">
        <f aca="false">IF($B609="","",IFERROR(IF(INDEX(Students!$B$2:$B$301,MATCH($B609,Students!$A$2:$A$301,0))="","",INDEX(Students!$B$2:$B$301,MATCH($B609,Students!$A$2:$A$301,0))),""))</f>
        <v/>
      </c>
      <c r="K609" s="25" t="str">
        <f aca="false">IF($A609="","",IF(D609="Withdrawn",0,IF(E609&lt;&gt;"",N(E609),IFERROR(N(INDEX(Activities!$I$2:$I$201,MATCH($A609,Activities!$A$2:$A$201,0))),0))))</f>
        <v/>
      </c>
      <c r="L609" s="24" t="str">
        <f aca="false">IF(AND($A609="",$B609=""),"",IF(ISNA(MATCH($A609,Activities!$A$2:$A$201,0)),"Unknown activity",IF(ISNA(MATCH($B609,Students!$A$2:$A$301,0)),"Unknown student",IF(D609="","No status",IF(COUNTIFS($A$2:$A$1001,$A609,$B$2:$B$1001,$B609)&gt;1,"Duplicate",IF(AND(D609&lt;&gt;"Withdrawn",G609&lt;&gt;"",COUNTIFS($B$2:$B$1001,$B609,$G$2:$G$1001,G609,$D$2:$D$1001,"&lt;&gt;Withdrawn")&gt;1),"Same-day clash","OK"))))))</f>
        <v/>
      </c>
    </row>
    <row r="610" customFormat="false" ht="15" hidden="false" customHeight="false" outlineLevel="0" collapsed="false">
      <c r="E610" s="26"/>
      <c r="G610" s="23" t="str">
        <f aca="false">IF($A610="","",IFERROR(IF(INDEX(Activities!$C$2:$C$201,MATCH($A610,Activities!$A$2:$A$201,0))="","",INDEX(Activities!$C$2:$C$201,MATCH($A610,Activities!$A$2:$A$201,0))),""))</f>
        <v/>
      </c>
      <c r="H610" s="24" t="str">
        <f aca="false">IF($A610="","",IFERROR(IF(INDEX(Activities!$B$2:$B$201,MATCH($A610,Activities!$A$2:$A$201,0))="","",INDEX(Activities!$B$2:$B$201,MATCH($A610,Activities!$A$2:$A$201,0))),""))</f>
        <v/>
      </c>
      <c r="I610" s="24" t="str">
        <f aca="false">IF($B610="","",IFERROR(IF(INDEX(Students!$C$2:$C$301,MATCH($B610,Students!$A$2:$A$301,0))="","",INDEX(Students!$C$2:$C$301,MATCH($B610,Students!$A$2:$A$301,0))),""))</f>
        <v/>
      </c>
      <c r="J610" s="24" t="str">
        <f aca="false">IF($B610="","",IFERROR(IF(INDEX(Students!$B$2:$B$301,MATCH($B610,Students!$A$2:$A$301,0))="","",INDEX(Students!$B$2:$B$301,MATCH($B610,Students!$A$2:$A$301,0))),""))</f>
        <v/>
      </c>
      <c r="K610" s="25" t="str">
        <f aca="false">IF($A610="","",IF(D610="Withdrawn",0,IF(E610&lt;&gt;"",N(E610),IFERROR(N(INDEX(Activities!$I$2:$I$201,MATCH($A610,Activities!$A$2:$A$201,0))),0))))</f>
        <v/>
      </c>
      <c r="L610" s="24" t="str">
        <f aca="false">IF(AND($A610="",$B610=""),"",IF(ISNA(MATCH($A610,Activities!$A$2:$A$201,0)),"Unknown activity",IF(ISNA(MATCH($B610,Students!$A$2:$A$301,0)),"Unknown student",IF(D610="","No status",IF(COUNTIFS($A$2:$A$1001,$A610,$B$2:$B$1001,$B610)&gt;1,"Duplicate",IF(AND(D610&lt;&gt;"Withdrawn",G610&lt;&gt;"",COUNTIFS($B$2:$B$1001,$B610,$G$2:$G$1001,G610,$D$2:$D$1001,"&lt;&gt;Withdrawn")&gt;1),"Same-day clash","OK"))))))</f>
        <v/>
      </c>
    </row>
    <row r="611" customFormat="false" ht="15" hidden="false" customHeight="false" outlineLevel="0" collapsed="false">
      <c r="E611" s="26"/>
      <c r="G611" s="23" t="str">
        <f aca="false">IF($A611="","",IFERROR(IF(INDEX(Activities!$C$2:$C$201,MATCH($A611,Activities!$A$2:$A$201,0))="","",INDEX(Activities!$C$2:$C$201,MATCH($A611,Activities!$A$2:$A$201,0))),""))</f>
        <v/>
      </c>
      <c r="H611" s="24" t="str">
        <f aca="false">IF($A611="","",IFERROR(IF(INDEX(Activities!$B$2:$B$201,MATCH($A611,Activities!$A$2:$A$201,0))="","",INDEX(Activities!$B$2:$B$201,MATCH($A611,Activities!$A$2:$A$201,0))),""))</f>
        <v/>
      </c>
      <c r="I611" s="24" t="str">
        <f aca="false">IF($B611="","",IFERROR(IF(INDEX(Students!$C$2:$C$301,MATCH($B611,Students!$A$2:$A$301,0))="","",INDEX(Students!$C$2:$C$301,MATCH($B611,Students!$A$2:$A$301,0))),""))</f>
        <v/>
      </c>
      <c r="J611" s="24" t="str">
        <f aca="false">IF($B611="","",IFERROR(IF(INDEX(Students!$B$2:$B$301,MATCH($B611,Students!$A$2:$A$301,0))="","",INDEX(Students!$B$2:$B$301,MATCH($B611,Students!$A$2:$A$301,0))),""))</f>
        <v/>
      </c>
      <c r="K611" s="25" t="str">
        <f aca="false">IF($A611="","",IF(D611="Withdrawn",0,IF(E611&lt;&gt;"",N(E611),IFERROR(N(INDEX(Activities!$I$2:$I$201,MATCH($A611,Activities!$A$2:$A$201,0))),0))))</f>
        <v/>
      </c>
      <c r="L611" s="24" t="str">
        <f aca="false">IF(AND($A611="",$B611=""),"",IF(ISNA(MATCH($A611,Activities!$A$2:$A$201,0)),"Unknown activity",IF(ISNA(MATCH($B611,Students!$A$2:$A$301,0)),"Unknown student",IF(D611="","No status",IF(COUNTIFS($A$2:$A$1001,$A611,$B$2:$B$1001,$B611)&gt;1,"Duplicate",IF(AND(D611&lt;&gt;"Withdrawn",G611&lt;&gt;"",COUNTIFS($B$2:$B$1001,$B611,$G$2:$G$1001,G611,$D$2:$D$1001,"&lt;&gt;Withdrawn")&gt;1),"Same-day clash","OK"))))))</f>
        <v/>
      </c>
    </row>
    <row r="612" customFormat="false" ht="15" hidden="false" customHeight="false" outlineLevel="0" collapsed="false">
      <c r="E612" s="26"/>
      <c r="G612" s="23" t="str">
        <f aca="false">IF($A612="","",IFERROR(IF(INDEX(Activities!$C$2:$C$201,MATCH($A612,Activities!$A$2:$A$201,0))="","",INDEX(Activities!$C$2:$C$201,MATCH($A612,Activities!$A$2:$A$201,0))),""))</f>
        <v/>
      </c>
      <c r="H612" s="24" t="str">
        <f aca="false">IF($A612="","",IFERROR(IF(INDEX(Activities!$B$2:$B$201,MATCH($A612,Activities!$A$2:$A$201,0))="","",INDEX(Activities!$B$2:$B$201,MATCH($A612,Activities!$A$2:$A$201,0))),""))</f>
        <v/>
      </c>
      <c r="I612" s="24" t="str">
        <f aca="false">IF($B612="","",IFERROR(IF(INDEX(Students!$C$2:$C$301,MATCH($B612,Students!$A$2:$A$301,0))="","",INDEX(Students!$C$2:$C$301,MATCH($B612,Students!$A$2:$A$301,0))),""))</f>
        <v/>
      </c>
      <c r="J612" s="24" t="str">
        <f aca="false">IF($B612="","",IFERROR(IF(INDEX(Students!$B$2:$B$301,MATCH($B612,Students!$A$2:$A$301,0))="","",INDEX(Students!$B$2:$B$301,MATCH($B612,Students!$A$2:$A$301,0))),""))</f>
        <v/>
      </c>
      <c r="K612" s="25" t="str">
        <f aca="false">IF($A612="","",IF(D612="Withdrawn",0,IF(E612&lt;&gt;"",N(E612),IFERROR(N(INDEX(Activities!$I$2:$I$201,MATCH($A612,Activities!$A$2:$A$201,0))),0))))</f>
        <v/>
      </c>
      <c r="L612" s="24" t="str">
        <f aca="false">IF(AND($A612="",$B612=""),"",IF(ISNA(MATCH($A612,Activities!$A$2:$A$201,0)),"Unknown activity",IF(ISNA(MATCH($B612,Students!$A$2:$A$301,0)),"Unknown student",IF(D612="","No status",IF(COUNTIFS($A$2:$A$1001,$A612,$B$2:$B$1001,$B612)&gt;1,"Duplicate",IF(AND(D612&lt;&gt;"Withdrawn",G612&lt;&gt;"",COUNTIFS($B$2:$B$1001,$B612,$G$2:$G$1001,G612,$D$2:$D$1001,"&lt;&gt;Withdrawn")&gt;1),"Same-day clash","OK"))))))</f>
        <v/>
      </c>
    </row>
    <row r="613" customFormat="false" ht="15" hidden="false" customHeight="false" outlineLevel="0" collapsed="false">
      <c r="E613" s="26"/>
      <c r="G613" s="23" t="str">
        <f aca="false">IF($A613="","",IFERROR(IF(INDEX(Activities!$C$2:$C$201,MATCH($A613,Activities!$A$2:$A$201,0))="","",INDEX(Activities!$C$2:$C$201,MATCH($A613,Activities!$A$2:$A$201,0))),""))</f>
        <v/>
      </c>
      <c r="H613" s="24" t="str">
        <f aca="false">IF($A613="","",IFERROR(IF(INDEX(Activities!$B$2:$B$201,MATCH($A613,Activities!$A$2:$A$201,0))="","",INDEX(Activities!$B$2:$B$201,MATCH($A613,Activities!$A$2:$A$201,0))),""))</f>
        <v/>
      </c>
      <c r="I613" s="24" t="str">
        <f aca="false">IF($B613="","",IFERROR(IF(INDEX(Students!$C$2:$C$301,MATCH($B613,Students!$A$2:$A$301,0))="","",INDEX(Students!$C$2:$C$301,MATCH($B613,Students!$A$2:$A$301,0))),""))</f>
        <v/>
      </c>
      <c r="J613" s="24" t="str">
        <f aca="false">IF($B613="","",IFERROR(IF(INDEX(Students!$B$2:$B$301,MATCH($B613,Students!$A$2:$A$301,0))="","",INDEX(Students!$B$2:$B$301,MATCH($B613,Students!$A$2:$A$301,0))),""))</f>
        <v/>
      </c>
      <c r="K613" s="25" t="str">
        <f aca="false">IF($A613="","",IF(D613="Withdrawn",0,IF(E613&lt;&gt;"",N(E613),IFERROR(N(INDEX(Activities!$I$2:$I$201,MATCH($A613,Activities!$A$2:$A$201,0))),0))))</f>
        <v/>
      </c>
      <c r="L613" s="24" t="str">
        <f aca="false">IF(AND($A613="",$B613=""),"",IF(ISNA(MATCH($A613,Activities!$A$2:$A$201,0)),"Unknown activity",IF(ISNA(MATCH($B613,Students!$A$2:$A$301,0)),"Unknown student",IF(D613="","No status",IF(COUNTIFS($A$2:$A$1001,$A613,$B$2:$B$1001,$B613)&gt;1,"Duplicate",IF(AND(D613&lt;&gt;"Withdrawn",G613&lt;&gt;"",COUNTIFS($B$2:$B$1001,$B613,$G$2:$G$1001,G613,$D$2:$D$1001,"&lt;&gt;Withdrawn")&gt;1),"Same-day clash","OK"))))))</f>
        <v/>
      </c>
    </row>
    <row r="614" customFormat="false" ht="15" hidden="false" customHeight="false" outlineLevel="0" collapsed="false">
      <c r="E614" s="26"/>
      <c r="G614" s="23" t="str">
        <f aca="false">IF($A614="","",IFERROR(IF(INDEX(Activities!$C$2:$C$201,MATCH($A614,Activities!$A$2:$A$201,0))="","",INDEX(Activities!$C$2:$C$201,MATCH($A614,Activities!$A$2:$A$201,0))),""))</f>
        <v/>
      </c>
      <c r="H614" s="24" t="str">
        <f aca="false">IF($A614="","",IFERROR(IF(INDEX(Activities!$B$2:$B$201,MATCH($A614,Activities!$A$2:$A$201,0))="","",INDEX(Activities!$B$2:$B$201,MATCH($A614,Activities!$A$2:$A$201,0))),""))</f>
        <v/>
      </c>
      <c r="I614" s="24" t="str">
        <f aca="false">IF($B614="","",IFERROR(IF(INDEX(Students!$C$2:$C$301,MATCH($B614,Students!$A$2:$A$301,0))="","",INDEX(Students!$C$2:$C$301,MATCH($B614,Students!$A$2:$A$301,0))),""))</f>
        <v/>
      </c>
      <c r="J614" s="24" t="str">
        <f aca="false">IF($B614="","",IFERROR(IF(INDEX(Students!$B$2:$B$301,MATCH($B614,Students!$A$2:$A$301,0))="","",INDEX(Students!$B$2:$B$301,MATCH($B614,Students!$A$2:$A$301,0))),""))</f>
        <v/>
      </c>
      <c r="K614" s="25" t="str">
        <f aca="false">IF($A614="","",IF(D614="Withdrawn",0,IF(E614&lt;&gt;"",N(E614),IFERROR(N(INDEX(Activities!$I$2:$I$201,MATCH($A614,Activities!$A$2:$A$201,0))),0))))</f>
        <v/>
      </c>
      <c r="L614" s="24" t="str">
        <f aca="false">IF(AND($A614="",$B614=""),"",IF(ISNA(MATCH($A614,Activities!$A$2:$A$201,0)),"Unknown activity",IF(ISNA(MATCH($B614,Students!$A$2:$A$301,0)),"Unknown student",IF(D614="","No status",IF(COUNTIFS($A$2:$A$1001,$A614,$B$2:$B$1001,$B614)&gt;1,"Duplicate",IF(AND(D614&lt;&gt;"Withdrawn",G614&lt;&gt;"",COUNTIFS($B$2:$B$1001,$B614,$G$2:$G$1001,G614,$D$2:$D$1001,"&lt;&gt;Withdrawn")&gt;1),"Same-day clash","OK"))))))</f>
        <v/>
      </c>
    </row>
    <row r="615" customFormat="false" ht="15" hidden="false" customHeight="false" outlineLevel="0" collapsed="false">
      <c r="E615" s="26"/>
      <c r="G615" s="23" t="str">
        <f aca="false">IF($A615="","",IFERROR(IF(INDEX(Activities!$C$2:$C$201,MATCH($A615,Activities!$A$2:$A$201,0))="","",INDEX(Activities!$C$2:$C$201,MATCH($A615,Activities!$A$2:$A$201,0))),""))</f>
        <v/>
      </c>
      <c r="H615" s="24" t="str">
        <f aca="false">IF($A615="","",IFERROR(IF(INDEX(Activities!$B$2:$B$201,MATCH($A615,Activities!$A$2:$A$201,0))="","",INDEX(Activities!$B$2:$B$201,MATCH($A615,Activities!$A$2:$A$201,0))),""))</f>
        <v/>
      </c>
      <c r="I615" s="24" t="str">
        <f aca="false">IF($B615="","",IFERROR(IF(INDEX(Students!$C$2:$C$301,MATCH($B615,Students!$A$2:$A$301,0))="","",INDEX(Students!$C$2:$C$301,MATCH($B615,Students!$A$2:$A$301,0))),""))</f>
        <v/>
      </c>
      <c r="J615" s="24" t="str">
        <f aca="false">IF($B615="","",IFERROR(IF(INDEX(Students!$B$2:$B$301,MATCH($B615,Students!$A$2:$A$301,0))="","",INDEX(Students!$B$2:$B$301,MATCH($B615,Students!$A$2:$A$301,0))),""))</f>
        <v/>
      </c>
      <c r="K615" s="25" t="str">
        <f aca="false">IF($A615="","",IF(D615="Withdrawn",0,IF(E615&lt;&gt;"",N(E615),IFERROR(N(INDEX(Activities!$I$2:$I$201,MATCH($A615,Activities!$A$2:$A$201,0))),0))))</f>
        <v/>
      </c>
      <c r="L615" s="24" t="str">
        <f aca="false">IF(AND($A615="",$B615=""),"",IF(ISNA(MATCH($A615,Activities!$A$2:$A$201,0)),"Unknown activity",IF(ISNA(MATCH($B615,Students!$A$2:$A$301,0)),"Unknown student",IF(D615="","No status",IF(COUNTIFS($A$2:$A$1001,$A615,$B$2:$B$1001,$B615)&gt;1,"Duplicate",IF(AND(D615&lt;&gt;"Withdrawn",G615&lt;&gt;"",COUNTIFS($B$2:$B$1001,$B615,$G$2:$G$1001,G615,$D$2:$D$1001,"&lt;&gt;Withdrawn")&gt;1),"Same-day clash","OK"))))))</f>
        <v/>
      </c>
    </row>
    <row r="616" customFormat="false" ht="15" hidden="false" customHeight="false" outlineLevel="0" collapsed="false">
      <c r="E616" s="26"/>
      <c r="G616" s="23" t="str">
        <f aca="false">IF($A616="","",IFERROR(IF(INDEX(Activities!$C$2:$C$201,MATCH($A616,Activities!$A$2:$A$201,0))="","",INDEX(Activities!$C$2:$C$201,MATCH($A616,Activities!$A$2:$A$201,0))),""))</f>
        <v/>
      </c>
      <c r="H616" s="24" t="str">
        <f aca="false">IF($A616="","",IFERROR(IF(INDEX(Activities!$B$2:$B$201,MATCH($A616,Activities!$A$2:$A$201,0))="","",INDEX(Activities!$B$2:$B$201,MATCH($A616,Activities!$A$2:$A$201,0))),""))</f>
        <v/>
      </c>
      <c r="I616" s="24" t="str">
        <f aca="false">IF($B616="","",IFERROR(IF(INDEX(Students!$C$2:$C$301,MATCH($B616,Students!$A$2:$A$301,0))="","",INDEX(Students!$C$2:$C$301,MATCH($B616,Students!$A$2:$A$301,0))),""))</f>
        <v/>
      </c>
      <c r="J616" s="24" t="str">
        <f aca="false">IF($B616="","",IFERROR(IF(INDEX(Students!$B$2:$B$301,MATCH($B616,Students!$A$2:$A$301,0))="","",INDEX(Students!$B$2:$B$301,MATCH($B616,Students!$A$2:$A$301,0))),""))</f>
        <v/>
      </c>
      <c r="K616" s="25" t="str">
        <f aca="false">IF($A616="","",IF(D616="Withdrawn",0,IF(E616&lt;&gt;"",N(E616),IFERROR(N(INDEX(Activities!$I$2:$I$201,MATCH($A616,Activities!$A$2:$A$201,0))),0))))</f>
        <v/>
      </c>
      <c r="L616" s="24" t="str">
        <f aca="false">IF(AND($A616="",$B616=""),"",IF(ISNA(MATCH($A616,Activities!$A$2:$A$201,0)),"Unknown activity",IF(ISNA(MATCH($B616,Students!$A$2:$A$301,0)),"Unknown student",IF(D616="","No status",IF(COUNTIFS($A$2:$A$1001,$A616,$B$2:$B$1001,$B616)&gt;1,"Duplicate",IF(AND(D616&lt;&gt;"Withdrawn",G616&lt;&gt;"",COUNTIFS($B$2:$B$1001,$B616,$G$2:$G$1001,G616,$D$2:$D$1001,"&lt;&gt;Withdrawn")&gt;1),"Same-day clash","OK"))))))</f>
        <v/>
      </c>
    </row>
    <row r="617" customFormat="false" ht="15" hidden="false" customHeight="false" outlineLevel="0" collapsed="false">
      <c r="E617" s="26"/>
      <c r="G617" s="23" t="str">
        <f aca="false">IF($A617="","",IFERROR(IF(INDEX(Activities!$C$2:$C$201,MATCH($A617,Activities!$A$2:$A$201,0))="","",INDEX(Activities!$C$2:$C$201,MATCH($A617,Activities!$A$2:$A$201,0))),""))</f>
        <v/>
      </c>
      <c r="H617" s="24" t="str">
        <f aca="false">IF($A617="","",IFERROR(IF(INDEX(Activities!$B$2:$B$201,MATCH($A617,Activities!$A$2:$A$201,0))="","",INDEX(Activities!$B$2:$B$201,MATCH($A617,Activities!$A$2:$A$201,0))),""))</f>
        <v/>
      </c>
      <c r="I617" s="24" t="str">
        <f aca="false">IF($B617="","",IFERROR(IF(INDEX(Students!$C$2:$C$301,MATCH($B617,Students!$A$2:$A$301,0))="","",INDEX(Students!$C$2:$C$301,MATCH($B617,Students!$A$2:$A$301,0))),""))</f>
        <v/>
      </c>
      <c r="J617" s="24" t="str">
        <f aca="false">IF($B617="","",IFERROR(IF(INDEX(Students!$B$2:$B$301,MATCH($B617,Students!$A$2:$A$301,0))="","",INDEX(Students!$B$2:$B$301,MATCH($B617,Students!$A$2:$A$301,0))),""))</f>
        <v/>
      </c>
      <c r="K617" s="25" t="str">
        <f aca="false">IF($A617="","",IF(D617="Withdrawn",0,IF(E617&lt;&gt;"",N(E617),IFERROR(N(INDEX(Activities!$I$2:$I$201,MATCH($A617,Activities!$A$2:$A$201,0))),0))))</f>
        <v/>
      </c>
      <c r="L617" s="24" t="str">
        <f aca="false">IF(AND($A617="",$B617=""),"",IF(ISNA(MATCH($A617,Activities!$A$2:$A$201,0)),"Unknown activity",IF(ISNA(MATCH($B617,Students!$A$2:$A$301,0)),"Unknown student",IF(D617="","No status",IF(COUNTIFS($A$2:$A$1001,$A617,$B$2:$B$1001,$B617)&gt;1,"Duplicate",IF(AND(D617&lt;&gt;"Withdrawn",G617&lt;&gt;"",COUNTIFS($B$2:$B$1001,$B617,$G$2:$G$1001,G617,$D$2:$D$1001,"&lt;&gt;Withdrawn")&gt;1),"Same-day clash","OK"))))))</f>
        <v/>
      </c>
    </row>
    <row r="618" customFormat="false" ht="15" hidden="false" customHeight="false" outlineLevel="0" collapsed="false">
      <c r="E618" s="26"/>
      <c r="G618" s="23" t="str">
        <f aca="false">IF($A618="","",IFERROR(IF(INDEX(Activities!$C$2:$C$201,MATCH($A618,Activities!$A$2:$A$201,0))="","",INDEX(Activities!$C$2:$C$201,MATCH($A618,Activities!$A$2:$A$201,0))),""))</f>
        <v/>
      </c>
      <c r="H618" s="24" t="str">
        <f aca="false">IF($A618="","",IFERROR(IF(INDEX(Activities!$B$2:$B$201,MATCH($A618,Activities!$A$2:$A$201,0))="","",INDEX(Activities!$B$2:$B$201,MATCH($A618,Activities!$A$2:$A$201,0))),""))</f>
        <v/>
      </c>
      <c r="I618" s="24" t="str">
        <f aca="false">IF($B618="","",IFERROR(IF(INDEX(Students!$C$2:$C$301,MATCH($B618,Students!$A$2:$A$301,0))="","",INDEX(Students!$C$2:$C$301,MATCH($B618,Students!$A$2:$A$301,0))),""))</f>
        <v/>
      </c>
      <c r="J618" s="24" t="str">
        <f aca="false">IF($B618="","",IFERROR(IF(INDEX(Students!$B$2:$B$301,MATCH($B618,Students!$A$2:$A$301,0))="","",INDEX(Students!$B$2:$B$301,MATCH($B618,Students!$A$2:$A$301,0))),""))</f>
        <v/>
      </c>
      <c r="K618" s="25" t="str">
        <f aca="false">IF($A618="","",IF(D618="Withdrawn",0,IF(E618&lt;&gt;"",N(E618),IFERROR(N(INDEX(Activities!$I$2:$I$201,MATCH($A618,Activities!$A$2:$A$201,0))),0))))</f>
        <v/>
      </c>
      <c r="L618" s="24" t="str">
        <f aca="false">IF(AND($A618="",$B618=""),"",IF(ISNA(MATCH($A618,Activities!$A$2:$A$201,0)),"Unknown activity",IF(ISNA(MATCH($B618,Students!$A$2:$A$301,0)),"Unknown student",IF(D618="","No status",IF(COUNTIFS($A$2:$A$1001,$A618,$B$2:$B$1001,$B618)&gt;1,"Duplicate",IF(AND(D618&lt;&gt;"Withdrawn",G618&lt;&gt;"",COUNTIFS($B$2:$B$1001,$B618,$G$2:$G$1001,G618,$D$2:$D$1001,"&lt;&gt;Withdrawn")&gt;1),"Same-day clash","OK"))))))</f>
        <v/>
      </c>
    </row>
    <row r="619" customFormat="false" ht="15" hidden="false" customHeight="false" outlineLevel="0" collapsed="false">
      <c r="E619" s="26"/>
      <c r="G619" s="23" t="str">
        <f aca="false">IF($A619="","",IFERROR(IF(INDEX(Activities!$C$2:$C$201,MATCH($A619,Activities!$A$2:$A$201,0))="","",INDEX(Activities!$C$2:$C$201,MATCH($A619,Activities!$A$2:$A$201,0))),""))</f>
        <v/>
      </c>
      <c r="H619" s="24" t="str">
        <f aca="false">IF($A619="","",IFERROR(IF(INDEX(Activities!$B$2:$B$201,MATCH($A619,Activities!$A$2:$A$201,0))="","",INDEX(Activities!$B$2:$B$201,MATCH($A619,Activities!$A$2:$A$201,0))),""))</f>
        <v/>
      </c>
      <c r="I619" s="24" t="str">
        <f aca="false">IF($B619="","",IFERROR(IF(INDEX(Students!$C$2:$C$301,MATCH($B619,Students!$A$2:$A$301,0))="","",INDEX(Students!$C$2:$C$301,MATCH($B619,Students!$A$2:$A$301,0))),""))</f>
        <v/>
      </c>
      <c r="J619" s="24" t="str">
        <f aca="false">IF($B619="","",IFERROR(IF(INDEX(Students!$B$2:$B$301,MATCH($B619,Students!$A$2:$A$301,0))="","",INDEX(Students!$B$2:$B$301,MATCH($B619,Students!$A$2:$A$301,0))),""))</f>
        <v/>
      </c>
      <c r="K619" s="25" t="str">
        <f aca="false">IF($A619="","",IF(D619="Withdrawn",0,IF(E619&lt;&gt;"",N(E619),IFERROR(N(INDEX(Activities!$I$2:$I$201,MATCH($A619,Activities!$A$2:$A$201,0))),0))))</f>
        <v/>
      </c>
      <c r="L619" s="24" t="str">
        <f aca="false">IF(AND($A619="",$B619=""),"",IF(ISNA(MATCH($A619,Activities!$A$2:$A$201,0)),"Unknown activity",IF(ISNA(MATCH($B619,Students!$A$2:$A$301,0)),"Unknown student",IF(D619="","No status",IF(COUNTIFS($A$2:$A$1001,$A619,$B$2:$B$1001,$B619)&gt;1,"Duplicate",IF(AND(D619&lt;&gt;"Withdrawn",G619&lt;&gt;"",COUNTIFS($B$2:$B$1001,$B619,$G$2:$G$1001,G619,$D$2:$D$1001,"&lt;&gt;Withdrawn")&gt;1),"Same-day clash","OK"))))))</f>
        <v/>
      </c>
    </row>
    <row r="620" customFormat="false" ht="15" hidden="false" customHeight="false" outlineLevel="0" collapsed="false">
      <c r="E620" s="26"/>
      <c r="G620" s="23" t="str">
        <f aca="false">IF($A620="","",IFERROR(IF(INDEX(Activities!$C$2:$C$201,MATCH($A620,Activities!$A$2:$A$201,0))="","",INDEX(Activities!$C$2:$C$201,MATCH($A620,Activities!$A$2:$A$201,0))),""))</f>
        <v/>
      </c>
      <c r="H620" s="24" t="str">
        <f aca="false">IF($A620="","",IFERROR(IF(INDEX(Activities!$B$2:$B$201,MATCH($A620,Activities!$A$2:$A$201,0))="","",INDEX(Activities!$B$2:$B$201,MATCH($A620,Activities!$A$2:$A$201,0))),""))</f>
        <v/>
      </c>
      <c r="I620" s="24" t="str">
        <f aca="false">IF($B620="","",IFERROR(IF(INDEX(Students!$C$2:$C$301,MATCH($B620,Students!$A$2:$A$301,0))="","",INDEX(Students!$C$2:$C$301,MATCH($B620,Students!$A$2:$A$301,0))),""))</f>
        <v/>
      </c>
      <c r="J620" s="24" t="str">
        <f aca="false">IF($B620="","",IFERROR(IF(INDEX(Students!$B$2:$B$301,MATCH($B620,Students!$A$2:$A$301,0))="","",INDEX(Students!$B$2:$B$301,MATCH($B620,Students!$A$2:$A$301,0))),""))</f>
        <v/>
      </c>
      <c r="K620" s="25" t="str">
        <f aca="false">IF($A620="","",IF(D620="Withdrawn",0,IF(E620&lt;&gt;"",N(E620),IFERROR(N(INDEX(Activities!$I$2:$I$201,MATCH($A620,Activities!$A$2:$A$201,0))),0))))</f>
        <v/>
      </c>
      <c r="L620" s="24" t="str">
        <f aca="false">IF(AND($A620="",$B620=""),"",IF(ISNA(MATCH($A620,Activities!$A$2:$A$201,0)),"Unknown activity",IF(ISNA(MATCH($B620,Students!$A$2:$A$301,0)),"Unknown student",IF(D620="","No status",IF(COUNTIFS($A$2:$A$1001,$A620,$B$2:$B$1001,$B620)&gt;1,"Duplicate",IF(AND(D620&lt;&gt;"Withdrawn",G620&lt;&gt;"",COUNTIFS($B$2:$B$1001,$B620,$G$2:$G$1001,G620,$D$2:$D$1001,"&lt;&gt;Withdrawn")&gt;1),"Same-day clash","OK"))))))</f>
        <v/>
      </c>
    </row>
    <row r="621" customFormat="false" ht="15" hidden="false" customHeight="false" outlineLevel="0" collapsed="false">
      <c r="E621" s="26"/>
      <c r="G621" s="23" t="str">
        <f aca="false">IF($A621="","",IFERROR(IF(INDEX(Activities!$C$2:$C$201,MATCH($A621,Activities!$A$2:$A$201,0))="","",INDEX(Activities!$C$2:$C$201,MATCH($A621,Activities!$A$2:$A$201,0))),""))</f>
        <v/>
      </c>
      <c r="H621" s="24" t="str">
        <f aca="false">IF($A621="","",IFERROR(IF(INDEX(Activities!$B$2:$B$201,MATCH($A621,Activities!$A$2:$A$201,0))="","",INDEX(Activities!$B$2:$B$201,MATCH($A621,Activities!$A$2:$A$201,0))),""))</f>
        <v/>
      </c>
      <c r="I621" s="24" t="str">
        <f aca="false">IF($B621="","",IFERROR(IF(INDEX(Students!$C$2:$C$301,MATCH($B621,Students!$A$2:$A$301,0))="","",INDEX(Students!$C$2:$C$301,MATCH($B621,Students!$A$2:$A$301,0))),""))</f>
        <v/>
      </c>
      <c r="J621" s="24" t="str">
        <f aca="false">IF($B621="","",IFERROR(IF(INDEX(Students!$B$2:$B$301,MATCH($B621,Students!$A$2:$A$301,0))="","",INDEX(Students!$B$2:$B$301,MATCH($B621,Students!$A$2:$A$301,0))),""))</f>
        <v/>
      </c>
      <c r="K621" s="25" t="str">
        <f aca="false">IF($A621="","",IF(D621="Withdrawn",0,IF(E621&lt;&gt;"",N(E621),IFERROR(N(INDEX(Activities!$I$2:$I$201,MATCH($A621,Activities!$A$2:$A$201,0))),0))))</f>
        <v/>
      </c>
      <c r="L621" s="24" t="str">
        <f aca="false">IF(AND($A621="",$B621=""),"",IF(ISNA(MATCH($A621,Activities!$A$2:$A$201,0)),"Unknown activity",IF(ISNA(MATCH($B621,Students!$A$2:$A$301,0)),"Unknown student",IF(D621="","No status",IF(COUNTIFS($A$2:$A$1001,$A621,$B$2:$B$1001,$B621)&gt;1,"Duplicate",IF(AND(D621&lt;&gt;"Withdrawn",G621&lt;&gt;"",COUNTIFS($B$2:$B$1001,$B621,$G$2:$G$1001,G621,$D$2:$D$1001,"&lt;&gt;Withdrawn")&gt;1),"Same-day clash","OK"))))))</f>
        <v/>
      </c>
    </row>
    <row r="622" customFormat="false" ht="15" hidden="false" customHeight="false" outlineLevel="0" collapsed="false">
      <c r="E622" s="26"/>
      <c r="G622" s="23" t="str">
        <f aca="false">IF($A622="","",IFERROR(IF(INDEX(Activities!$C$2:$C$201,MATCH($A622,Activities!$A$2:$A$201,0))="","",INDEX(Activities!$C$2:$C$201,MATCH($A622,Activities!$A$2:$A$201,0))),""))</f>
        <v/>
      </c>
      <c r="H622" s="24" t="str">
        <f aca="false">IF($A622="","",IFERROR(IF(INDEX(Activities!$B$2:$B$201,MATCH($A622,Activities!$A$2:$A$201,0))="","",INDEX(Activities!$B$2:$B$201,MATCH($A622,Activities!$A$2:$A$201,0))),""))</f>
        <v/>
      </c>
      <c r="I622" s="24" t="str">
        <f aca="false">IF($B622="","",IFERROR(IF(INDEX(Students!$C$2:$C$301,MATCH($B622,Students!$A$2:$A$301,0))="","",INDEX(Students!$C$2:$C$301,MATCH($B622,Students!$A$2:$A$301,0))),""))</f>
        <v/>
      </c>
      <c r="J622" s="24" t="str">
        <f aca="false">IF($B622="","",IFERROR(IF(INDEX(Students!$B$2:$B$301,MATCH($B622,Students!$A$2:$A$301,0))="","",INDEX(Students!$B$2:$B$301,MATCH($B622,Students!$A$2:$A$301,0))),""))</f>
        <v/>
      </c>
      <c r="K622" s="25" t="str">
        <f aca="false">IF($A622="","",IF(D622="Withdrawn",0,IF(E622&lt;&gt;"",N(E622),IFERROR(N(INDEX(Activities!$I$2:$I$201,MATCH($A622,Activities!$A$2:$A$201,0))),0))))</f>
        <v/>
      </c>
      <c r="L622" s="24" t="str">
        <f aca="false">IF(AND($A622="",$B622=""),"",IF(ISNA(MATCH($A622,Activities!$A$2:$A$201,0)),"Unknown activity",IF(ISNA(MATCH($B622,Students!$A$2:$A$301,0)),"Unknown student",IF(D622="","No status",IF(COUNTIFS($A$2:$A$1001,$A622,$B$2:$B$1001,$B622)&gt;1,"Duplicate",IF(AND(D622&lt;&gt;"Withdrawn",G622&lt;&gt;"",COUNTIFS($B$2:$B$1001,$B622,$G$2:$G$1001,G622,$D$2:$D$1001,"&lt;&gt;Withdrawn")&gt;1),"Same-day clash","OK"))))))</f>
        <v/>
      </c>
    </row>
    <row r="623" customFormat="false" ht="15" hidden="false" customHeight="false" outlineLevel="0" collapsed="false">
      <c r="E623" s="26"/>
      <c r="G623" s="23" t="str">
        <f aca="false">IF($A623="","",IFERROR(IF(INDEX(Activities!$C$2:$C$201,MATCH($A623,Activities!$A$2:$A$201,0))="","",INDEX(Activities!$C$2:$C$201,MATCH($A623,Activities!$A$2:$A$201,0))),""))</f>
        <v/>
      </c>
      <c r="H623" s="24" t="str">
        <f aca="false">IF($A623="","",IFERROR(IF(INDEX(Activities!$B$2:$B$201,MATCH($A623,Activities!$A$2:$A$201,0))="","",INDEX(Activities!$B$2:$B$201,MATCH($A623,Activities!$A$2:$A$201,0))),""))</f>
        <v/>
      </c>
      <c r="I623" s="24" t="str">
        <f aca="false">IF($B623="","",IFERROR(IF(INDEX(Students!$C$2:$C$301,MATCH($B623,Students!$A$2:$A$301,0))="","",INDEX(Students!$C$2:$C$301,MATCH($B623,Students!$A$2:$A$301,0))),""))</f>
        <v/>
      </c>
      <c r="J623" s="24" t="str">
        <f aca="false">IF($B623="","",IFERROR(IF(INDEX(Students!$B$2:$B$301,MATCH($B623,Students!$A$2:$A$301,0))="","",INDEX(Students!$B$2:$B$301,MATCH($B623,Students!$A$2:$A$301,0))),""))</f>
        <v/>
      </c>
      <c r="K623" s="25" t="str">
        <f aca="false">IF($A623="","",IF(D623="Withdrawn",0,IF(E623&lt;&gt;"",N(E623),IFERROR(N(INDEX(Activities!$I$2:$I$201,MATCH($A623,Activities!$A$2:$A$201,0))),0))))</f>
        <v/>
      </c>
      <c r="L623" s="24" t="str">
        <f aca="false">IF(AND($A623="",$B623=""),"",IF(ISNA(MATCH($A623,Activities!$A$2:$A$201,0)),"Unknown activity",IF(ISNA(MATCH($B623,Students!$A$2:$A$301,0)),"Unknown student",IF(D623="","No status",IF(COUNTIFS($A$2:$A$1001,$A623,$B$2:$B$1001,$B623)&gt;1,"Duplicate",IF(AND(D623&lt;&gt;"Withdrawn",G623&lt;&gt;"",COUNTIFS($B$2:$B$1001,$B623,$G$2:$G$1001,G623,$D$2:$D$1001,"&lt;&gt;Withdrawn")&gt;1),"Same-day clash","OK"))))))</f>
        <v/>
      </c>
    </row>
    <row r="624" customFormat="false" ht="15" hidden="false" customHeight="false" outlineLevel="0" collapsed="false">
      <c r="E624" s="26"/>
      <c r="G624" s="23" t="str">
        <f aca="false">IF($A624="","",IFERROR(IF(INDEX(Activities!$C$2:$C$201,MATCH($A624,Activities!$A$2:$A$201,0))="","",INDEX(Activities!$C$2:$C$201,MATCH($A624,Activities!$A$2:$A$201,0))),""))</f>
        <v/>
      </c>
      <c r="H624" s="24" t="str">
        <f aca="false">IF($A624="","",IFERROR(IF(INDEX(Activities!$B$2:$B$201,MATCH($A624,Activities!$A$2:$A$201,0))="","",INDEX(Activities!$B$2:$B$201,MATCH($A624,Activities!$A$2:$A$201,0))),""))</f>
        <v/>
      </c>
      <c r="I624" s="24" t="str">
        <f aca="false">IF($B624="","",IFERROR(IF(INDEX(Students!$C$2:$C$301,MATCH($B624,Students!$A$2:$A$301,0))="","",INDEX(Students!$C$2:$C$301,MATCH($B624,Students!$A$2:$A$301,0))),""))</f>
        <v/>
      </c>
      <c r="J624" s="24" t="str">
        <f aca="false">IF($B624="","",IFERROR(IF(INDEX(Students!$B$2:$B$301,MATCH($B624,Students!$A$2:$A$301,0))="","",INDEX(Students!$B$2:$B$301,MATCH($B624,Students!$A$2:$A$301,0))),""))</f>
        <v/>
      </c>
      <c r="K624" s="25" t="str">
        <f aca="false">IF($A624="","",IF(D624="Withdrawn",0,IF(E624&lt;&gt;"",N(E624),IFERROR(N(INDEX(Activities!$I$2:$I$201,MATCH($A624,Activities!$A$2:$A$201,0))),0))))</f>
        <v/>
      </c>
      <c r="L624" s="24" t="str">
        <f aca="false">IF(AND($A624="",$B624=""),"",IF(ISNA(MATCH($A624,Activities!$A$2:$A$201,0)),"Unknown activity",IF(ISNA(MATCH($B624,Students!$A$2:$A$301,0)),"Unknown student",IF(D624="","No status",IF(COUNTIFS($A$2:$A$1001,$A624,$B$2:$B$1001,$B624)&gt;1,"Duplicate",IF(AND(D624&lt;&gt;"Withdrawn",G624&lt;&gt;"",COUNTIFS($B$2:$B$1001,$B624,$G$2:$G$1001,G624,$D$2:$D$1001,"&lt;&gt;Withdrawn")&gt;1),"Same-day clash","OK"))))))</f>
        <v/>
      </c>
    </row>
    <row r="625" customFormat="false" ht="15" hidden="false" customHeight="false" outlineLevel="0" collapsed="false">
      <c r="E625" s="26"/>
      <c r="G625" s="23" t="str">
        <f aca="false">IF($A625="","",IFERROR(IF(INDEX(Activities!$C$2:$C$201,MATCH($A625,Activities!$A$2:$A$201,0))="","",INDEX(Activities!$C$2:$C$201,MATCH($A625,Activities!$A$2:$A$201,0))),""))</f>
        <v/>
      </c>
      <c r="H625" s="24" t="str">
        <f aca="false">IF($A625="","",IFERROR(IF(INDEX(Activities!$B$2:$B$201,MATCH($A625,Activities!$A$2:$A$201,0))="","",INDEX(Activities!$B$2:$B$201,MATCH($A625,Activities!$A$2:$A$201,0))),""))</f>
        <v/>
      </c>
      <c r="I625" s="24" t="str">
        <f aca="false">IF($B625="","",IFERROR(IF(INDEX(Students!$C$2:$C$301,MATCH($B625,Students!$A$2:$A$301,0))="","",INDEX(Students!$C$2:$C$301,MATCH($B625,Students!$A$2:$A$301,0))),""))</f>
        <v/>
      </c>
      <c r="J625" s="24" t="str">
        <f aca="false">IF($B625="","",IFERROR(IF(INDEX(Students!$B$2:$B$301,MATCH($B625,Students!$A$2:$A$301,0))="","",INDEX(Students!$B$2:$B$301,MATCH($B625,Students!$A$2:$A$301,0))),""))</f>
        <v/>
      </c>
      <c r="K625" s="25" t="str">
        <f aca="false">IF($A625="","",IF(D625="Withdrawn",0,IF(E625&lt;&gt;"",N(E625),IFERROR(N(INDEX(Activities!$I$2:$I$201,MATCH($A625,Activities!$A$2:$A$201,0))),0))))</f>
        <v/>
      </c>
      <c r="L625" s="24" t="str">
        <f aca="false">IF(AND($A625="",$B625=""),"",IF(ISNA(MATCH($A625,Activities!$A$2:$A$201,0)),"Unknown activity",IF(ISNA(MATCH($B625,Students!$A$2:$A$301,0)),"Unknown student",IF(D625="","No status",IF(COUNTIFS($A$2:$A$1001,$A625,$B$2:$B$1001,$B625)&gt;1,"Duplicate",IF(AND(D625&lt;&gt;"Withdrawn",G625&lt;&gt;"",COUNTIFS($B$2:$B$1001,$B625,$G$2:$G$1001,G625,$D$2:$D$1001,"&lt;&gt;Withdrawn")&gt;1),"Same-day clash","OK"))))))</f>
        <v/>
      </c>
    </row>
    <row r="626" customFormat="false" ht="15" hidden="false" customHeight="false" outlineLevel="0" collapsed="false">
      <c r="E626" s="26"/>
      <c r="G626" s="23" t="str">
        <f aca="false">IF($A626="","",IFERROR(IF(INDEX(Activities!$C$2:$C$201,MATCH($A626,Activities!$A$2:$A$201,0))="","",INDEX(Activities!$C$2:$C$201,MATCH($A626,Activities!$A$2:$A$201,0))),""))</f>
        <v/>
      </c>
      <c r="H626" s="24" t="str">
        <f aca="false">IF($A626="","",IFERROR(IF(INDEX(Activities!$B$2:$B$201,MATCH($A626,Activities!$A$2:$A$201,0))="","",INDEX(Activities!$B$2:$B$201,MATCH($A626,Activities!$A$2:$A$201,0))),""))</f>
        <v/>
      </c>
      <c r="I626" s="24" t="str">
        <f aca="false">IF($B626="","",IFERROR(IF(INDEX(Students!$C$2:$C$301,MATCH($B626,Students!$A$2:$A$301,0))="","",INDEX(Students!$C$2:$C$301,MATCH($B626,Students!$A$2:$A$301,0))),""))</f>
        <v/>
      </c>
      <c r="J626" s="24" t="str">
        <f aca="false">IF($B626="","",IFERROR(IF(INDEX(Students!$B$2:$B$301,MATCH($B626,Students!$A$2:$A$301,0))="","",INDEX(Students!$B$2:$B$301,MATCH($B626,Students!$A$2:$A$301,0))),""))</f>
        <v/>
      </c>
      <c r="K626" s="25" t="str">
        <f aca="false">IF($A626="","",IF(D626="Withdrawn",0,IF(E626&lt;&gt;"",N(E626),IFERROR(N(INDEX(Activities!$I$2:$I$201,MATCH($A626,Activities!$A$2:$A$201,0))),0))))</f>
        <v/>
      </c>
      <c r="L626" s="24" t="str">
        <f aca="false">IF(AND($A626="",$B626=""),"",IF(ISNA(MATCH($A626,Activities!$A$2:$A$201,0)),"Unknown activity",IF(ISNA(MATCH($B626,Students!$A$2:$A$301,0)),"Unknown student",IF(D626="","No status",IF(COUNTIFS($A$2:$A$1001,$A626,$B$2:$B$1001,$B626)&gt;1,"Duplicate",IF(AND(D626&lt;&gt;"Withdrawn",G626&lt;&gt;"",COUNTIFS($B$2:$B$1001,$B626,$G$2:$G$1001,G626,$D$2:$D$1001,"&lt;&gt;Withdrawn")&gt;1),"Same-day clash","OK"))))))</f>
        <v/>
      </c>
    </row>
    <row r="627" customFormat="false" ht="15" hidden="false" customHeight="false" outlineLevel="0" collapsed="false">
      <c r="E627" s="26"/>
      <c r="G627" s="23" t="str">
        <f aca="false">IF($A627="","",IFERROR(IF(INDEX(Activities!$C$2:$C$201,MATCH($A627,Activities!$A$2:$A$201,0))="","",INDEX(Activities!$C$2:$C$201,MATCH($A627,Activities!$A$2:$A$201,0))),""))</f>
        <v/>
      </c>
      <c r="H627" s="24" t="str">
        <f aca="false">IF($A627="","",IFERROR(IF(INDEX(Activities!$B$2:$B$201,MATCH($A627,Activities!$A$2:$A$201,0))="","",INDEX(Activities!$B$2:$B$201,MATCH($A627,Activities!$A$2:$A$201,0))),""))</f>
        <v/>
      </c>
      <c r="I627" s="24" t="str">
        <f aca="false">IF($B627="","",IFERROR(IF(INDEX(Students!$C$2:$C$301,MATCH($B627,Students!$A$2:$A$301,0))="","",INDEX(Students!$C$2:$C$301,MATCH($B627,Students!$A$2:$A$301,0))),""))</f>
        <v/>
      </c>
      <c r="J627" s="24" t="str">
        <f aca="false">IF($B627="","",IFERROR(IF(INDEX(Students!$B$2:$B$301,MATCH($B627,Students!$A$2:$A$301,0))="","",INDEX(Students!$B$2:$B$301,MATCH($B627,Students!$A$2:$A$301,0))),""))</f>
        <v/>
      </c>
      <c r="K627" s="25" t="str">
        <f aca="false">IF($A627="","",IF(D627="Withdrawn",0,IF(E627&lt;&gt;"",N(E627),IFERROR(N(INDEX(Activities!$I$2:$I$201,MATCH($A627,Activities!$A$2:$A$201,0))),0))))</f>
        <v/>
      </c>
      <c r="L627" s="24" t="str">
        <f aca="false">IF(AND($A627="",$B627=""),"",IF(ISNA(MATCH($A627,Activities!$A$2:$A$201,0)),"Unknown activity",IF(ISNA(MATCH($B627,Students!$A$2:$A$301,0)),"Unknown student",IF(D627="","No status",IF(COUNTIFS($A$2:$A$1001,$A627,$B$2:$B$1001,$B627)&gt;1,"Duplicate",IF(AND(D627&lt;&gt;"Withdrawn",G627&lt;&gt;"",COUNTIFS($B$2:$B$1001,$B627,$G$2:$G$1001,G627,$D$2:$D$1001,"&lt;&gt;Withdrawn")&gt;1),"Same-day clash","OK"))))))</f>
        <v/>
      </c>
    </row>
    <row r="628" customFormat="false" ht="15" hidden="false" customHeight="false" outlineLevel="0" collapsed="false">
      <c r="E628" s="26"/>
      <c r="G628" s="23" t="str">
        <f aca="false">IF($A628="","",IFERROR(IF(INDEX(Activities!$C$2:$C$201,MATCH($A628,Activities!$A$2:$A$201,0))="","",INDEX(Activities!$C$2:$C$201,MATCH($A628,Activities!$A$2:$A$201,0))),""))</f>
        <v/>
      </c>
      <c r="H628" s="24" t="str">
        <f aca="false">IF($A628="","",IFERROR(IF(INDEX(Activities!$B$2:$B$201,MATCH($A628,Activities!$A$2:$A$201,0))="","",INDEX(Activities!$B$2:$B$201,MATCH($A628,Activities!$A$2:$A$201,0))),""))</f>
        <v/>
      </c>
      <c r="I628" s="24" t="str">
        <f aca="false">IF($B628="","",IFERROR(IF(INDEX(Students!$C$2:$C$301,MATCH($B628,Students!$A$2:$A$301,0))="","",INDEX(Students!$C$2:$C$301,MATCH($B628,Students!$A$2:$A$301,0))),""))</f>
        <v/>
      </c>
      <c r="J628" s="24" t="str">
        <f aca="false">IF($B628="","",IFERROR(IF(INDEX(Students!$B$2:$B$301,MATCH($B628,Students!$A$2:$A$301,0))="","",INDEX(Students!$B$2:$B$301,MATCH($B628,Students!$A$2:$A$301,0))),""))</f>
        <v/>
      </c>
      <c r="K628" s="25" t="str">
        <f aca="false">IF($A628="","",IF(D628="Withdrawn",0,IF(E628&lt;&gt;"",N(E628),IFERROR(N(INDEX(Activities!$I$2:$I$201,MATCH($A628,Activities!$A$2:$A$201,0))),0))))</f>
        <v/>
      </c>
      <c r="L628" s="24" t="str">
        <f aca="false">IF(AND($A628="",$B628=""),"",IF(ISNA(MATCH($A628,Activities!$A$2:$A$201,0)),"Unknown activity",IF(ISNA(MATCH($B628,Students!$A$2:$A$301,0)),"Unknown student",IF(D628="","No status",IF(COUNTIFS($A$2:$A$1001,$A628,$B$2:$B$1001,$B628)&gt;1,"Duplicate",IF(AND(D628&lt;&gt;"Withdrawn",G628&lt;&gt;"",COUNTIFS($B$2:$B$1001,$B628,$G$2:$G$1001,G628,$D$2:$D$1001,"&lt;&gt;Withdrawn")&gt;1),"Same-day clash","OK"))))))</f>
        <v/>
      </c>
    </row>
    <row r="629" customFormat="false" ht="15" hidden="false" customHeight="false" outlineLevel="0" collapsed="false">
      <c r="E629" s="26"/>
      <c r="G629" s="23" t="str">
        <f aca="false">IF($A629="","",IFERROR(IF(INDEX(Activities!$C$2:$C$201,MATCH($A629,Activities!$A$2:$A$201,0))="","",INDEX(Activities!$C$2:$C$201,MATCH($A629,Activities!$A$2:$A$201,0))),""))</f>
        <v/>
      </c>
      <c r="H629" s="24" t="str">
        <f aca="false">IF($A629="","",IFERROR(IF(INDEX(Activities!$B$2:$B$201,MATCH($A629,Activities!$A$2:$A$201,0))="","",INDEX(Activities!$B$2:$B$201,MATCH($A629,Activities!$A$2:$A$201,0))),""))</f>
        <v/>
      </c>
      <c r="I629" s="24" t="str">
        <f aca="false">IF($B629="","",IFERROR(IF(INDEX(Students!$C$2:$C$301,MATCH($B629,Students!$A$2:$A$301,0))="","",INDEX(Students!$C$2:$C$301,MATCH($B629,Students!$A$2:$A$301,0))),""))</f>
        <v/>
      </c>
      <c r="J629" s="24" t="str">
        <f aca="false">IF($B629="","",IFERROR(IF(INDEX(Students!$B$2:$B$301,MATCH($B629,Students!$A$2:$A$301,0))="","",INDEX(Students!$B$2:$B$301,MATCH($B629,Students!$A$2:$A$301,0))),""))</f>
        <v/>
      </c>
      <c r="K629" s="25" t="str">
        <f aca="false">IF($A629="","",IF(D629="Withdrawn",0,IF(E629&lt;&gt;"",N(E629),IFERROR(N(INDEX(Activities!$I$2:$I$201,MATCH($A629,Activities!$A$2:$A$201,0))),0))))</f>
        <v/>
      </c>
      <c r="L629" s="24" t="str">
        <f aca="false">IF(AND($A629="",$B629=""),"",IF(ISNA(MATCH($A629,Activities!$A$2:$A$201,0)),"Unknown activity",IF(ISNA(MATCH($B629,Students!$A$2:$A$301,0)),"Unknown student",IF(D629="","No status",IF(COUNTIFS($A$2:$A$1001,$A629,$B$2:$B$1001,$B629)&gt;1,"Duplicate",IF(AND(D629&lt;&gt;"Withdrawn",G629&lt;&gt;"",COUNTIFS($B$2:$B$1001,$B629,$G$2:$G$1001,G629,$D$2:$D$1001,"&lt;&gt;Withdrawn")&gt;1),"Same-day clash","OK"))))))</f>
        <v/>
      </c>
    </row>
    <row r="630" customFormat="false" ht="15" hidden="false" customHeight="false" outlineLevel="0" collapsed="false">
      <c r="E630" s="26"/>
      <c r="G630" s="23" t="str">
        <f aca="false">IF($A630="","",IFERROR(IF(INDEX(Activities!$C$2:$C$201,MATCH($A630,Activities!$A$2:$A$201,0))="","",INDEX(Activities!$C$2:$C$201,MATCH($A630,Activities!$A$2:$A$201,0))),""))</f>
        <v/>
      </c>
      <c r="H630" s="24" t="str">
        <f aca="false">IF($A630="","",IFERROR(IF(INDEX(Activities!$B$2:$B$201,MATCH($A630,Activities!$A$2:$A$201,0))="","",INDEX(Activities!$B$2:$B$201,MATCH($A630,Activities!$A$2:$A$201,0))),""))</f>
        <v/>
      </c>
      <c r="I630" s="24" t="str">
        <f aca="false">IF($B630="","",IFERROR(IF(INDEX(Students!$C$2:$C$301,MATCH($B630,Students!$A$2:$A$301,0))="","",INDEX(Students!$C$2:$C$301,MATCH($B630,Students!$A$2:$A$301,0))),""))</f>
        <v/>
      </c>
      <c r="J630" s="24" t="str">
        <f aca="false">IF($B630="","",IFERROR(IF(INDEX(Students!$B$2:$B$301,MATCH($B630,Students!$A$2:$A$301,0))="","",INDEX(Students!$B$2:$B$301,MATCH($B630,Students!$A$2:$A$301,0))),""))</f>
        <v/>
      </c>
      <c r="K630" s="25" t="str">
        <f aca="false">IF($A630="","",IF(D630="Withdrawn",0,IF(E630&lt;&gt;"",N(E630),IFERROR(N(INDEX(Activities!$I$2:$I$201,MATCH($A630,Activities!$A$2:$A$201,0))),0))))</f>
        <v/>
      </c>
      <c r="L630" s="24" t="str">
        <f aca="false">IF(AND($A630="",$B630=""),"",IF(ISNA(MATCH($A630,Activities!$A$2:$A$201,0)),"Unknown activity",IF(ISNA(MATCH($B630,Students!$A$2:$A$301,0)),"Unknown student",IF(D630="","No status",IF(COUNTIFS($A$2:$A$1001,$A630,$B$2:$B$1001,$B630)&gt;1,"Duplicate",IF(AND(D630&lt;&gt;"Withdrawn",G630&lt;&gt;"",COUNTIFS($B$2:$B$1001,$B630,$G$2:$G$1001,G630,$D$2:$D$1001,"&lt;&gt;Withdrawn")&gt;1),"Same-day clash","OK"))))))</f>
        <v/>
      </c>
    </row>
    <row r="631" customFormat="false" ht="15" hidden="false" customHeight="false" outlineLevel="0" collapsed="false">
      <c r="E631" s="26"/>
      <c r="G631" s="23" t="str">
        <f aca="false">IF($A631="","",IFERROR(IF(INDEX(Activities!$C$2:$C$201,MATCH($A631,Activities!$A$2:$A$201,0))="","",INDEX(Activities!$C$2:$C$201,MATCH($A631,Activities!$A$2:$A$201,0))),""))</f>
        <v/>
      </c>
      <c r="H631" s="24" t="str">
        <f aca="false">IF($A631="","",IFERROR(IF(INDEX(Activities!$B$2:$B$201,MATCH($A631,Activities!$A$2:$A$201,0))="","",INDEX(Activities!$B$2:$B$201,MATCH($A631,Activities!$A$2:$A$201,0))),""))</f>
        <v/>
      </c>
      <c r="I631" s="24" t="str">
        <f aca="false">IF($B631="","",IFERROR(IF(INDEX(Students!$C$2:$C$301,MATCH($B631,Students!$A$2:$A$301,0))="","",INDEX(Students!$C$2:$C$301,MATCH($B631,Students!$A$2:$A$301,0))),""))</f>
        <v/>
      </c>
      <c r="J631" s="24" t="str">
        <f aca="false">IF($B631="","",IFERROR(IF(INDEX(Students!$B$2:$B$301,MATCH($B631,Students!$A$2:$A$301,0))="","",INDEX(Students!$B$2:$B$301,MATCH($B631,Students!$A$2:$A$301,0))),""))</f>
        <v/>
      </c>
      <c r="K631" s="25" t="str">
        <f aca="false">IF($A631="","",IF(D631="Withdrawn",0,IF(E631&lt;&gt;"",N(E631),IFERROR(N(INDEX(Activities!$I$2:$I$201,MATCH($A631,Activities!$A$2:$A$201,0))),0))))</f>
        <v/>
      </c>
      <c r="L631" s="24" t="str">
        <f aca="false">IF(AND($A631="",$B631=""),"",IF(ISNA(MATCH($A631,Activities!$A$2:$A$201,0)),"Unknown activity",IF(ISNA(MATCH($B631,Students!$A$2:$A$301,0)),"Unknown student",IF(D631="","No status",IF(COUNTIFS($A$2:$A$1001,$A631,$B$2:$B$1001,$B631)&gt;1,"Duplicate",IF(AND(D631&lt;&gt;"Withdrawn",G631&lt;&gt;"",COUNTIFS($B$2:$B$1001,$B631,$G$2:$G$1001,G631,$D$2:$D$1001,"&lt;&gt;Withdrawn")&gt;1),"Same-day clash","OK"))))))</f>
        <v/>
      </c>
    </row>
    <row r="632" customFormat="false" ht="15" hidden="false" customHeight="false" outlineLevel="0" collapsed="false">
      <c r="E632" s="26"/>
      <c r="G632" s="23" t="str">
        <f aca="false">IF($A632="","",IFERROR(IF(INDEX(Activities!$C$2:$C$201,MATCH($A632,Activities!$A$2:$A$201,0))="","",INDEX(Activities!$C$2:$C$201,MATCH($A632,Activities!$A$2:$A$201,0))),""))</f>
        <v/>
      </c>
      <c r="H632" s="24" t="str">
        <f aca="false">IF($A632="","",IFERROR(IF(INDEX(Activities!$B$2:$B$201,MATCH($A632,Activities!$A$2:$A$201,0))="","",INDEX(Activities!$B$2:$B$201,MATCH($A632,Activities!$A$2:$A$201,0))),""))</f>
        <v/>
      </c>
      <c r="I632" s="24" t="str">
        <f aca="false">IF($B632="","",IFERROR(IF(INDEX(Students!$C$2:$C$301,MATCH($B632,Students!$A$2:$A$301,0))="","",INDEX(Students!$C$2:$C$301,MATCH($B632,Students!$A$2:$A$301,0))),""))</f>
        <v/>
      </c>
      <c r="J632" s="24" t="str">
        <f aca="false">IF($B632="","",IFERROR(IF(INDEX(Students!$B$2:$B$301,MATCH($B632,Students!$A$2:$A$301,0))="","",INDEX(Students!$B$2:$B$301,MATCH($B632,Students!$A$2:$A$301,0))),""))</f>
        <v/>
      </c>
      <c r="K632" s="25" t="str">
        <f aca="false">IF($A632="","",IF(D632="Withdrawn",0,IF(E632&lt;&gt;"",N(E632),IFERROR(N(INDEX(Activities!$I$2:$I$201,MATCH($A632,Activities!$A$2:$A$201,0))),0))))</f>
        <v/>
      </c>
      <c r="L632" s="24" t="str">
        <f aca="false">IF(AND($A632="",$B632=""),"",IF(ISNA(MATCH($A632,Activities!$A$2:$A$201,0)),"Unknown activity",IF(ISNA(MATCH($B632,Students!$A$2:$A$301,0)),"Unknown student",IF(D632="","No status",IF(COUNTIFS($A$2:$A$1001,$A632,$B$2:$B$1001,$B632)&gt;1,"Duplicate",IF(AND(D632&lt;&gt;"Withdrawn",G632&lt;&gt;"",COUNTIFS($B$2:$B$1001,$B632,$G$2:$G$1001,G632,$D$2:$D$1001,"&lt;&gt;Withdrawn")&gt;1),"Same-day clash","OK"))))))</f>
        <v/>
      </c>
    </row>
    <row r="633" customFormat="false" ht="15" hidden="false" customHeight="false" outlineLevel="0" collapsed="false">
      <c r="E633" s="26"/>
      <c r="G633" s="23" t="str">
        <f aca="false">IF($A633="","",IFERROR(IF(INDEX(Activities!$C$2:$C$201,MATCH($A633,Activities!$A$2:$A$201,0))="","",INDEX(Activities!$C$2:$C$201,MATCH($A633,Activities!$A$2:$A$201,0))),""))</f>
        <v/>
      </c>
      <c r="H633" s="24" t="str">
        <f aca="false">IF($A633="","",IFERROR(IF(INDEX(Activities!$B$2:$B$201,MATCH($A633,Activities!$A$2:$A$201,0))="","",INDEX(Activities!$B$2:$B$201,MATCH($A633,Activities!$A$2:$A$201,0))),""))</f>
        <v/>
      </c>
      <c r="I633" s="24" t="str">
        <f aca="false">IF($B633="","",IFERROR(IF(INDEX(Students!$C$2:$C$301,MATCH($B633,Students!$A$2:$A$301,0))="","",INDEX(Students!$C$2:$C$301,MATCH($B633,Students!$A$2:$A$301,0))),""))</f>
        <v/>
      </c>
      <c r="J633" s="24" t="str">
        <f aca="false">IF($B633="","",IFERROR(IF(INDEX(Students!$B$2:$B$301,MATCH($B633,Students!$A$2:$A$301,0))="","",INDEX(Students!$B$2:$B$301,MATCH($B633,Students!$A$2:$A$301,0))),""))</f>
        <v/>
      </c>
      <c r="K633" s="25" t="str">
        <f aca="false">IF($A633="","",IF(D633="Withdrawn",0,IF(E633&lt;&gt;"",N(E633),IFERROR(N(INDEX(Activities!$I$2:$I$201,MATCH($A633,Activities!$A$2:$A$201,0))),0))))</f>
        <v/>
      </c>
      <c r="L633" s="24" t="str">
        <f aca="false">IF(AND($A633="",$B633=""),"",IF(ISNA(MATCH($A633,Activities!$A$2:$A$201,0)),"Unknown activity",IF(ISNA(MATCH($B633,Students!$A$2:$A$301,0)),"Unknown student",IF(D633="","No status",IF(COUNTIFS($A$2:$A$1001,$A633,$B$2:$B$1001,$B633)&gt;1,"Duplicate",IF(AND(D633&lt;&gt;"Withdrawn",G633&lt;&gt;"",COUNTIFS($B$2:$B$1001,$B633,$G$2:$G$1001,G633,$D$2:$D$1001,"&lt;&gt;Withdrawn")&gt;1),"Same-day clash","OK"))))))</f>
        <v/>
      </c>
    </row>
    <row r="634" customFormat="false" ht="15" hidden="false" customHeight="false" outlineLevel="0" collapsed="false">
      <c r="E634" s="26"/>
      <c r="G634" s="23" t="str">
        <f aca="false">IF($A634="","",IFERROR(IF(INDEX(Activities!$C$2:$C$201,MATCH($A634,Activities!$A$2:$A$201,0))="","",INDEX(Activities!$C$2:$C$201,MATCH($A634,Activities!$A$2:$A$201,0))),""))</f>
        <v/>
      </c>
      <c r="H634" s="24" t="str">
        <f aca="false">IF($A634="","",IFERROR(IF(INDEX(Activities!$B$2:$B$201,MATCH($A634,Activities!$A$2:$A$201,0))="","",INDEX(Activities!$B$2:$B$201,MATCH($A634,Activities!$A$2:$A$201,0))),""))</f>
        <v/>
      </c>
      <c r="I634" s="24" t="str">
        <f aca="false">IF($B634="","",IFERROR(IF(INDEX(Students!$C$2:$C$301,MATCH($B634,Students!$A$2:$A$301,0))="","",INDEX(Students!$C$2:$C$301,MATCH($B634,Students!$A$2:$A$301,0))),""))</f>
        <v/>
      </c>
      <c r="J634" s="24" t="str">
        <f aca="false">IF($B634="","",IFERROR(IF(INDEX(Students!$B$2:$B$301,MATCH($B634,Students!$A$2:$A$301,0))="","",INDEX(Students!$B$2:$B$301,MATCH($B634,Students!$A$2:$A$301,0))),""))</f>
        <v/>
      </c>
      <c r="K634" s="25" t="str">
        <f aca="false">IF($A634="","",IF(D634="Withdrawn",0,IF(E634&lt;&gt;"",N(E634),IFERROR(N(INDEX(Activities!$I$2:$I$201,MATCH($A634,Activities!$A$2:$A$201,0))),0))))</f>
        <v/>
      </c>
      <c r="L634" s="24" t="str">
        <f aca="false">IF(AND($A634="",$B634=""),"",IF(ISNA(MATCH($A634,Activities!$A$2:$A$201,0)),"Unknown activity",IF(ISNA(MATCH($B634,Students!$A$2:$A$301,0)),"Unknown student",IF(D634="","No status",IF(COUNTIFS($A$2:$A$1001,$A634,$B$2:$B$1001,$B634)&gt;1,"Duplicate",IF(AND(D634&lt;&gt;"Withdrawn",G634&lt;&gt;"",COUNTIFS($B$2:$B$1001,$B634,$G$2:$G$1001,G634,$D$2:$D$1001,"&lt;&gt;Withdrawn")&gt;1),"Same-day clash","OK"))))))</f>
        <v/>
      </c>
    </row>
    <row r="635" customFormat="false" ht="15" hidden="false" customHeight="false" outlineLevel="0" collapsed="false">
      <c r="E635" s="26"/>
      <c r="G635" s="23" t="str">
        <f aca="false">IF($A635="","",IFERROR(IF(INDEX(Activities!$C$2:$C$201,MATCH($A635,Activities!$A$2:$A$201,0))="","",INDEX(Activities!$C$2:$C$201,MATCH($A635,Activities!$A$2:$A$201,0))),""))</f>
        <v/>
      </c>
      <c r="H635" s="24" t="str">
        <f aca="false">IF($A635="","",IFERROR(IF(INDEX(Activities!$B$2:$B$201,MATCH($A635,Activities!$A$2:$A$201,0))="","",INDEX(Activities!$B$2:$B$201,MATCH($A635,Activities!$A$2:$A$201,0))),""))</f>
        <v/>
      </c>
      <c r="I635" s="24" t="str">
        <f aca="false">IF($B635="","",IFERROR(IF(INDEX(Students!$C$2:$C$301,MATCH($B635,Students!$A$2:$A$301,0))="","",INDEX(Students!$C$2:$C$301,MATCH($B635,Students!$A$2:$A$301,0))),""))</f>
        <v/>
      </c>
      <c r="J635" s="24" t="str">
        <f aca="false">IF($B635="","",IFERROR(IF(INDEX(Students!$B$2:$B$301,MATCH($B635,Students!$A$2:$A$301,0))="","",INDEX(Students!$B$2:$B$301,MATCH($B635,Students!$A$2:$A$301,0))),""))</f>
        <v/>
      </c>
      <c r="K635" s="25" t="str">
        <f aca="false">IF($A635="","",IF(D635="Withdrawn",0,IF(E635&lt;&gt;"",N(E635),IFERROR(N(INDEX(Activities!$I$2:$I$201,MATCH($A635,Activities!$A$2:$A$201,0))),0))))</f>
        <v/>
      </c>
      <c r="L635" s="24" t="str">
        <f aca="false">IF(AND($A635="",$B635=""),"",IF(ISNA(MATCH($A635,Activities!$A$2:$A$201,0)),"Unknown activity",IF(ISNA(MATCH($B635,Students!$A$2:$A$301,0)),"Unknown student",IF(D635="","No status",IF(COUNTIFS($A$2:$A$1001,$A635,$B$2:$B$1001,$B635)&gt;1,"Duplicate",IF(AND(D635&lt;&gt;"Withdrawn",G635&lt;&gt;"",COUNTIFS($B$2:$B$1001,$B635,$G$2:$G$1001,G635,$D$2:$D$1001,"&lt;&gt;Withdrawn")&gt;1),"Same-day clash","OK"))))))</f>
        <v/>
      </c>
    </row>
    <row r="636" customFormat="false" ht="15" hidden="false" customHeight="false" outlineLevel="0" collapsed="false">
      <c r="E636" s="26"/>
      <c r="G636" s="23" t="str">
        <f aca="false">IF($A636="","",IFERROR(IF(INDEX(Activities!$C$2:$C$201,MATCH($A636,Activities!$A$2:$A$201,0))="","",INDEX(Activities!$C$2:$C$201,MATCH($A636,Activities!$A$2:$A$201,0))),""))</f>
        <v/>
      </c>
      <c r="H636" s="24" t="str">
        <f aca="false">IF($A636="","",IFERROR(IF(INDEX(Activities!$B$2:$B$201,MATCH($A636,Activities!$A$2:$A$201,0))="","",INDEX(Activities!$B$2:$B$201,MATCH($A636,Activities!$A$2:$A$201,0))),""))</f>
        <v/>
      </c>
      <c r="I636" s="24" t="str">
        <f aca="false">IF($B636="","",IFERROR(IF(INDEX(Students!$C$2:$C$301,MATCH($B636,Students!$A$2:$A$301,0))="","",INDEX(Students!$C$2:$C$301,MATCH($B636,Students!$A$2:$A$301,0))),""))</f>
        <v/>
      </c>
      <c r="J636" s="24" t="str">
        <f aca="false">IF($B636="","",IFERROR(IF(INDEX(Students!$B$2:$B$301,MATCH($B636,Students!$A$2:$A$301,0))="","",INDEX(Students!$B$2:$B$301,MATCH($B636,Students!$A$2:$A$301,0))),""))</f>
        <v/>
      </c>
      <c r="K636" s="25" t="str">
        <f aca="false">IF($A636="","",IF(D636="Withdrawn",0,IF(E636&lt;&gt;"",N(E636),IFERROR(N(INDEX(Activities!$I$2:$I$201,MATCH($A636,Activities!$A$2:$A$201,0))),0))))</f>
        <v/>
      </c>
      <c r="L636" s="24" t="str">
        <f aca="false">IF(AND($A636="",$B636=""),"",IF(ISNA(MATCH($A636,Activities!$A$2:$A$201,0)),"Unknown activity",IF(ISNA(MATCH($B636,Students!$A$2:$A$301,0)),"Unknown student",IF(D636="","No status",IF(COUNTIFS($A$2:$A$1001,$A636,$B$2:$B$1001,$B636)&gt;1,"Duplicate",IF(AND(D636&lt;&gt;"Withdrawn",G636&lt;&gt;"",COUNTIFS($B$2:$B$1001,$B636,$G$2:$G$1001,G636,$D$2:$D$1001,"&lt;&gt;Withdrawn")&gt;1),"Same-day clash","OK"))))))</f>
        <v/>
      </c>
    </row>
    <row r="637" customFormat="false" ht="15" hidden="false" customHeight="false" outlineLevel="0" collapsed="false">
      <c r="E637" s="26"/>
      <c r="G637" s="23" t="str">
        <f aca="false">IF($A637="","",IFERROR(IF(INDEX(Activities!$C$2:$C$201,MATCH($A637,Activities!$A$2:$A$201,0))="","",INDEX(Activities!$C$2:$C$201,MATCH($A637,Activities!$A$2:$A$201,0))),""))</f>
        <v/>
      </c>
      <c r="H637" s="24" t="str">
        <f aca="false">IF($A637="","",IFERROR(IF(INDEX(Activities!$B$2:$B$201,MATCH($A637,Activities!$A$2:$A$201,0))="","",INDEX(Activities!$B$2:$B$201,MATCH($A637,Activities!$A$2:$A$201,0))),""))</f>
        <v/>
      </c>
      <c r="I637" s="24" t="str">
        <f aca="false">IF($B637="","",IFERROR(IF(INDEX(Students!$C$2:$C$301,MATCH($B637,Students!$A$2:$A$301,0))="","",INDEX(Students!$C$2:$C$301,MATCH($B637,Students!$A$2:$A$301,0))),""))</f>
        <v/>
      </c>
      <c r="J637" s="24" t="str">
        <f aca="false">IF($B637="","",IFERROR(IF(INDEX(Students!$B$2:$B$301,MATCH($B637,Students!$A$2:$A$301,0))="","",INDEX(Students!$B$2:$B$301,MATCH($B637,Students!$A$2:$A$301,0))),""))</f>
        <v/>
      </c>
      <c r="K637" s="25" t="str">
        <f aca="false">IF($A637="","",IF(D637="Withdrawn",0,IF(E637&lt;&gt;"",N(E637),IFERROR(N(INDEX(Activities!$I$2:$I$201,MATCH($A637,Activities!$A$2:$A$201,0))),0))))</f>
        <v/>
      </c>
      <c r="L637" s="24" t="str">
        <f aca="false">IF(AND($A637="",$B637=""),"",IF(ISNA(MATCH($A637,Activities!$A$2:$A$201,0)),"Unknown activity",IF(ISNA(MATCH($B637,Students!$A$2:$A$301,0)),"Unknown student",IF(D637="","No status",IF(COUNTIFS($A$2:$A$1001,$A637,$B$2:$B$1001,$B637)&gt;1,"Duplicate",IF(AND(D637&lt;&gt;"Withdrawn",G637&lt;&gt;"",COUNTIFS($B$2:$B$1001,$B637,$G$2:$G$1001,G637,$D$2:$D$1001,"&lt;&gt;Withdrawn")&gt;1),"Same-day clash","OK"))))))</f>
        <v/>
      </c>
    </row>
    <row r="638" customFormat="false" ht="15" hidden="false" customHeight="false" outlineLevel="0" collapsed="false">
      <c r="E638" s="26"/>
      <c r="G638" s="23" t="str">
        <f aca="false">IF($A638="","",IFERROR(IF(INDEX(Activities!$C$2:$C$201,MATCH($A638,Activities!$A$2:$A$201,0))="","",INDEX(Activities!$C$2:$C$201,MATCH($A638,Activities!$A$2:$A$201,0))),""))</f>
        <v/>
      </c>
      <c r="H638" s="24" t="str">
        <f aca="false">IF($A638="","",IFERROR(IF(INDEX(Activities!$B$2:$B$201,MATCH($A638,Activities!$A$2:$A$201,0))="","",INDEX(Activities!$B$2:$B$201,MATCH($A638,Activities!$A$2:$A$201,0))),""))</f>
        <v/>
      </c>
      <c r="I638" s="24" t="str">
        <f aca="false">IF($B638="","",IFERROR(IF(INDEX(Students!$C$2:$C$301,MATCH($B638,Students!$A$2:$A$301,0))="","",INDEX(Students!$C$2:$C$301,MATCH($B638,Students!$A$2:$A$301,0))),""))</f>
        <v/>
      </c>
      <c r="J638" s="24" t="str">
        <f aca="false">IF($B638="","",IFERROR(IF(INDEX(Students!$B$2:$B$301,MATCH($B638,Students!$A$2:$A$301,0))="","",INDEX(Students!$B$2:$B$301,MATCH($B638,Students!$A$2:$A$301,0))),""))</f>
        <v/>
      </c>
      <c r="K638" s="25" t="str">
        <f aca="false">IF($A638="","",IF(D638="Withdrawn",0,IF(E638&lt;&gt;"",N(E638),IFERROR(N(INDEX(Activities!$I$2:$I$201,MATCH($A638,Activities!$A$2:$A$201,0))),0))))</f>
        <v/>
      </c>
      <c r="L638" s="24" t="str">
        <f aca="false">IF(AND($A638="",$B638=""),"",IF(ISNA(MATCH($A638,Activities!$A$2:$A$201,0)),"Unknown activity",IF(ISNA(MATCH($B638,Students!$A$2:$A$301,0)),"Unknown student",IF(D638="","No status",IF(COUNTIFS($A$2:$A$1001,$A638,$B$2:$B$1001,$B638)&gt;1,"Duplicate",IF(AND(D638&lt;&gt;"Withdrawn",G638&lt;&gt;"",COUNTIFS($B$2:$B$1001,$B638,$G$2:$G$1001,G638,$D$2:$D$1001,"&lt;&gt;Withdrawn")&gt;1),"Same-day clash","OK"))))))</f>
        <v/>
      </c>
    </row>
    <row r="639" customFormat="false" ht="15" hidden="false" customHeight="false" outlineLevel="0" collapsed="false">
      <c r="E639" s="26"/>
      <c r="G639" s="23" t="str">
        <f aca="false">IF($A639="","",IFERROR(IF(INDEX(Activities!$C$2:$C$201,MATCH($A639,Activities!$A$2:$A$201,0))="","",INDEX(Activities!$C$2:$C$201,MATCH($A639,Activities!$A$2:$A$201,0))),""))</f>
        <v/>
      </c>
      <c r="H639" s="24" t="str">
        <f aca="false">IF($A639="","",IFERROR(IF(INDEX(Activities!$B$2:$B$201,MATCH($A639,Activities!$A$2:$A$201,0))="","",INDEX(Activities!$B$2:$B$201,MATCH($A639,Activities!$A$2:$A$201,0))),""))</f>
        <v/>
      </c>
      <c r="I639" s="24" t="str">
        <f aca="false">IF($B639="","",IFERROR(IF(INDEX(Students!$C$2:$C$301,MATCH($B639,Students!$A$2:$A$301,0))="","",INDEX(Students!$C$2:$C$301,MATCH($B639,Students!$A$2:$A$301,0))),""))</f>
        <v/>
      </c>
      <c r="J639" s="24" t="str">
        <f aca="false">IF($B639="","",IFERROR(IF(INDEX(Students!$B$2:$B$301,MATCH($B639,Students!$A$2:$A$301,0))="","",INDEX(Students!$B$2:$B$301,MATCH($B639,Students!$A$2:$A$301,0))),""))</f>
        <v/>
      </c>
      <c r="K639" s="25" t="str">
        <f aca="false">IF($A639="","",IF(D639="Withdrawn",0,IF(E639&lt;&gt;"",N(E639),IFERROR(N(INDEX(Activities!$I$2:$I$201,MATCH($A639,Activities!$A$2:$A$201,0))),0))))</f>
        <v/>
      </c>
      <c r="L639" s="24" t="str">
        <f aca="false">IF(AND($A639="",$B639=""),"",IF(ISNA(MATCH($A639,Activities!$A$2:$A$201,0)),"Unknown activity",IF(ISNA(MATCH($B639,Students!$A$2:$A$301,0)),"Unknown student",IF(D639="","No status",IF(COUNTIFS($A$2:$A$1001,$A639,$B$2:$B$1001,$B639)&gt;1,"Duplicate",IF(AND(D639&lt;&gt;"Withdrawn",G639&lt;&gt;"",COUNTIFS($B$2:$B$1001,$B639,$G$2:$G$1001,G639,$D$2:$D$1001,"&lt;&gt;Withdrawn")&gt;1),"Same-day clash","OK"))))))</f>
        <v/>
      </c>
    </row>
    <row r="640" customFormat="false" ht="15" hidden="false" customHeight="false" outlineLevel="0" collapsed="false">
      <c r="E640" s="26"/>
      <c r="G640" s="23" t="str">
        <f aca="false">IF($A640="","",IFERROR(IF(INDEX(Activities!$C$2:$C$201,MATCH($A640,Activities!$A$2:$A$201,0))="","",INDEX(Activities!$C$2:$C$201,MATCH($A640,Activities!$A$2:$A$201,0))),""))</f>
        <v/>
      </c>
      <c r="H640" s="24" t="str">
        <f aca="false">IF($A640="","",IFERROR(IF(INDEX(Activities!$B$2:$B$201,MATCH($A640,Activities!$A$2:$A$201,0))="","",INDEX(Activities!$B$2:$B$201,MATCH($A640,Activities!$A$2:$A$201,0))),""))</f>
        <v/>
      </c>
      <c r="I640" s="24" t="str">
        <f aca="false">IF($B640="","",IFERROR(IF(INDEX(Students!$C$2:$C$301,MATCH($B640,Students!$A$2:$A$301,0))="","",INDEX(Students!$C$2:$C$301,MATCH($B640,Students!$A$2:$A$301,0))),""))</f>
        <v/>
      </c>
      <c r="J640" s="24" t="str">
        <f aca="false">IF($B640="","",IFERROR(IF(INDEX(Students!$B$2:$B$301,MATCH($B640,Students!$A$2:$A$301,0))="","",INDEX(Students!$B$2:$B$301,MATCH($B640,Students!$A$2:$A$301,0))),""))</f>
        <v/>
      </c>
      <c r="K640" s="25" t="str">
        <f aca="false">IF($A640="","",IF(D640="Withdrawn",0,IF(E640&lt;&gt;"",N(E640),IFERROR(N(INDEX(Activities!$I$2:$I$201,MATCH($A640,Activities!$A$2:$A$201,0))),0))))</f>
        <v/>
      </c>
      <c r="L640" s="24" t="str">
        <f aca="false">IF(AND($A640="",$B640=""),"",IF(ISNA(MATCH($A640,Activities!$A$2:$A$201,0)),"Unknown activity",IF(ISNA(MATCH($B640,Students!$A$2:$A$301,0)),"Unknown student",IF(D640="","No status",IF(COUNTIFS($A$2:$A$1001,$A640,$B$2:$B$1001,$B640)&gt;1,"Duplicate",IF(AND(D640&lt;&gt;"Withdrawn",G640&lt;&gt;"",COUNTIFS($B$2:$B$1001,$B640,$G$2:$G$1001,G640,$D$2:$D$1001,"&lt;&gt;Withdrawn")&gt;1),"Same-day clash","OK"))))))</f>
        <v/>
      </c>
    </row>
    <row r="641" customFormat="false" ht="15" hidden="false" customHeight="false" outlineLevel="0" collapsed="false">
      <c r="E641" s="26"/>
      <c r="G641" s="23" t="str">
        <f aca="false">IF($A641="","",IFERROR(IF(INDEX(Activities!$C$2:$C$201,MATCH($A641,Activities!$A$2:$A$201,0))="","",INDEX(Activities!$C$2:$C$201,MATCH($A641,Activities!$A$2:$A$201,0))),""))</f>
        <v/>
      </c>
      <c r="H641" s="24" t="str">
        <f aca="false">IF($A641="","",IFERROR(IF(INDEX(Activities!$B$2:$B$201,MATCH($A641,Activities!$A$2:$A$201,0))="","",INDEX(Activities!$B$2:$B$201,MATCH($A641,Activities!$A$2:$A$201,0))),""))</f>
        <v/>
      </c>
      <c r="I641" s="24" t="str">
        <f aca="false">IF($B641="","",IFERROR(IF(INDEX(Students!$C$2:$C$301,MATCH($B641,Students!$A$2:$A$301,0))="","",INDEX(Students!$C$2:$C$301,MATCH($B641,Students!$A$2:$A$301,0))),""))</f>
        <v/>
      </c>
      <c r="J641" s="24" t="str">
        <f aca="false">IF($B641="","",IFERROR(IF(INDEX(Students!$B$2:$B$301,MATCH($B641,Students!$A$2:$A$301,0))="","",INDEX(Students!$B$2:$B$301,MATCH($B641,Students!$A$2:$A$301,0))),""))</f>
        <v/>
      </c>
      <c r="K641" s="25" t="str">
        <f aca="false">IF($A641="","",IF(D641="Withdrawn",0,IF(E641&lt;&gt;"",N(E641),IFERROR(N(INDEX(Activities!$I$2:$I$201,MATCH($A641,Activities!$A$2:$A$201,0))),0))))</f>
        <v/>
      </c>
      <c r="L641" s="24" t="str">
        <f aca="false">IF(AND($A641="",$B641=""),"",IF(ISNA(MATCH($A641,Activities!$A$2:$A$201,0)),"Unknown activity",IF(ISNA(MATCH($B641,Students!$A$2:$A$301,0)),"Unknown student",IF(D641="","No status",IF(COUNTIFS($A$2:$A$1001,$A641,$B$2:$B$1001,$B641)&gt;1,"Duplicate",IF(AND(D641&lt;&gt;"Withdrawn",G641&lt;&gt;"",COUNTIFS($B$2:$B$1001,$B641,$G$2:$G$1001,G641,$D$2:$D$1001,"&lt;&gt;Withdrawn")&gt;1),"Same-day clash","OK"))))))</f>
        <v/>
      </c>
    </row>
    <row r="642" customFormat="false" ht="15" hidden="false" customHeight="false" outlineLevel="0" collapsed="false">
      <c r="E642" s="26"/>
      <c r="G642" s="23" t="str">
        <f aca="false">IF($A642="","",IFERROR(IF(INDEX(Activities!$C$2:$C$201,MATCH($A642,Activities!$A$2:$A$201,0))="","",INDEX(Activities!$C$2:$C$201,MATCH($A642,Activities!$A$2:$A$201,0))),""))</f>
        <v/>
      </c>
      <c r="H642" s="24" t="str">
        <f aca="false">IF($A642="","",IFERROR(IF(INDEX(Activities!$B$2:$B$201,MATCH($A642,Activities!$A$2:$A$201,0))="","",INDEX(Activities!$B$2:$B$201,MATCH($A642,Activities!$A$2:$A$201,0))),""))</f>
        <v/>
      </c>
      <c r="I642" s="24" t="str">
        <f aca="false">IF($B642="","",IFERROR(IF(INDEX(Students!$C$2:$C$301,MATCH($B642,Students!$A$2:$A$301,0))="","",INDEX(Students!$C$2:$C$301,MATCH($B642,Students!$A$2:$A$301,0))),""))</f>
        <v/>
      </c>
      <c r="J642" s="24" t="str">
        <f aca="false">IF($B642="","",IFERROR(IF(INDEX(Students!$B$2:$B$301,MATCH($B642,Students!$A$2:$A$301,0))="","",INDEX(Students!$B$2:$B$301,MATCH($B642,Students!$A$2:$A$301,0))),""))</f>
        <v/>
      </c>
      <c r="K642" s="25" t="str">
        <f aca="false">IF($A642="","",IF(D642="Withdrawn",0,IF(E642&lt;&gt;"",N(E642),IFERROR(N(INDEX(Activities!$I$2:$I$201,MATCH($A642,Activities!$A$2:$A$201,0))),0))))</f>
        <v/>
      </c>
      <c r="L642" s="24" t="str">
        <f aca="false">IF(AND($A642="",$B642=""),"",IF(ISNA(MATCH($A642,Activities!$A$2:$A$201,0)),"Unknown activity",IF(ISNA(MATCH($B642,Students!$A$2:$A$301,0)),"Unknown student",IF(D642="","No status",IF(COUNTIFS($A$2:$A$1001,$A642,$B$2:$B$1001,$B642)&gt;1,"Duplicate",IF(AND(D642&lt;&gt;"Withdrawn",G642&lt;&gt;"",COUNTIFS($B$2:$B$1001,$B642,$G$2:$G$1001,G642,$D$2:$D$1001,"&lt;&gt;Withdrawn")&gt;1),"Same-day clash","OK"))))))</f>
        <v/>
      </c>
    </row>
    <row r="643" customFormat="false" ht="15" hidden="false" customHeight="false" outlineLevel="0" collapsed="false">
      <c r="E643" s="26"/>
      <c r="G643" s="23" t="str">
        <f aca="false">IF($A643="","",IFERROR(IF(INDEX(Activities!$C$2:$C$201,MATCH($A643,Activities!$A$2:$A$201,0))="","",INDEX(Activities!$C$2:$C$201,MATCH($A643,Activities!$A$2:$A$201,0))),""))</f>
        <v/>
      </c>
      <c r="H643" s="24" t="str">
        <f aca="false">IF($A643="","",IFERROR(IF(INDEX(Activities!$B$2:$B$201,MATCH($A643,Activities!$A$2:$A$201,0))="","",INDEX(Activities!$B$2:$B$201,MATCH($A643,Activities!$A$2:$A$201,0))),""))</f>
        <v/>
      </c>
      <c r="I643" s="24" t="str">
        <f aca="false">IF($B643="","",IFERROR(IF(INDEX(Students!$C$2:$C$301,MATCH($B643,Students!$A$2:$A$301,0))="","",INDEX(Students!$C$2:$C$301,MATCH($B643,Students!$A$2:$A$301,0))),""))</f>
        <v/>
      </c>
      <c r="J643" s="24" t="str">
        <f aca="false">IF($B643="","",IFERROR(IF(INDEX(Students!$B$2:$B$301,MATCH($B643,Students!$A$2:$A$301,0))="","",INDEX(Students!$B$2:$B$301,MATCH($B643,Students!$A$2:$A$301,0))),""))</f>
        <v/>
      </c>
      <c r="K643" s="25" t="str">
        <f aca="false">IF($A643="","",IF(D643="Withdrawn",0,IF(E643&lt;&gt;"",N(E643),IFERROR(N(INDEX(Activities!$I$2:$I$201,MATCH($A643,Activities!$A$2:$A$201,0))),0))))</f>
        <v/>
      </c>
      <c r="L643" s="24" t="str">
        <f aca="false">IF(AND($A643="",$B643=""),"",IF(ISNA(MATCH($A643,Activities!$A$2:$A$201,0)),"Unknown activity",IF(ISNA(MATCH($B643,Students!$A$2:$A$301,0)),"Unknown student",IF(D643="","No status",IF(COUNTIFS($A$2:$A$1001,$A643,$B$2:$B$1001,$B643)&gt;1,"Duplicate",IF(AND(D643&lt;&gt;"Withdrawn",G643&lt;&gt;"",COUNTIFS($B$2:$B$1001,$B643,$G$2:$G$1001,G643,$D$2:$D$1001,"&lt;&gt;Withdrawn")&gt;1),"Same-day clash","OK"))))))</f>
        <v/>
      </c>
    </row>
    <row r="644" customFormat="false" ht="15" hidden="false" customHeight="false" outlineLevel="0" collapsed="false">
      <c r="E644" s="26"/>
      <c r="G644" s="23" t="str">
        <f aca="false">IF($A644="","",IFERROR(IF(INDEX(Activities!$C$2:$C$201,MATCH($A644,Activities!$A$2:$A$201,0))="","",INDEX(Activities!$C$2:$C$201,MATCH($A644,Activities!$A$2:$A$201,0))),""))</f>
        <v/>
      </c>
      <c r="H644" s="24" t="str">
        <f aca="false">IF($A644="","",IFERROR(IF(INDEX(Activities!$B$2:$B$201,MATCH($A644,Activities!$A$2:$A$201,0))="","",INDEX(Activities!$B$2:$B$201,MATCH($A644,Activities!$A$2:$A$201,0))),""))</f>
        <v/>
      </c>
      <c r="I644" s="24" t="str">
        <f aca="false">IF($B644="","",IFERROR(IF(INDEX(Students!$C$2:$C$301,MATCH($B644,Students!$A$2:$A$301,0))="","",INDEX(Students!$C$2:$C$301,MATCH($B644,Students!$A$2:$A$301,0))),""))</f>
        <v/>
      </c>
      <c r="J644" s="24" t="str">
        <f aca="false">IF($B644="","",IFERROR(IF(INDEX(Students!$B$2:$B$301,MATCH($B644,Students!$A$2:$A$301,0))="","",INDEX(Students!$B$2:$B$301,MATCH($B644,Students!$A$2:$A$301,0))),""))</f>
        <v/>
      </c>
      <c r="K644" s="25" t="str">
        <f aca="false">IF($A644="","",IF(D644="Withdrawn",0,IF(E644&lt;&gt;"",N(E644),IFERROR(N(INDEX(Activities!$I$2:$I$201,MATCH($A644,Activities!$A$2:$A$201,0))),0))))</f>
        <v/>
      </c>
      <c r="L644" s="24" t="str">
        <f aca="false">IF(AND($A644="",$B644=""),"",IF(ISNA(MATCH($A644,Activities!$A$2:$A$201,0)),"Unknown activity",IF(ISNA(MATCH($B644,Students!$A$2:$A$301,0)),"Unknown student",IF(D644="","No status",IF(COUNTIFS($A$2:$A$1001,$A644,$B$2:$B$1001,$B644)&gt;1,"Duplicate",IF(AND(D644&lt;&gt;"Withdrawn",G644&lt;&gt;"",COUNTIFS($B$2:$B$1001,$B644,$G$2:$G$1001,G644,$D$2:$D$1001,"&lt;&gt;Withdrawn")&gt;1),"Same-day clash","OK"))))))</f>
        <v/>
      </c>
    </row>
    <row r="645" customFormat="false" ht="15" hidden="false" customHeight="false" outlineLevel="0" collapsed="false">
      <c r="E645" s="26"/>
      <c r="G645" s="23" t="str">
        <f aca="false">IF($A645="","",IFERROR(IF(INDEX(Activities!$C$2:$C$201,MATCH($A645,Activities!$A$2:$A$201,0))="","",INDEX(Activities!$C$2:$C$201,MATCH($A645,Activities!$A$2:$A$201,0))),""))</f>
        <v/>
      </c>
      <c r="H645" s="24" t="str">
        <f aca="false">IF($A645="","",IFERROR(IF(INDEX(Activities!$B$2:$B$201,MATCH($A645,Activities!$A$2:$A$201,0))="","",INDEX(Activities!$B$2:$B$201,MATCH($A645,Activities!$A$2:$A$201,0))),""))</f>
        <v/>
      </c>
      <c r="I645" s="24" t="str">
        <f aca="false">IF($B645="","",IFERROR(IF(INDEX(Students!$C$2:$C$301,MATCH($B645,Students!$A$2:$A$301,0))="","",INDEX(Students!$C$2:$C$301,MATCH($B645,Students!$A$2:$A$301,0))),""))</f>
        <v/>
      </c>
      <c r="J645" s="24" t="str">
        <f aca="false">IF($B645="","",IFERROR(IF(INDEX(Students!$B$2:$B$301,MATCH($B645,Students!$A$2:$A$301,0))="","",INDEX(Students!$B$2:$B$301,MATCH($B645,Students!$A$2:$A$301,0))),""))</f>
        <v/>
      </c>
      <c r="K645" s="25" t="str">
        <f aca="false">IF($A645="","",IF(D645="Withdrawn",0,IF(E645&lt;&gt;"",N(E645),IFERROR(N(INDEX(Activities!$I$2:$I$201,MATCH($A645,Activities!$A$2:$A$201,0))),0))))</f>
        <v/>
      </c>
      <c r="L645" s="24" t="str">
        <f aca="false">IF(AND($A645="",$B645=""),"",IF(ISNA(MATCH($A645,Activities!$A$2:$A$201,0)),"Unknown activity",IF(ISNA(MATCH($B645,Students!$A$2:$A$301,0)),"Unknown student",IF(D645="","No status",IF(COUNTIFS($A$2:$A$1001,$A645,$B$2:$B$1001,$B645)&gt;1,"Duplicate",IF(AND(D645&lt;&gt;"Withdrawn",G645&lt;&gt;"",COUNTIFS($B$2:$B$1001,$B645,$G$2:$G$1001,G645,$D$2:$D$1001,"&lt;&gt;Withdrawn")&gt;1),"Same-day clash","OK"))))))</f>
        <v/>
      </c>
    </row>
    <row r="646" customFormat="false" ht="15" hidden="false" customHeight="false" outlineLevel="0" collapsed="false">
      <c r="E646" s="26"/>
      <c r="G646" s="23" t="str">
        <f aca="false">IF($A646="","",IFERROR(IF(INDEX(Activities!$C$2:$C$201,MATCH($A646,Activities!$A$2:$A$201,0))="","",INDEX(Activities!$C$2:$C$201,MATCH($A646,Activities!$A$2:$A$201,0))),""))</f>
        <v/>
      </c>
      <c r="H646" s="24" t="str">
        <f aca="false">IF($A646="","",IFERROR(IF(INDEX(Activities!$B$2:$B$201,MATCH($A646,Activities!$A$2:$A$201,0))="","",INDEX(Activities!$B$2:$B$201,MATCH($A646,Activities!$A$2:$A$201,0))),""))</f>
        <v/>
      </c>
      <c r="I646" s="24" t="str">
        <f aca="false">IF($B646="","",IFERROR(IF(INDEX(Students!$C$2:$C$301,MATCH($B646,Students!$A$2:$A$301,0))="","",INDEX(Students!$C$2:$C$301,MATCH($B646,Students!$A$2:$A$301,0))),""))</f>
        <v/>
      </c>
      <c r="J646" s="24" t="str">
        <f aca="false">IF($B646="","",IFERROR(IF(INDEX(Students!$B$2:$B$301,MATCH($B646,Students!$A$2:$A$301,0))="","",INDEX(Students!$B$2:$B$301,MATCH($B646,Students!$A$2:$A$301,0))),""))</f>
        <v/>
      </c>
      <c r="K646" s="25" t="str">
        <f aca="false">IF($A646="","",IF(D646="Withdrawn",0,IF(E646&lt;&gt;"",N(E646),IFERROR(N(INDEX(Activities!$I$2:$I$201,MATCH($A646,Activities!$A$2:$A$201,0))),0))))</f>
        <v/>
      </c>
      <c r="L646" s="24" t="str">
        <f aca="false">IF(AND($A646="",$B646=""),"",IF(ISNA(MATCH($A646,Activities!$A$2:$A$201,0)),"Unknown activity",IF(ISNA(MATCH($B646,Students!$A$2:$A$301,0)),"Unknown student",IF(D646="","No status",IF(COUNTIFS($A$2:$A$1001,$A646,$B$2:$B$1001,$B646)&gt;1,"Duplicate",IF(AND(D646&lt;&gt;"Withdrawn",G646&lt;&gt;"",COUNTIFS($B$2:$B$1001,$B646,$G$2:$G$1001,G646,$D$2:$D$1001,"&lt;&gt;Withdrawn")&gt;1),"Same-day clash","OK"))))))</f>
        <v/>
      </c>
    </row>
    <row r="647" customFormat="false" ht="15" hidden="false" customHeight="false" outlineLevel="0" collapsed="false">
      <c r="E647" s="26"/>
      <c r="G647" s="23" t="str">
        <f aca="false">IF($A647="","",IFERROR(IF(INDEX(Activities!$C$2:$C$201,MATCH($A647,Activities!$A$2:$A$201,0))="","",INDEX(Activities!$C$2:$C$201,MATCH($A647,Activities!$A$2:$A$201,0))),""))</f>
        <v/>
      </c>
      <c r="H647" s="24" t="str">
        <f aca="false">IF($A647="","",IFERROR(IF(INDEX(Activities!$B$2:$B$201,MATCH($A647,Activities!$A$2:$A$201,0))="","",INDEX(Activities!$B$2:$B$201,MATCH($A647,Activities!$A$2:$A$201,0))),""))</f>
        <v/>
      </c>
      <c r="I647" s="24" t="str">
        <f aca="false">IF($B647="","",IFERROR(IF(INDEX(Students!$C$2:$C$301,MATCH($B647,Students!$A$2:$A$301,0))="","",INDEX(Students!$C$2:$C$301,MATCH($B647,Students!$A$2:$A$301,0))),""))</f>
        <v/>
      </c>
      <c r="J647" s="24" t="str">
        <f aca="false">IF($B647="","",IFERROR(IF(INDEX(Students!$B$2:$B$301,MATCH($B647,Students!$A$2:$A$301,0))="","",INDEX(Students!$B$2:$B$301,MATCH($B647,Students!$A$2:$A$301,0))),""))</f>
        <v/>
      </c>
      <c r="K647" s="25" t="str">
        <f aca="false">IF($A647="","",IF(D647="Withdrawn",0,IF(E647&lt;&gt;"",N(E647),IFERROR(N(INDEX(Activities!$I$2:$I$201,MATCH($A647,Activities!$A$2:$A$201,0))),0))))</f>
        <v/>
      </c>
      <c r="L647" s="24" t="str">
        <f aca="false">IF(AND($A647="",$B647=""),"",IF(ISNA(MATCH($A647,Activities!$A$2:$A$201,0)),"Unknown activity",IF(ISNA(MATCH($B647,Students!$A$2:$A$301,0)),"Unknown student",IF(D647="","No status",IF(COUNTIFS($A$2:$A$1001,$A647,$B$2:$B$1001,$B647)&gt;1,"Duplicate",IF(AND(D647&lt;&gt;"Withdrawn",G647&lt;&gt;"",COUNTIFS($B$2:$B$1001,$B647,$G$2:$G$1001,G647,$D$2:$D$1001,"&lt;&gt;Withdrawn")&gt;1),"Same-day clash","OK"))))))</f>
        <v/>
      </c>
    </row>
    <row r="648" customFormat="false" ht="15" hidden="false" customHeight="false" outlineLevel="0" collapsed="false">
      <c r="E648" s="26"/>
      <c r="G648" s="23" t="str">
        <f aca="false">IF($A648="","",IFERROR(IF(INDEX(Activities!$C$2:$C$201,MATCH($A648,Activities!$A$2:$A$201,0))="","",INDEX(Activities!$C$2:$C$201,MATCH($A648,Activities!$A$2:$A$201,0))),""))</f>
        <v/>
      </c>
      <c r="H648" s="24" t="str">
        <f aca="false">IF($A648="","",IFERROR(IF(INDEX(Activities!$B$2:$B$201,MATCH($A648,Activities!$A$2:$A$201,0))="","",INDEX(Activities!$B$2:$B$201,MATCH($A648,Activities!$A$2:$A$201,0))),""))</f>
        <v/>
      </c>
      <c r="I648" s="24" t="str">
        <f aca="false">IF($B648="","",IFERROR(IF(INDEX(Students!$C$2:$C$301,MATCH($B648,Students!$A$2:$A$301,0))="","",INDEX(Students!$C$2:$C$301,MATCH($B648,Students!$A$2:$A$301,0))),""))</f>
        <v/>
      </c>
      <c r="J648" s="24" t="str">
        <f aca="false">IF($B648="","",IFERROR(IF(INDEX(Students!$B$2:$B$301,MATCH($B648,Students!$A$2:$A$301,0))="","",INDEX(Students!$B$2:$B$301,MATCH($B648,Students!$A$2:$A$301,0))),""))</f>
        <v/>
      </c>
      <c r="K648" s="25" t="str">
        <f aca="false">IF($A648="","",IF(D648="Withdrawn",0,IF(E648&lt;&gt;"",N(E648),IFERROR(N(INDEX(Activities!$I$2:$I$201,MATCH($A648,Activities!$A$2:$A$201,0))),0))))</f>
        <v/>
      </c>
      <c r="L648" s="24" t="str">
        <f aca="false">IF(AND($A648="",$B648=""),"",IF(ISNA(MATCH($A648,Activities!$A$2:$A$201,0)),"Unknown activity",IF(ISNA(MATCH($B648,Students!$A$2:$A$301,0)),"Unknown student",IF(D648="","No status",IF(COUNTIFS($A$2:$A$1001,$A648,$B$2:$B$1001,$B648)&gt;1,"Duplicate",IF(AND(D648&lt;&gt;"Withdrawn",G648&lt;&gt;"",COUNTIFS($B$2:$B$1001,$B648,$G$2:$G$1001,G648,$D$2:$D$1001,"&lt;&gt;Withdrawn")&gt;1),"Same-day clash","OK"))))))</f>
        <v/>
      </c>
    </row>
    <row r="649" customFormat="false" ht="15" hidden="false" customHeight="false" outlineLevel="0" collapsed="false">
      <c r="E649" s="26"/>
      <c r="G649" s="23" t="str">
        <f aca="false">IF($A649="","",IFERROR(IF(INDEX(Activities!$C$2:$C$201,MATCH($A649,Activities!$A$2:$A$201,0))="","",INDEX(Activities!$C$2:$C$201,MATCH($A649,Activities!$A$2:$A$201,0))),""))</f>
        <v/>
      </c>
      <c r="H649" s="24" t="str">
        <f aca="false">IF($A649="","",IFERROR(IF(INDEX(Activities!$B$2:$B$201,MATCH($A649,Activities!$A$2:$A$201,0))="","",INDEX(Activities!$B$2:$B$201,MATCH($A649,Activities!$A$2:$A$201,0))),""))</f>
        <v/>
      </c>
      <c r="I649" s="24" t="str">
        <f aca="false">IF($B649="","",IFERROR(IF(INDEX(Students!$C$2:$C$301,MATCH($B649,Students!$A$2:$A$301,0))="","",INDEX(Students!$C$2:$C$301,MATCH($B649,Students!$A$2:$A$301,0))),""))</f>
        <v/>
      </c>
      <c r="J649" s="24" t="str">
        <f aca="false">IF($B649="","",IFERROR(IF(INDEX(Students!$B$2:$B$301,MATCH($B649,Students!$A$2:$A$301,0))="","",INDEX(Students!$B$2:$B$301,MATCH($B649,Students!$A$2:$A$301,0))),""))</f>
        <v/>
      </c>
      <c r="K649" s="25" t="str">
        <f aca="false">IF($A649="","",IF(D649="Withdrawn",0,IF(E649&lt;&gt;"",N(E649),IFERROR(N(INDEX(Activities!$I$2:$I$201,MATCH($A649,Activities!$A$2:$A$201,0))),0))))</f>
        <v/>
      </c>
      <c r="L649" s="24" t="str">
        <f aca="false">IF(AND($A649="",$B649=""),"",IF(ISNA(MATCH($A649,Activities!$A$2:$A$201,0)),"Unknown activity",IF(ISNA(MATCH($B649,Students!$A$2:$A$301,0)),"Unknown student",IF(D649="","No status",IF(COUNTIFS($A$2:$A$1001,$A649,$B$2:$B$1001,$B649)&gt;1,"Duplicate",IF(AND(D649&lt;&gt;"Withdrawn",G649&lt;&gt;"",COUNTIFS($B$2:$B$1001,$B649,$G$2:$G$1001,G649,$D$2:$D$1001,"&lt;&gt;Withdrawn")&gt;1),"Same-day clash","OK"))))))</f>
        <v/>
      </c>
    </row>
    <row r="650" customFormat="false" ht="15" hidden="false" customHeight="false" outlineLevel="0" collapsed="false">
      <c r="E650" s="26"/>
      <c r="G650" s="23" t="str">
        <f aca="false">IF($A650="","",IFERROR(IF(INDEX(Activities!$C$2:$C$201,MATCH($A650,Activities!$A$2:$A$201,0))="","",INDEX(Activities!$C$2:$C$201,MATCH($A650,Activities!$A$2:$A$201,0))),""))</f>
        <v/>
      </c>
      <c r="H650" s="24" t="str">
        <f aca="false">IF($A650="","",IFERROR(IF(INDEX(Activities!$B$2:$B$201,MATCH($A650,Activities!$A$2:$A$201,0))="","",INDEX(Activities!$B$2:$B$201,MATCH($A650,Activities!$A$2:$A$201,0))),""))</f>
        <v/>
      </c>
      <c r="I650" s="24" t="str">
        <f aca="false">IF($B650="","",IFERROR(IF(INDEX(Students!$C$2:$C$301,MATCH($B650,Students!$A$2:$A$301,0))="","",INDEX(Students!$C$2:$C$301,MATCH($B650,Students!$A$2:$A$301,0))),""))</f>
        <v/>
      </c>
      <c r="J650" s="24" t="str">
        <f aca="false">IF($B650="","",IFERROR(IF(INDEX(Students!$B$2:$B$301,MATCH($B650,Students!$A$2:$A$301,0))="","",INDEX(Students!$B$2:$B$301,MATCH($B650,Students!$A$2:$A$301,0))),""))</f>
        <v/>
      </c>
      <c r="K650" s="25" t="str">
        <f aca="false">IF($A650="","",IF(D650="Withdrawn",0,IF(E650&lt;&gt;"",N(E650),IFERROR(N(INDEX(Activities!$I$2:$I$201,MATCH($A650,Activities!$A$2:$A$201,0))),0))))</f>
        <v/>
      </c>
      <c r="L650" s="24" t="str">
        <f aca="false">IF(AND($A650="",$B650=""),"",IF(ISNA(MATCH($A650,Activities!$A$2:$A$201,0)),"Unknown activity",IF(ISNA(MATCH($B650,Students!$A$2:$A$301,0)),"Unknown student",IF(D650="","No status",IF(COUNTIFS($A$2:$A$1001,$A650,$B$2:$B$1001,$B650)&gt;1,"Duplicate",IF(AND(D650&lt;&gt;"Withdrawn",G650&lt;&gt;"",COUNTIFS($B$2:$B$1001,$B650,$G$2:$G$1001,G650,$D$2:$D$1001,"&lt;&gt;Withdrawn")&gt;1),"Same-day clash","OK"))))))</f>
        <v/>
      </c>
    </row>
    <row r="651" customFormat="false" ht="15" hidden="false" customHeight="false" outlineLevel="0" collapsed="false">
      <c r="E651" s="26"/>
      <c r="G651" s="23" t="str">
        <f aca="false">IF($A651="","",IFERROR(IF(INDEX(Activities!$C$2:$C$201,MATCH($A651,Activities!$A$2:$A$201,0))="","",INDEX(Activities!$C$2:$C$201,MATCH($A651,Activities!$A$2:$A$201,0))),""))</f>
        <v/>
      </c>
      <c r="H651" s="24" t="str">
        <f aca="false">IF($A651="","",IFERROR(IF(INDEX(Activities!$B$2:$B$201,MATCH($A651,Activities!$A$2:$A$201,0))="","",INDEX(Activities!$B$2:$B$201,MATCH($A651,Activities!$A$2:$A$201,0))),""))</f>
        <v/>
      </c>
      <c r="I651" s="24" t="str">
        <f aca="false">IF($B651="","",IFERROR(IF(INDEX(Students!$C$2:$C$301,MATCH($B651,Students!$A$2:$A$301,0))="","",INDEX(Students!$C$2:$C$301,MATCH($B651,Students!$A$2:$A$301,0))),""))</f>
        <v/>
      </c>
      <c r="J651" s="24" t="str">
        <f aca="false">IF($B651="","",IFERROR(IF(INDEX(Students!$B$2:$B$301,MATCH($B651,Students!$A$2:$A$301,0))="","",INDEX(Students!$B$2:$B$301,MATCH($B651,Students!$A$2:$A$301,0))),""))</f>
        <v/>
      </c>
      <c r="K651" s="25" t="str">
        <f aca="false">IF($A651="","",IF(D651="Withdrawn",0,IF(E651&lt;&gt;"",N(E651),IFERROR(N(INDEX(Activities!$I$2:$I$201,MATCH($A651,Activities!$A$2:$A$201,0))),0))))</f>
        <v/>
      </c>
      <c r="L651" s="24" t="str">
        <f aca="false">IF(AND($A651="",$B651=""),"",IF(ISNA(MATCH($A651,Activities!$A$2:$A$201,0)),"Unknown activity",IF(ISNA(MATCH($B651,Students!$A$2:$A$301,0)),"Unknown student",IF(D651="","No status",IF(COUNTIFS($A$2:$A$1001,$A651,$B$2:$B$1001,$B651)&gt;1,"Duplicate",IF(AND(D651&lt;&gt;"Withdrawn",G651&lt;&gt;"",COUNTIFS($B$2:$B$1001,$B651,$G$2:$G$1001,G651,$D$2:$D$1001,"&lt;&gt;Withdrawn")&gt;1),"Same-day clash","OK"))))))</f>
        <v/>
      </c>
    </row>
    <row r="652" customFormat="false" ht="15" hidden="false" customHeight="false" outlineLevel="0" collapsed="false">
      <c r="E652" s="26"/>
      <c r="G652" s="23" t="str">
        <f aca="false">IF($A652="","",IFERROR(IF(INDEX(Activities!$C$2:$C$201,MATCH($A652,Activities!$A$2:$A$201,0))="","",INDEX(Activities!$C$2:$C$201,MATCH($A652,Activities!$A$2:$A$201,0))),""))</f>
        <v/>
      </c>
      <c r="H652" s="24" t="str">
        <f aca="false">IF($A652="","",IFERROR(IF(INDEX(Activities!$B$2:$B$201,MATCH($A652,Activities!$A$2:$A$201,0))="","",INDEX(Activities!$B$2:$B$201,MATCH($A652,Activities!$A$2:$A$201,0))),""))</f>
        <v/>
      </c>
      <c r="I652" s="24" t="str">
        <f aca="false">IF($B652="","",IFERROR(IF(INDEX(Students!$C$2:$C$301,MATCH($B652,Students!$A$2:$A$301,0))="","",INDEX(Students!$C$2:$C$301,MATCH($B652,Students!$A$2:$A$301,0))),""))</f>
        <v/>
      </c>
      <c r="J652" s="24" t="str">
        <f aca="false">IF($B652="","",IFERROR(IF(INDEX(Students!$B$2:$B$301,MATCH($B652,Students!$A$2:$A$301,0))="","",INDEX(Students!$B$2:$B$301,MATCH($B652,Students!$A$2:$A$301,0))),""))</f>
        <v/>
      </c>
      <c r="K652" s="25" t="str">
        <f aca="false">IF($A652="","",IF(D652="Withdrawn",0,IF(E652&lt;&gt;"",N(E652),IFERROR(N(INDEX(Activities!$I$2:$I$201,MATCH($A652,Activities!$A$2:$A$201,0))),0))))</f>
        <v/>
      </c>
      <c r="L652" s="24" t="str">
        <f aca="false">IF(AND($A652="",$B652=""),"",IF(ISNA(MATCH($A652,Activities!$A$2:$A$201,0)),"Unknown activity",IF(ISNA(MATCH($B652,Students!$A$2:$A$301,0)),"Unknown student",IF(D652="","No status",IF(COUNTIFS($A$2:$A$1001,$A652,$B$2:$B$1001,$B652)&gt;1,"Duplicate",IF(AND(D652&lt;&gt;"Withdrawn",G652&lt;&gt;"",COUNTIFS($B$2:$B$1001,$B652,$G$2:$G$1001,G652,$D$2:$D$1001,"&lt;&gt;Withdrawn")&gt;1),"Same-day clash","OK"))))))</f>
        <v/>
      </c>
    </row>
    <row r="653" customFormat="false" ht="15" hidden="false" customHeight="false" outlineLevel="0" collapsed="false">
      <c r="E653" s="26"/>
      <c r="G653" s="23" t="str">
        <f aca="false">IF($A653="","",IFERROR(IF(INDEX(Activities!$C$2:$C$201,MATCH($A653,Activities!$A$2:$A$201,0))="","",INDEX(Activities!$C$2:$C$201,MATCH($A653,Activities!$A$2:$A$201,0))),""))</f>
        <v/>
      </c>
      <c r="H653" s="24" t="str">
        <f aca="false">IF($A653="","",IFERROR(IF(INDEX(Activities!$B$2:$B$201,MATCH($A653,Activities!$A$2:$A$201,0))="","",INDEX(Activities!$B$2:$B$201,MATCH($A653,Activities!$A$2:$A$201,0))),""))</f>
        <v/>
      </c>
      <c r="I653" s="24" t="str">
        <f aca="false">IF($B653="","",IFERROR(IF(INDEX(Students!$C$2:$C$301,MATCH($B653,Students!$A$2:$A$301,0))="","",INDEX(Students!$C$2:$C$301,MATCH($B653,Students!$A$2:$A$301,0))),""))</f>
        <v/>
      </c>
      <c r="J653" s="24" t="str">
        <f aca="false">IF($B653="","",IFERROR(IF(INDEX(Students!$B$2:$B$301,MATCH($B653,Students!$A$2:$A$301,0))="","",INDEX(Students!$B$2:$B$301,MATCH($B653,Students!$A$2:$A$301,0))),""))</f>
        <v/>
      </c>
      <c r="K653" s="25" t="str">
        <f aca="false">IF($A653="","",IF(D653="Withdrawn",0,IF(E653&lt;&gt;"",N(E653),IFERROR(N(INDEX(Activities!$I$2:$I$201,MATCH($A653,Activities!$A$2:$A$201,0))),0))))</f>
        <v/>
      </c>
      <c r="L653" s="24" t="str">
        <f aca="false">IF(AND($A653="",$B653=""),"",IF(ISNA(MATCH($A653,Activities!$A$2:$A$201,0)),"Unknown activity",IF(ISNA(MATCH($B653,Students!$A$2:$A$301,0)),"Unknown student",IF(D653="","No status",IF(COUNTIFS($A$2:$A$1001,$A653,$B$2:$B$1001,$B653)&gt;1,"Duplicate",IF(AND(D653&lt;&gt;"Withdrawn",G653&lt;&gt;"",COUNTIFS($B$2:$B$1001,$B653,$G$2:$G$1001,G653,$D$2:$D$1001,"&lt;&gt;Withdrawn")&gt;1),"Same-day clash","OK"))))))</f>
        <v/>
      </c>
    </row>
    <row r="654" customFormat="false" ht="15" hidden="false" customHeight="false" outlineLevel="0" collapsed="false">
      <c r="E654" s="26"/>
      <c r="G654" s="23" t="str">
        <f aca="false">IF($A654="","",IFERROR(IF(INDEX(Activities!$C$2:$C$201,MATCH($A654,Activities!$A$2:$A$201,0))="","",INDEX(Activities!$C$2:$C$201,MATCH($A654,Activities!$A$2:$A$201,0))),""))</f>
        <v/>
      </c>
      <c r="H654" s="24" t="str">
        <f aca="false">IF($A654="","",IFERROR(IF(INDEX(Activities!$B$2:$B$201,MATCH($A654,Activities!$A$2:$A$201,0))="","",INDEX(Activities!$B$2:$B$201,MATCH($A654,Activities!$A$2:$A$201,0))),""))</f>
        <v/>
      </c>
      <c r="I654" s="24" t="str">
        <f aca="false">IF($B654="","",IFERROR(IF(INDEX(Students!$C$2:$C$301,MATCH($B654,Students!$A$2:$A$301,0))="","",INDEX(Students!$C$2:$C$301,MATCH($B654,Students!$A$2:$A$301,0))),""))</f>
        <v/>
      </c>
      <c r="J654" s="24" t="str">
        <f aca="false">IF($B654="","",IFERROR(IF(INDEX(Students!$B$2:$B$301,MATCH($B654,Students!$A$2:$A$301,0))="","",INDEX(Students!$B$2:$B$301,MATCH($B654,Students!$A$2:$A$301,0))),""))</f>
        <v/>
      </c>
      <c r="K654" s="25" t="str">
        <f aca="false">IF($A654="","",IF(D654="Withdrawn",0,IF(E654&lt;&gt;"",N(E654),IFERROR(N(INDEX(Activities!$I$2:$I$201,MATCH($A654,Activities!$A$2:$A$201,0))),0))))</f>
        <v/>
      </c>
      <c r="L654" s="24" t="str">
        <f aca="false">IF(AND($A654="",$B654=""),"",IF(ISNA(MATCH($A654,Activities!$A$2:$A$201,0)),"Unknown activity",IF(ISNA(MATCH($B654,Students!$A$2:$A$301,0)),"Unknown student",IF(D654="","No status",IF(COUNTIFS($A$2:$A$1001,$A654,$B$2:$B$1001,$B654)&gt;1,"Duplicate",IF(AND(D654&lt;&gt;"Withdrawn",G654&lt;&gt;"",COUNTIFS($B$2:$B$1001,$B654,$G$2:$G$1001,G654,$D$2:$D$1001,"&lt;&gt;Withdrawn")&gt;1),"Same-day clash","OK"))))))</f>
        <v/>
      </c>
    </row>
    <row r="655" customFormat="false" ht="15" hidden="false" customHeight="false" outlineLevel="0" collapsed="false">
      <c r="E655" s="26"/>
      <c r="G655" s="23" t="str">
        <f aca="false">IF($A655="","",IFERROR(IF(INDEX(Activities!$C$2:$C$201,MATCH($A655,Activities!$A$2:$A$201,0))="","",INDEX(Activities!$C$2:$C$201,MATCH($A655,Activities!$A$2:$A$201,0))),""))</f>
        <v/>
      </c>
      <c r="H655" s="24" t="str">
        <f aca="false">IF($A655="","",IFERROR(IF(INDEX(Activities!$B$2:$B$201,MATCH($A655,Activities!$A$2:$A$201,0))="","",INDEX(Activities!$B$2:$B$201,MATCH($A655,Activities!$A$2:$A$201,0))),""))</f>
        <v/>
      </c>
      <c r="I655" s="24" t="str">
        <f aca="false">IF($B655="","",IFERROR(IF(INDEX(Students!$C$2:$C$301,MATCH($B655,Students!$A$2:$A$301,0))="","",INDEX(Students!$C$2:$C$301,MATCH($B655,Students!$A$2:$A$301,0))),""))</f>
        <v/>
      </c>
      <c r="J655" s="24" t="str">
        <f aca="false">IF($B655="","",IFERROR(IF(INDEX(Students!$B$2:$B$301,MATCH($B655,Students!$A$2:$A$301,0))="","",INDEX(Students!$B$2:$B$301,MATCH($B655,Students!$A$2:$A$301,0))),""))</f>
        <v/>
      </c>
      <c r="K655" s="25" t="str">
        <f aca="false">IF($A655="","",IF(D655="Withdrawn",0,IF(E655&lt;&gt;"",N(E655),IFERROR(N(INDEX(Activities!$I$2:$I$201,MATCH($A655,Activities!$A$2:$A$201,0))),0))))</f>
        <v/>
      </c>
      <c r="L655" s="24" t="str">
        <f aca="false">IF(AND($A655="",$B655=""),"",IF(ISNA(MATCH($A655,Activities!$A$2:$A$201,0)),"Unknown activity",IF(ISNA(MATCH($B655,Students!$A$2:$A$301,0)),"Unknown student",IF(D655="","No status",IF(COUNTIFS($A$2:$A$1001,$A655,$B$2:$B$1001,$B655)&gt;1,"Duplicate",IF(AND(D655&lt;&gt;"Withdrawn",G655&lt;&gt;"",COUNTIFS($B$2:$B$1001,$B655,$G$2:$G$1001,G655,$D$2:$D$1001,"&lt;&gt;Withdrawn")&gt;1),"Same-day clash","OK"))))))</f>
        <v/>
      </c>
    </row>
    <row r="656" customFormat="false" ht="15" hidden="false" customHeight="false" outlineLevel="0" collapsed="false">
      <c r="E656" s="26"/>
      <c r="G656" s="23" t="str">
        <f aca="false">IF($A656="","",IFERROR(IF(INDEX(Activities!$C$2:$C$201,MATCH($A656,Activities!$A$2:$A$201,0))="","",INDEX(Activities!$C$2:$C$201,MATCH($A656,Activities!$A$2:$A$201,0))),""))</f>
        <v/>
      </c>
      <c r="H656" s="24" t="str">
        <f aca="false">IF($A656="","",IFERROR(IF(INDEX(Activities!$B$2:$B$201,MATCH($A656,Activities!$A$2:$A$201,0))="","",INDEX(Activities!$B$2:$B$201,MATCH($A656,Activities!$A$2:$A$201,0))),""))</f>
        <v/>
      </c>
      <c r="I656" s="24" t="str">
        <f aca="false">IF($B656="","",IFERROR(IF(INDEX(Students!$C$2:$C$301,MATCH($B656,Students!$A$2:$A$301,0))="","",INDEX(Students!$C$2:$C$301,MATCH($B656,Students!$A$2:$A$301,0))),""))</f>
        <v/>
      </c>
      <c r="J656" s="24" t="str">
        <f aca="false">IF($B656="","",IFERROR(IF(INDEX(Students!$B$2:$B$301,MATCH($B656,Students!$A$2:$A$301,0))="","",INDEX(Students!$B$2:$B$301,MATCH($B656,Students!$A$2:$A$301,0))),""))</f>
        <v/>
      </c>
      <c r="K656" s="25" t="str">
        <f aca="false">IF($A656="","",IF(D656="Withdrawn",0,IF(E656&lt;&gt;"",N(E656),IFERROR(N(INDEX(Activities!$I$2:$I$201,MATCH($A656,Activities!$A$2:$A$201,0))),0))))</f>
        <v/>
      </c>
      <c r="L656" s="24" t="str">
        <f aca="false">IF(AND($A656="",$B656=""),"",IF(ISNA(MATCH($A656,Activities!$A$2:$A$201,0)),"Unknown activity",IF(ISNA(MATCH($B656,Students!$A$2:$A$301,0)),"Unknown student",IF(D656="","No status",IF(COUNTIFS($A$2:$A$1001,$A656,$B$2:$B$1001,$B656)&gt;1,"Duplicate",IF(AND(D656&lt;&gt;"Withdrawn",G656&lt;&gt;"",COUNTIFS($B$2:$B$1001,$B656,$G$2:$G$1001,G656,$D$2:$D$1001,"&lt;&gt;Withdrawn")&gt;1),"Same-day clash","OK"))))))</f>
        <v/>
      </c>
    </row>
    <row r="657" customFormat="false" ht="15" hidden="false" customHeight="false" outlineLevel="0" collapsed="false">
      <c r="E657" s="26"/>
      <c r="G657" s="23" t="str">
        <f aca="false">IF($A657="","",IFERROR(IF(INDEX(Activities!$C$2:$C$201,MATCH($A657,Activities!$A$2:$A$201,0))="","",INDEX(Activities!$C$2:$C$201,MATCH($A657,Activities!$A$2:$A$201,0))),""))</f>
        <v/>
      </c>
      <c r="H657" s="24" t="str">
        <f aca="false">IF($A657="","",IFERROR(IF(INDEX(Activities!$B$2:$B$201,MATCH($A657,Activities!$A$2:$A$201,0))="","",INDEX(Activities!$B$2:$B$201,MATCH($A657,Activities!$A$2:$A$201,0))),""))</f>
        <v/>
      </c>
      <c r="I657" s="24" t="str">
        <f aca="false">IF($B657="","",IFERROR(IF(INDEX(Students!$C$2:$C$301,MATCH($B657,Students!$A$2:$A$301,0))="","",INDEX(Students!$C$2:$C$301,MATCH($B657,Students!$A$2:$A$301,0))),""))</f>
        <v/>
      </c>
      <c r="J657" s="24" t="str">
        <f aca="false">IF($B657="","",IFERROR(IF(INDEX(Students!$B$2:$B$301,MATCH($B657,Students!$A$2:$A$301,0))="","",INDEX(Students!$B$2:$B$301,MATCH($B657,Students!$A$2:$A$301,0))),""))</f>
        <v/>
      </c>
      <c r="K657" s="25" t="str">
        <f aca="false">IF($A657="","",IF(D657="Withdrawn",0,IF(E657&lt;&gt;"",N(E657),IFERROR(N(INDEX(Activities!$I$2:$I$201,MATCH($A657,Activities!$A$2:$A$201,0))),0))))</f>
        <v/>
      </c>
      <c r="L657" s="24" t="str">
        <f aca="false">IF(AND($A657="",$B657=""),"",IF(ISNA(MATCH($A657,Activities!$A$2:$A$201,0)),"Unknown activity",IF(ISNA(MATCH($B657,Students!$A$2:$A$301,0)),"Unknown student",IF(D657="","No status",IF(COUNTIFS($A$2:$A$1001,$A657,$B$2:$B$1001,$B657)&gt;1,"Duplicate",IF(AND(D657&lt;&gt;"Withdrawn",G657&lt;&gt;"",COUNTIFS($B$2:$B$1001,$B657,$G$2:$G$1001,G657,$D$2:$D$1001,"&lt;&gt;Withdrawn")&gt;1),"Same-day clash","OK"))))))</f>
        <v/>
      </c>
    </row>
    <row r="658" customFormat="false" ht="15" hidden="false" customHeight="false" outlineLevel="0" collapsed="false">
      <c r="E658" s="26"/>
      <c r="G658" s="23" t="str">
        <f aca="false">IF($A658="","",IFERROR(IF(INDEX(Activities!$C$2:$C$201,MATCH($A658,Activities!$A$2:$A$201,0))="","",INDEX(Activities!$C$2:$C$201,MATCH($A658,Activities!$A$2:$A$201,0))),""))</f>
        <v/>
      </c>
      <c r="H658" s="24" t="str">
        <f aca="false">IF($A658="","",IFERROR(IF(INDEX(Activities!$B$2:$B$201,MATCH($A658,Activities!$A$2:$A$201,0))="","",INDEX(Activities!$B$2:$B$201,MATCH($A658,Activities!$A$2:$A$201,0))),""))</f>
        <v/>
      </c>
      <c r="I658" s="24" t="str">
        <f aca="false">IF($B658="","",IFERROR(IF(INDEX(Students!$C$2:$C$301,MATCH($B658,Students!$A$2:$A$301,0))="","",INDEX(Students!$C$2:$C$301,MATCH($B658,Students!$A$2:$A$301,0))),""))</f>
        <v/>
      </c>
      <c r="J658" s="24" t="str">
        <f aca="false">IF($B658="","",IFERROR(IF(INDEX(Students!$B$2:$B$301,MATCH($B658,Students!$A$2:$A$301,0))="","",INDEX(Students!$B$2:$B$301,MATCH($B658,Students!$A$2:$A$301,0))),""))</f>
        <v/>
      </c>
      <c r="K658" s="25" t="str">
        <f aca="false">IF($A658="","",IF(D658="Withdrawn",0,IF(E658&lt;&gt;"",N(E658),IFERROR(N(INDEX(Activities!$I$2:$I$201,MATCH($A658,Activities!$A$2:$A$201,0))),0))))</f>
        <v/>
      </c>
      <c r="L658" s="24" t="str">
        <f aca="false">IF(AND($A658="",$B658=""),"",IF(ISNA(MATCH($A658,Activities!$A$2:$A$201,0)),"Unknown activity",IF(ISNA(MATCH($B658,Students!$A$2:$A$301,0)),"Unknown student",IF(D658="","No status",IF(COUNTIFS($A$2:$A$1001,$A658,$B$2:$B$1001,$B658)&gt;1,"Duplicate",IF(AND(D658&lt;&gt;"Withdrawn",G658&lt;&gt;"",COUNTIFS($B$2:$B$1001,$B658,$G$2:$G$1001,G658,$D$2:$D$1001,"&lt;&gt;Withdrawn")&gt;1),"Same-day clash","OK"))))))</f>
        <v/>
      </c>
    </row>
    <row r="659" customFormat="false" ht="15" hidden="false" customHeight="false" outlineLevel="0" collapsed="false">
      <c r="E659" s="26"/>
      <c r="G659" s="23" t="str">
        <f aca="false">IF($A659="","",IFERROR(IF(INDEX(Activities!$C$2:$C$201,MATCH($A659,Activities!$A$2:$A$201,0))="","",INDEX(Activities!$C$2:$C$201,MATCH($A659,Activities!$A$2:$A$201,0))),""))</f>
        <v/>
      </c>
      <c r="H659" s="24" t="str">
        <f aca="false">IF($A659="","",IFERROR(IF(INDEX(Activities!$B$2:$B$201,MATCH($A659,Activities!$A$2:$A$201,0))="","",INDEX(Activities!$B$2:$B$201,MATCH($A659,Activities!$A$2:$A$201,0))),""))</f>
        <v/>
      </c>
      <c r="I659" s="24" t="str">
        <f aca="false">IF($B659="","",IFERROR(IF(INDEX(Students!$C$2:$C$301,MATCH($B659,Students!$A$2:$A$301,0))="","",INDEX(Students!$C$2:$C$301,MATCH($B659,Students!$A$2:$A$301,0))),""))</f>
        <v/>
      </c>
      <c r="J659" s="24" t="str">
        <f aca="false">IF($B659="","",IFERROR(IF(INDEX(Students!$B$2:$B$301,MATCH($B659,Students!$A$2:$A$301,0))="","",INDEX(Students!$B$2:$B$301,MATCH($B659,Students!$A$2:$A$301,0))),""))</f>
        <v/>
      </c>
      <c r="K659" s="25" t="str">
        <f aca="false">IF($A659="","",IF(D659="Withdrawn",0,IF(E659&lt;&gt;"",N(E659),IFERROR(N(INDEX(Activities!$I$2:$I$201,MATCH($A659,Activities!$A$2:$A$201,0))),0))))</f>
        <v/>
      </c>
      <c r="L659" s="24" t="str">
        <f aca="false">IF(AND($A659="",$B659=""),"",IF(ISNA(MATCH($A659,Activities!$A$2:$A$201,0)),"Unknown activity",IF(ISNA(MATCH($B659,Students!$A$2:$A$301,0)),"Unknown student",IF(D659="","No status",IF(COUNTIFS($A$2:$A$1001,$A659,$B$2:$B$1001,$B659)&gt;1,"Duplicate",IF(AND(D659&lt;&gt;"Withdrawn",G659&lt;&gt;"",COUNTIFS($B$2:$B$1001,$B659,$G$2:$G$1001,G659,$D$2:$D$1001,"&lt;&gt;Withdrawn")&gt;1),"Same-day clash","OK"))))))</f>
        <v/>
      </c>
    </row>
    <row r="660" customFormat="false" ht="15" hidden="false" customHeight="false" outlineLevel="0" collapsed="false">
      <c r="E660" s="26"/>
      <c r="G660" s="23" t="str">
        <f aca="false">IF($A660="","",IFERROR(IF(INDEX(Activities!$C$2:$C$201,MATCH($A660,Activities!$A$2:$A$201,0))="","",INDEX(Activities!$C$2:$C$201,MATCH($A660,Activities!$A$2:$A$201,0))),""))</f>
        <v/>
      </c>
      <c r="H660" s="24" t="str">
        <f aca="false">IF($A660="","",IFERROR(IF(INDEX(Activities!$B$2:$B$201,MATCH($A660,Activities!$A$2:$A$201,0))="","",INDEX(Activities!$B$2:$B$201,MATCH($A660,Activities!$A$2:$A$201,0))),""))</f>
        <v/>
      </c>
      <c r="I660" s="24" t="str">
        <f aca="false">IF($B660="","",IFERROR(IF(INDEX(Students!$C$2:$C$301,MATCH($B660,Students!$A$2:$A$301,0))="","",INDEX(Students!$C$2:$C$301,MATCH($B660,Students!$A$2:$A$301,0))),""))</f>
        <v/>
      </c>
      <c r="J660" s="24" t="str">
        <f aca="false">IF($B660="","",IFERROR(IF(INDEX(Students!$B$2:$B$301,MATCH($B660,Students!$A$2:$A$301,0))="","",INDEX(Students!$B$2:$B$301,MATCH($B660,Students!$A$2:$A$301,0))),""))</f>
        <v/>
      </c>
      <c r="K660" s="25" t="str">
        <f aca="false">IF($A660="","",IF(D660="Withdrawn",0,IF(E660&lt;&gt;"",N(E660),IFERROR(N(INDEX(Activities!$I$2:$I$201,MATCH($A660,Activities!$A$2:$A$201,0))),0))))</f>
        <v/>
      </c>
      <c r="L660" s="24" t="str">
        <f aca="false">IF(AND($A660="",$B660=""),"",IF(ISNA(MATCH($A660,Activities!$A$2:$A$201,0)),"Unknown activity",IF(ISNA(MATCH($B660,Students!$A$2:$A$301,0)),"Unknown student",IF(D660="","No status",IF(COUNTIFS($A$2:$A$1001,$A660,$B$2:$B$1001,$B660)&gt;1,"Duplicate",IF(AND(D660&lt;&gt;"Withdrawn",G660&lt;&gt;"",COUNTIFS($B$2:$B$1001,$B660,$G$2:$G$1001,G660,$D$2:$D$1001,"&lt;&gt;Withdrawn")&gt;1),"Same-day clash","OK"))))))</f>
        <v/>
      </c>
    </row>
    <row r="661" customFormat="false" ht="15" hidden="false" customHeight="false" outlineLevel="0" collapsed="false">
      <c r="E661" s="26"/>
      <c r="G661" s="23" t="str">
        <f aca="false">IF($A661="","",IFERROR(IF(INDEX(Activities!$C$2:$C$201,MATCH($A661,Activities!$A$2:$A$201,0))="","",INDEX(Activities!$C$2:$C$201,MATCH($A661,Activities!$A$2:$A$201,0))),""))</f>
        <v/>
      </c>
      <c r="H661" s="24" t="str">
        <f aca="false">IF($A661="","",IFERROR(IF(INDEX(Activities!$B$2:$B$201,MATCH($A661,Activities!$A$2:$A$201,0))="","",INDEX(Activities!$B$2:$B$201,MATCH($A661,Activities!$A$2:$A$201,0))),""))</f>
        <v/>
      </c>
      <c r="I661" s="24" t="str">
        <f aca="false">IF($B661="","",IFERROR(IF(INDEX(Students!$C$2:$C$301,MATCH($B661,Students!$A$2:$A$301,0))="","",INDEX(Students!$C$2:$C$301,MATCH($B661,Students!$A$2:$A$301,0))),""))</f>
        <v/>
      </c>
      <c r="J661" s="24" t="str">
        <f aca="false">IF($B661="","",IFERROR(IF(INDEX(Students!$B$2:$B$301,MATCH($B661,Students!$A$2:$A$301,0))="","",INDEX(Students!$B$2:$B$301,MATCH($B661,Students!$A$2:$A$301,0))),""))</f>
        <v/>
      </c>
      <c r="K661" s="25" t="str">
        <f aca="false">IF($A661="","",IF(D661="Withdrawn",0,IF(E661&lt;&gt;"",N(E661),IFERROR(N(INDEX(Activities!$I$2:$I$201,MATCH($A661,Activities!$A$2:$A$201,0))),0))))</f>
        <v/>
      </c>
      <c r="L661" s="24" t="str">
        <f aca="false">IF(AND($A661="",$B661=""),"",IF(ISNA(MATCH($A661,Activities!$A$2:$A$201,0)),"Unknown activity",IF(ISNA(MATCH($B661,Students!$A$2:$A$301,0)),"Unknown student",IF(D661="","No status",IF(COUNTIFS($A$2:$A$1001,$A661,$B$2:$B$1001,$B661)&gt;1,"Duplicate",IF(AND(D661&lt;&gt;"Withdrawn",G661&lt;&gt;"",COUNTIFS($B$2:$B$1001,$B661,$G$2:$G$1001,G661,$D$2:$D$1001,"&lt;&gt;Withdrawn")&gt;1),"Same-day clash","OK"))))))</f>
        <v/>
      </c>
    </row>
    <row r="662" customFormat="false" ht="15" hidden="false" customHeight="false" outlineLevel="0" collapsed="false">
      <c r="E662" s="26"/>
      <c r="G662" s="23" t="str">
        <f aca="false">IF($A662="","",IFERROR(IF(INDEX(Activities!$C$2:$C$201,MATCH($A662,Activities!$A$2:$A$201,0))="","",INDEX(Activities!$C$2:$C$201,MATCH($A662,Activities!$A$2:$A$201,0))),""))</f>
        <v/>
      </c>
      <c r="H662" s="24" t="str">
        <f aca="false">IF($A662="","",IFERROR(IF(INDEX(Activities!$B$2:$B$201,MATCH($A662,Activities!$A$2:$A$201,0))="","",INDEX(Activities!$B$2:$B$201,MATCH($A662,Activities!$A$2:$A$201,0))),""))</f>
        <v/>
      </c>
      <c r="I662" s="24" t="str">
        <f aca="false">IF($B662="","",IFERROR(IF(INDEX(Students!$C$2:$C$301,MATCH($B662,Students!$A$2:$A$301,0))="","",INDEX(Students!$C$2:$C$301,MATCH($B662,Students!$A$2:$A$301,0))),""))</f>
        <v/>
      </c>
      <c r="J662" s="24" t="str">
        <f aca="false">IF($B662="","",IFERROR(IF(INDEX(Students!$B$2:$B$301,MATCH($B662,Students!$A$2:$A$301,0))="","",INDEX(Students!$B$2:$B$301,MATCH($B662,Students!$A$2:$A$301,0))),""))</f>
        <v/>
      </c>
      <c r="K662" s="25" t="str">
        <f aca="false">IF($A662="","",IF(D662="Withdrawn",0,IF(E662&lt;&gt;"",N(E662),IFERROR(N(INDEX(Activities!$I$2:$I$201,MATCH($A662,Activities!$A$2:$A$201,0))),0))))</f>
        <v/>
      </c>
      <c r="L662" s="24" t="str">
        <f aca="false">IF(AND($A662="",$B662=""),"",IF(ISNA(MATCH($A662,Activities!$A$2:$A$201,0)),"Unknown activity",IF(ISNA(MATCH($B662,Students!$A$2:$A$301,0)),"Unknown student",IF(D662="","No status",IF(COUNTIFS($A$2:$A$1001,$A662,$B$2:$B$1001,$B662)&gt;1,"Duplicate",IF(AND(D662&lt;&gt;"Withdrawn",G662&lt;&gt;"",COUNTIFS($B$2:$B$1001,$B662,$G$2:$G$1001,G662,$D$2:$D$1001,"&lt;&gt;Withdrawn")&gt;1),"Same-day clash","OK"))))))</f>
        <v/>
      </c>
    </row>
    <row r="663" customFormat="false" ht="15" hidden="false" customHeight="false" outlineLevel="0" collapsed="false">
      <c r="E663" s="26"/>
      <c r="G663" s="23" t="str">
        <f aca="false">IF($A663="","",IFERROR(IF(INDEX(Activities!$C$2:$C$201,MATCH($A663,Activities!$A$2:$A$201,0))="","",INDEX(Activities!$C$2:$C$201,MATCH($A663,Activities!$A$2:$A$201,0))),""))</f>
        <v/>
      </c>
      <c r="H663" s="24" t="str">
        <f aca="false">IF($A663="","",IFERROR(IF(INDEX(Activities!$B$2:$B$201,MATCH($A663,Activities!$A$2:$A$201,0))="","",INDEX(Activities!$B$2:$B$201,MATCH($A663,Activities!$A$2:$A$201,0))),""))</f>
        <v/>
      </c>
      <c r="I663" s="24" t="str">
        <f aca="false">IF($B663="","",IFERROR(IF(INDEX(Students!$C$2:$C$301,MATCH($B663,Students!$A$2:$A$301,0))="","",INDEX(Students!$C$2:$C$301,MATCH($B663,Students!$A$2:$A$301,0))),""))</f>
        <v/>
      </c>
      <c r="J663" s="24" t="str">
        <f aca="false">IF($B663="","",IFERROR(IF(INDEX(Students!$B$2:$B$301,MATCH($B663,Students!$A$2:$A$301,0))="","",INDEX(Students!$B$2:$B$301,MATCH($B663,Students!$A$2:$A$301,0))),""))</f>
        <v/>
      </c>
      <c r="K663" s="25" t="str">
        <f aca="false">IF($A663="","",IF(D663="Withdrawn",0,IF(E663&lt;&gt;"",N(E663),IFERROR(N(INDEX(Activities!$I$2:$I$201,MATCH($A663,Activities!$A$2:$A$201,0))),0))))</f>
        <v/>
      </c>
      <c r="L663" s="24" t="str">
        <f aca="false">IF(AND($A663="",$B663=""),"",IF(ISNA(MATCH($A663,Activities!$A$2:$A$201,0)),"Unknown activity",IF(ISNA(MATCH($B663,Students!$A$2:$A$301,0)),"Unknown student",IF(D663="","No status",IF(COUNTIFS($A$2:$A$1001,$A663,$B$2:$B$1001,$B663)&gt;1,"Duplicate",IF(AND(D663&lt;&gt;"Withdrawn",G663&lt;&gt;"",COUNTIFS($B$2:$B$1001,$B663,$G$2:$G$1001,G663,$D$2:$D$1001,"&lt;&gt;Withdrawn")&gt;1),"Same-day clash","OK"))))))</f>
        <v/>
      </c>
    </row>
    <row r="664" customFormat="false" ht="15" hidden="false" customHeight="false" outlineLevel="0" collapsed="false">
      <c r="E664" s="26"/>
      <c r="G664" s="23" t="str">
        <f aca="false">IF($A664="","",IFERROR(IF(INDEX(Activities!$C$2:$C$201,MATCH($A664,Activities!$A$2:$A$201,0))="","",INDEX(Activities!$C$2:$C$201,MATCH($A664,Activities!$A$2:$A$201,0))),""))</f>
        <v/>
      </c>
      <c r="H664" s="24" t="str">
        <f aca="false">IF($A664="","",IFERROR(IF(INDEX(Activities!$B$2:$B$201,MATCH($A664,Activities!$A$2:$A$201,0))="","",INDEX(Activities!$B$2:$B$201,MATCH($A664,Activities!$A$2:$A$201,0))),""))</f>
        <v/>
      </c>
      <c r="I664" s="24" t="str">
        <f aca="false">IF($B664="","",IFERROR(IF(INDEX(Students!$C$2:$C$301,MATCH($B664,Students!$A$2:$A$301,0))="","",INDEX(Students!$C$2:$C$301,MATCH($B664,Students!$A$2:$A$301,0))),""))</f>
        <v/>
      </c>
      <c r="J664" s="24" t="str">
        <f aca="false">IF($B664="","",IFERROR(IF(INDEX(Students!$B$2:$B$301,MATCH($B664,Students!$A$2:$A$301,0))="","",INDEX(Students!$B$2:$B$301,MATCH($B664,Students!$A$2:$A$301,0))),""))</f>
        <v/>
      </c>
      <c r="K664" s="25" t="str">
        <f aca="false">IF($A664="","",IF(D664="Withdrawn",0,IF(E664&lt;&gt;"",N(E664),IFERROR(N(INDEX(Activities!$I$2:$I$201,MATCH($A664,Activities!$A$2:$A$201,0))),0))))</f>
        <v/>
      </c>
      <c r="L664" s="24" t="str">
        <f aca="false">IF(AND($A664="",$B664=""),"",IF(ISNA(MATCH($A664,Activities!$A$2:$A$201,0)),"Unknown activity",IF(ISNA(MATCH($B664,Students!$A$2:$A$301,0)),"Unknown student",IF(D664="","No status",IF(COUNTIFS($A$2:$A$1001,$A664,$B$2:$B$1001,$B664)&gt;1,"Duplicate",IF(AND(D664&lt;&gt;"Withdrawn",G664&lt;&gt;"",COUNTIFS($B$2:$B$1001,$B664,$G$2:$G$1001,G664,$D$2:$D$1001,"&lt;&gt;Withdrawn")&gt;1),"Same-day clash","OK"))))))</f>
        <v/>
      </c>
    </row>
    <row r="665" customFormat="false" ht="15" hidden="false" customHeight="false" outlineLevel="0" collapsed="false">
      <c r="E665" s="26"/>
      <c r="G665" s="23" t="str">
        <f aca="false">IF($A665="","",IFERROR(IF(INDEX(Activities!$C$2:$C$201,MATCH($A665,Activities!$A$2:$A$201,0))="","",INDEX(Activities!$C$2:$C$201,MATCH($A665,Activities!$A$2:$A$201,0))),""))</f>
        <v/>
      </c>
      <c r="H665" s="24" t="str">
        <f aca="false">IF($A665="","",IFERROR(IF(INDEX(Activities!$B$2:$B$201,MATCH($A665,Activities!$A$2:$A$201,0))="","",INDEX(Activities!$B$2:$B$201,MATCH($A665,Activities!$A$2:$A$201,0))),""))</f>
        <v/>
      </c>
      <c r="I665" s="24" t="str">
        <f aca="false">IF($B665="","",IFERROR(IF(INDEX(Students!$C$2:$C$301,MATCH($B665,Students!$A$2:$A$301,0))="","",INDEX(Students!$C$2:$C$301,MATCH($B665,Students!$A$2:$A$301,0))),""))</f>
        <v/>
      </c>
      <c r="J665" s="24" t="str">
        <f aca="false">IF($B665="","",IFERROR(IF(INDEX(Students!$B$2:$B$301,MATCH($B665,Students!$A$2:$A$301,0))="","",INDEX(Students!$B$2:$B$301,MATCH($B665,Students!$A$2:$A$301,0))),""))</f>
        <v/>
      </c>
      <c r="K665" s="25" t="str">
        <f aca="false">IF($A665="","",IF(D665="Withdrawn",0,IF(E665&lt;&gt;"",N(E665),IFERROR(N(INDEX(Activities!$I$2:$I$201,MATCH($A665,Activities!$A$2:$A$201,0))),0))))</f>
        <v/>
      </c>
      <c r="L665" s="24" t="str">
        <f aca="false">IF(AND($A665="",$B665=""),"",IF(ISNA(MATCH($A665,Activities!$A$2:$A$201,0)),"Unknown activity",IF(ISNA(MATCH($B665,Students!$A$2:$A$301,0)),"Unknown student",IF(D665="","No status",IF(COUNTIFS($A$2:$A$1001,$A665,$B$2:$B$1001,$B665)&gt;1,"Duplicate",IF(AND(D665&lt;&gt;"Withdrawn",G665&lt;&gt;"",COUNTIFS($B$2:$B$1001,$B665,$G$2:$G$1001,G665,$D$2:$D$1001,"&lt;&gt;Withdrawn")&gt;1),"Same-day clash","OK"))))))</f>
        <v/>
      </c>
    </row>
    <row r="666" customFormat="false" ht="15" hidden="false" customHeight="false" outlineLevel="0" collapsed="false">
      <c r="E666" s="26"/>
      <c r="G666" s="23" t="str">
        <f aca="false">IF($A666="","",IFERROR(IF(INDEX(Activities!$C$2:$C$201,MATCH($A666,Activities!$A$2:$A$201,0))="","",INDEX(Activities!$C$2:$C$201,MATCH($A666,Activities!$A$2:$A$201,0))),""))</f>
        <v/>
      </c>
      <c r="H666" s="24" t="str">
        <f aca="false">IF($A666="","",IFERROR(IF(INDEX(Activities!$B$2:$B$201,MATCH($A666,Activities!$A$2:$A$201,0))="","",INDEX(Activities!$B$2:$B$201,MATCH($A666,Activities!$A$2:$A$201,0))),""))</f>
        <v/>
      </c>
      <c r="I666" s="24" t="str">
        <f aca="false">IF($B666="","",IFERROR(IF(INDEX(Students!$C$2:$C$301,MATCH($B666,Students!$A$2:$A$301,0))="","",INDEX(Students!$C$2:$C$301,MATCH($B666,Students!$A$2:$A$301,0))),""))</f>
        <v/>
      </c>
      <c r="J666" s="24" t="str">
        <f aca="false">IF($B666="","",IFERROR(IF(INDEX(Students!$B$2:$B$301,MATCH($B666,Students!$A$2:$A$301,0))="","",INDEX(Students!$B$2:$B$301,MATCH($B666,Students!$A$2:$A$301,0))),""))</f>
        <v/>
      </c>
      <c r="K666" s="25" t="str">
        <f aca="false">IF($A666="","",IF(D666="Withdrawn",0,IF(E666&lt;&gt;"",N(E666),IFERROR(N(INDEX(Activities!$I$2:$I$201,MATCH($A666,Activities!$A$2:$A$201,0))),0))))</f>
        <v/>
      </c>
      <c r="L666" s="24" t="str">
        <f aca="false">IF(AND($A666="",$B666=""),"",IF(ISNA(MATCH($A666,Activities!$A$2:$A$201,0)),"Unknown activity",IF(ISNA(MATCH($B666,Students!$A$2:$A$301,0)),"Unknown student",IF(D666="","No status",IF(COUNTIFS($A$2:$A$1001,$A666,$B$2:$B$1001,$B666)&gt;1,"Duplicate",IF(AND(D666&lt;&gt;"Withdrawn",G666&lt;&gt;"",COUNTIFS($B$2:$B$1001,$B666,$G$2:$G$1001,G666,$D$2:$D$1001,"&lt;&gt;Withdrawn")&gt;1),"Same-day clash","OK"))))))</f>
        <v/>
      </c>
    </row>
    <row r="667" customFormat="false" ht="15" hidden="false" customHeight="false" outlineLevel="0" collapsed="false">
      <c r="E667" s="26"/>
      <c r="G667" s="23" t="str">
        <f aca="false">IF($A667="","",IFERROR(IF(INDEX(Activities!$C$2:$C$201,MATCH($A667,Activities!$A$2:$A$201,0))="","",INDEX(Activities!$C$2:$C$201,MATCH($A667,Activities!$A$2:$A$201,0))),""))</f>
        <v/>
      </c>
      <c r="H667" s="24" t="str">
        <f aca="false">IF($A667="","",IFERROR(IF(INDEX(Activities!$B$2:$B$201,MATCH($A667,Activities!$A$2:$A$201,0))="","",INDEX(Activities!$B$2:$B$201,MATCH($A667,Activities!$A$2:$A$201,0))),""))</f>
        <v/>
      </c>
      <c r="I667" s="24" t="str">
        <f aca="false">IF($B667="","",IFERROR(IF(INDEX(Students!$C$2:$C$301,MATCH($B667,Students!$A$2:$A$301,0))="","",INDEX(Students!$C$2:$C$301,MATCH($B667,Students!$A$2:$A$301,0))),""))</f>
        <v/>
      </c>
      <c r="J667" s="24" t="str">
        <f aca="false">IF($B667="","",IFERROR(IF(INDEX(Students!$B$2:$B$301,MATCH($B667,Students!$A$2:$A$301,0))="","",INDEX(Students!$B$2:$B$301,MATCH($B667,Students!$A$2:$A$301,0))),""))</f>
        <v/>
      </c>
      <c r="K667" s="25" t="str">
        <f aca="false">IF($A667="","",IF(D667="Withdrawn",0,IF(E667&lt;&gt;"",N(E667),IFERROR(N(INDEX(Activities!$I$2:$I$201,MATCH($A667,Activities!$A$2:$A$201,0))),0))))</f>
        <v/>
      </c>
      <c r="L667" s="24" t="str">
        <f aca="false">IF(AND($A667="",$B667=""),"",IF(ISNA(MATCH($A667,Activities!$A$2:$A$201,0)),"Unknown activity",IF(ISNA(MATCH($B667,Students!$A$2:$A$301,0)),"Unknown student",IF(D667="","No status",IF(COUNTIFS($A$2:$A$1001,$A667,$B$2:$B$1001,$B667)&gt;1,"Duplicate",IF(AND(D667&lt;&gt;"Withdrawn",G667&lt;&gt;"",COUNTIFS($B$2:$B$1001,$B667,$G$2:$G$1001,G667,$D$2:$D$1001,"&lt;&gt;Withdrawn")&gt;1),"Same-day clash","OK"))))))</f>
        <v/>
      </c>
    </row>
    <row r="668" customFormat="false" ht="15" hidden="false" customHeight="false" outlineLevel="0" collapsed="false">
      <c r="E668" s="26"/>
      <c r="G668" s="23" t="str">
        <f aca="false">IF($A668="","",IFERROR(IF(INDEX(Activities!$C$2:$C$201,MATCH($A668,Activities!$A$2:$A$201,0))="","",INDEX(Activities!$C$2:$C$201,MATCH($A668,Activities!$A$2:$A$201,0))),""))</f>
        <v/>
      </c>
      <c r="H668" s="24" t="str">
        <f aca="false">IF($A668="","",IFERROR(IF(INDEX(Activities!$B$2:$B$201,MATCH($A668,Activities!$A$2:$A$201,0))="","",INDEX(Activities!$B$2:$B$201,MATCH($A668,Activities!$A$2:$A$201,0))),""))</f>
        <v/>
      </c>
      <c r="I668" s="24" t="str">
        <f aca="false">IF($B668="","",IFERROR(IF(INDEX(Students!$C$2:$C$301,MATCH($B668,Students!$A$2:$A$301,0))="","",INDEX(Students!$C$2:$C$301,MATCH($B668,Students!$A$2:$A$301,0))),""))</f>
        <v/>
      </c>
      <c r="J668" s="24" t="str">
        <f aca="false">IF($B668="","",IFERROR(IF(INDEX(Students!$B$2:$B$301,MATCH($B668,Students!$A$2:$A$301,0))="","",INDEX(Students!$B$2:$B$301,MATCH($B668,Students!$A$2:$A$301,0))),""))</f>
        <v/>
      </c>
      <c r="K668" s="25" t="str">
        <f aca="false">IF($A668="","",IF(D668="Withdrawn",0,IF(E668&lt;&gt;"",N(E668),IFERROR(N(INDEX(Activities!$I$2:$I$201,MATCH($A668,Activities!$A$2:$A$201,0))),0))))</f>
        <v/>
      </c>
      <c r="L668" s="24" t="str">
        <f aca="false">IF(AND($A668="",$B668=""),"",IF(ISNA(MATCH($A668,Activities!$A$2:$A$201,0)),"Unknown activity",IF(ISNA(MATCH($B668,Students!$A$2:$A$301,0)),"Unknown student",IF(D668="","No status",IF(COUNTIFS($A$2:$A$1001,$A668,$B$2:$B$1001,$B668)&gt;1,"Duplicate",IF(AND(D668&lt;&gt;"Withdrawn",G668&lt;&gt;"",COUNTIFS($B$2:$B$1001,$B668,$G$2:$G$1001,G668,$D$2:$D$1001,"&lt;&gt;Withdrawn")&gt;1),"Same-day clash","OK"))))))</f>
        <v/>
      </c>
    </row>
    <row r="669" customFormat="false" ht="15" hidden="false" customHeight="false" outlineLevel="0" collapsed="false">
      <c r="E669" s="26"/>
      <c r="G669" s="23" t="str">
        <f aca="false">IF($A669="","",IFERROR(IF(INDEX(Activities!$C$2:$C$201,MATCH($A669,Activities!$A$2:$A$201,0))="","",INDEX(Activities!$C$2:$C$201,MATCH($A669,Activities!$A$2:$A$201,0))),""))</f>
        <v/>
      </c>
      <c r="H669" s="24" t="str">
        <f aca="false">IF($A669="","",IFERROR(IF(INDEX(Activities!$B$2:$B$201,MATCH($A669,Activities!$A$2:$A$201,0))="","",INDEX(Activities!$B$2:$B$201,MATCH($A669,Activities!$A$2:$A$201,0))),""))</f>
        <v/>
      </c>
      <c r="I669" s="24" t="str">
        <f aca="false">IF($B669="","",IFERROR(IF(INDEX(Students!$C$2:$C$301,MATCH($B669,Students!$A$2:$A$301,0))="","",INDEX(Students!$C$2:$C$301,MATCH($B669,Students!$A$2:$A$301,0))),""))</f>
        <v/>
      </c>
      <c r="J669" s="24" t="str">
        <f aca="false">IF($B669="","",IFERROR(IF(INDEX(Students!$B$2:$B$301,MATCH($B669,Students!$A$2:$A$301,0))="","",INDEX(Students!$B$2:$B$301,MATCH($B669,Students!$A$2:$A$301,0))),""))</f>
        <v/>
      </c>
      <c r="K669" s="25" t="str">
        <f aca="false">IF($A669="","",IF(D669="Withdrawn",0,IF(E669&lt;&gt;"",N(E669),IFERROR(N(INDEX(Activities!$I$2:$I$201,MATCH($A669,Activities!$A$2:$A$201,0))),0))))</f>
        <v/>
      </c>
      <c r="L669" s="24" t="str">
        <f aca="false">IF(AND($A669="",$B669=""),"",IF(ISNA(MATCH($A669,Activities!$A$2:$A$201,0)),"Unknown activity",IF(ISNA(MATCH($B669,Students!$A$2:$A$301,0)),"Unknown student",IF(D669="","No status",IF(COUNTIFS($A$2:$A$1001,$A669,$B$2:$B$1001,$B669)&gt;1,"Duplicate",IF(AND(D669&lt;&gt;"Withdrawn",G669&lt;&gt;"",COUNTIFS($B$2:$B$1001,$B669,$G$2:$G$1001,G669,$D$2:$D$1001,"&lt;&gt;Withdrawn")&gt;1),"Same-day clash","OK"))))))</f>
        <v/>
      </c>
    </row>
    <row r="670" customFormat="false" ht="15" hidden="false" customHeight="false" outlineLevel="0" collapsed="false">
      <c r="E670" s="26"/>
      <c r="G670" s="23" t="str">
        <f aca="false">IF($A670="","",IFERROR(IF(INDEX(Activities!$C$2:$C$201,MATCH($A670,Activities!$A$2:$A$201,0))="","",INDEX(Activities!$C$2:$C$201,MATCH($A670,Activities!$A$2:$A$201,0))),""))</f>
        <v/>
      </c>
      <c r="H670" s="24" t="str">
        <f aca="false">IF($A670="","",IFERROR(IF(INDEX(Activities!$B$2:$B$201,MATCH($A670,Activities!$A$2:$A$201,0))="","",INDEX(Activities!$B$2:$B$201,MATCH($A670,Activities!$A$2:$A$201,0))),""))</f>
        <v/>
      </c>
      <c r="I670" s="24" t="str">
        <f aca="false">IF($B670="","",IFERROR(IF(INDEX(Students!$C$2:$C$301,MATCH($B670,Students!$A$2:$A$301,0))="","",INDEX(Students!$C$2:$C$301,MATCH($B670,Students!$A$2:$A$301,0))),""))</f>
        <v/>
      </c>
      <c r="J670" s="24" t="str">
        <f aca="false">IF($B670="","",IFERROR(IF(INDEX(Students!$B$2:$B$301,MATCH($B670,Students!$A$2:$A$301,0))="","",INDEX(Students!$B$2:$B$301,MATCH($B670,Students!$A$2:$A$301,0))),""))</f>
        <v/>
      </c>
      <c r="K670" s="25" t="str">
        <f aca="false">IF($A670="","",IF(D670="Withdrawn",0,IF(E670&lt;&gt;"",N(E670),IFERROR(N(INDEX(Activities!$I$2:$I$201,MATCH($A670,Activities!$A$2:$A$201,0))),0))))</f>
        <v/>
      </c>
      <c r="L670" s="24" t="str">
        <f aca="false">IF(AND($A670="",$B670=""),"",IF(ISNA(MATCH($A670,Activities!$A$2:$A$201,0)),"Unknown activity",IF(ISNA(MATCH($B670,Students!$A$2:$A$301,0)),"Unknown student",IF(D670="","No status",IF(COUNTIFS($A$2:$A$1001,$A670,$B$2:$B$1001,$B670)&gt;1,"Duplicate",IF(AND(D670&lt;&gt;"Withdrawn",G670&lt;&gt;"",COUNTIFS($B$2:$B$1001,$B670,$G$2:$G$1001,G670,$D$2:$D$1001,"&lt;&gt;Withdrawn")&gt;1),"Same-day clash","OK"))))))</f>
        <v/>
      </c>
    </row>
    <row r="671" customFormat="false" ht="15" hidden="false" customHeight="false" outlineLevel="0" collapsed="false">
      <c r="E671" s="26"/>
      <c r="G671" s="23" t="str">
        <f aca="false">IF($A671="","",IFERROR(IF(INDEX(Activities!$C$2:$C$201,MATCH($A671,Activities!$A$2:$A$201,0))="","",INDEX(Activities!$C$2:$C$201,MATCH($A671,Activities!$A$2:$A$201,0))),""))</f>
        <v/>
      </c>
      <c r="H671" s="24" t="str">
        <f aca="false">IF($A671="","",IFERROR(IF(INDEX(Activities!$B$2:$B$201,MATCH($A671,Activities!$A$2:$A$201,0))="","",INDEX(Activities!$B$2:$B$201,MATCH($A671,Activities!$A$2:$A$201,0))),""))</f>
        <v/>
      </c>
      <c r="I671" s="24" t="str">
        <f aca="false">IF($B671="","",IFERROR(IF(INDEX(Students!$C$2:$C$301,MATCH($B671,Students!$A$2:$A$301,0))="","",INDEX(Students!$C$2:$C$301,MATCH($B671,Students!$A$2:$A$301,0))),""))</f>
        <v/>
      </c>
      <c r="J671" s="24" t="str">
        <f aca="false">IF($B671="","",IFERROR(IF(INDEX(Students!$B$2:$B$301,MATCH($B671,Students!$A$2:$A$301,0))="","",INDEX(Students!$B$2:$B$301,MATCH($B671,Students!$A$2:$A$301,0))),""))</f>
        <v/>
      </c>
      <c r="K671" s="25" t="str">
        <f aca="false">IF($A671="","",IF(D671="Withdrawn",0,IF(E671&lt;&gt;"",N(E671),IFERROR(N(INDEX(Activities!$I$2:$I$201,MATCH($A671,Activities!$A$2:$A$201,0))),0))))</f>
        <v/>
      </c>
      <c r="L671" s="24" t="str">
        <f aca="false">IF(AND($A671="",$B671=""),"",IF(ISNA(MATCH($A671,Activities!$A$2:$A$201,0)),"Unknown activity",IF(ISNA(MATCH($B671,Students!$A$2:$A$301,0)),"Unknown student",IF(D671="","No status",IF(COUNTIFS($A$2:$A$1001,$A671,$B$2:$B$1001,$B671)&gt;1,"Duplicate",IF(AND(D671&lt;&gt;"Withdrawn",G671&lt;&gt;"",COUNTIFS($B$2:$B$1001,$B671,$G$2:$G$1001,G671,$D$2:$D$1001,"&lt;&gt;Withdrawn")&gt;1),"Same-day clash","OK"))))))</f>
        <v/>
      </c>
    </row>
    <row r="672" customFormat="false" ht="15" hidden="false" customHeight="false" outlineLevel="0" collapsed="false">
      <c r="E672" s="26"/>
      <c r="G672" s="23" t="str">
        <f aca="false">IF($A672="","",IFERROR(IF(INDEX(Activities!$C$2:$C$201,MATCH($A672,Activities!$A$2:$A$201,0))="","",INDEX(Activities!$C$2:$C$201,MATCH($A672,Activities!$A$2:$A$201,0))),""))</f>
        <v/>
      </c>
      <c r="H672" s="24" t="str">
        <f aca="false">IF($A672="","",IFERROR(IF(INDEX(Activities!$B$2:$B$201,MATCH($A672,Activities!$A$2:$A$201,0))="","",INDEX(Activities!$B$2:$B$201,MATCH($A672,Activities!$A$2:$A$201,0))),""))</f>
        <v/>
      </c>
      <c r="I672" s="24" t="str">
        <f aca="false">IF($B672="","",IFERROR(IF(INDEX(Students!$C$2:$C$301,MATCH($B672,Students!$A$2:$A$301,0))="","",INDEX(Students!$C$2:$C$301,MATCH($B672,Students!$A$2:$A$301,0))),""))</f>
        <v/>
      </c>
      <c r="J672" s="24" t="str">
        <f aca="false">IF($B672="","",IFERROR(IF(INDEX(Students!$B$2:$B$301,MATCH($B672,Students!$A$2:$A$301,0))="","",INDEX(Students!$B$2:$B$301,MATCH($B672,Students!$A$2:$A$301,0))),""))</f>
        <v/>
      </c>
      <c r="K672" s="25" t="str">
        <f aca="false">IF($A672="","",IF(D672="Withdrawn",0,IF(E672&lt;&gt;"",N(E672),IFERROR(N(INDEX(Activities!$I$2:$I$201,MATCH($A672,Activities!$A$2:$A$201,0))),0))))</f>
        <v/>
      </c>
      <c r="L672" s="24" t="str">
        <f aca="false">IF(AND($A672="",$B672=""),"",IF(ISNA(MATCH($A672,Activities!$A$2:$A$201,0)),"Unknown activity",IF(ISNA(MATCH($B672,Students!$A$2:$A$301,0)),"Unknown student",IF(D672="","No status",IF(COUNTIFS($A$2:$A$1001,$A672,$B$2:$B$1001,$B672)&gt;1,"Duplicate",IF(AND(D672&lt;&gt;"Withdrawn",G672&lt;&gt;"",COUNTIFS($B$2:$B$1001,$B672,$G$2:$G$1001,G672,$D$2:$D$1001,"&lt;&gt;Withdrawn")&gt;1),"Same-day clash","OK"))))))</f>
        <v/>
      </c>
    </row>
    <row r="673" customFormat="false" ht="15" hidden="false" customHeight="false" outlineLevel="0" collapsed="false">
      <c r="E673" s="26"/>
      <c r="G673" s="23" t="str">
        <f aca="false">IF($A673="","",IFERROR(IF(INDEX(Activities!$C$2:$C$201,MATCH($A673,Activities!$A$2:$A$201,0))="","",INDEX(Activities!$C$2:$C$201,MATCH($A673,Activities!$A$2:$A$201,0))),""))</f>
        <v/>
      </c>
      <c r="H673" s="24" t="str">
        <f aca="false">IF($A673="","",IFERROR(IF(INDEX(Activities!$B$2:$B$201,MATCH($A673,Activities!$A$2:$A$201,0))="","",INDEX(Activities!$B$2:$B$201,MATCH($A673,Activities!$A$2:$A$201,0))),""))</f>
        <v/>
      </c>
      <c r="I673" s="24" t="str">
        <f aca="false">IF($B673="","",IFERROR(IF(INDEX(Students!$C$2:$C$301,MATCH($B673,Students!$A$2:$A$301,0))="","",INDEX(Students!$C$2:$C$301,MATCH($B673,Students!$A$2:$A$301,0))),""))</f>
        <v/>
      </c>
      <c r="J673" s="24" t="str">
        <f aca="false">IF($B673="","",IFERROR(IF(INDEX(Students!$B$2:$B$301,MATCH($B673,Students!$A$2:$A$301,0))="","",INDEX(Students!$B$2:$B$301,MATCH($B673,Students!$A$2:$A$301,0))),""))</f>
        <v/>
      </c>
      <c r="K673" s="25" t="str">
        <f aca="false">IF($A673="","",IF(D673="Withdrawn",0,IF(E673&lt;&gt;"",N(E673),IFERROR(N(INDEX(Activities!$I$2:$I$201,MATCH($A673,Activities!$A$2:$A$201,0))),0))))</f>
        <v/>
      </c>
      <c r="L673" s="24" t="str">
        <f aca="false">IF(AND($A673="",$B673=""),"",IF(ISNA(MATCH($A673,Activities!$A$2:$A$201,0)),"Unknown activity",IF(ISNA(MATCH($B673,Students!$A$2:$A$301,0)),"Unknown student",IF(D673="","No status",IF(COUNTIFS($A$2:$A$1001,$A673,$B$2:$B$1001,$B673)&gt;1,"Duplicate",IF(AND(D673&lt;&gt;"Withdrawn",G673&lt;&gt;"",COUNTIFS($B$2:$B$1001,$B673,$G$2:$G$1001,G673,$D$2:$D$1001,"&lt;&gt;Withdrawn")&gt;1),"Same-day clash","OK"))))))</f>
        <v/>
      </c>
    </row>
    <row r="674" customFormat="false" ht="15" hidden="false" customHeight="false" outlineLevel="0" collapsed="false">
      <c r="E674" s="26"/>
      <c r="G674" s="23" t="str">
        <f aca="false">IF($A674="","",IFERROR(IF(INDEX(Activities!$C$2:$C$201,MATCH($A674,Activities!$A$2:$A$201,0))="","",INDEX(Activities!$C$2:$C$201,MATCH($A674,Activities!$A$2:$A$201,0))),""))</f>
        <v/>
      </c>
      <c r="H674" s="24" t="str">
        <f aca="false">IF($A674="","",IFERROR(IF(INDEX(Activities!$B$2:$B$201,MATCH($A674,Activities!$A$2:$A$201,0))="","",INDEX(Activities!$B$2:$B$201,MATCH($A674,Activities!$A$2:$A$201,0))),""))</f>
        <v/>
      </c>
      <c r="I674" s="24" t="str">
        <f aca="false">IF($B674="","",IFERROR(IF(INDEX(Students!$C$2:$C$301,MATCH($B674,Students!$A$2:$A$301,0))="","",INDEX(Students!$C$2:$C$301,MATCH($B674,Students!$A$2:$A$301,0))),""))</f>
        <v/>
      </c>
      <c r="J674" s="24" t="str">
        <f aca="false">IF($B674="","",IFERROR(IF(INDEX(Students!$B$2:$B$301,MATCH($B674,Students!$A$2:$A$301,0))="","",INDEX(Students!$B$2:$B$301,MATCH($B674,Students!$A$2:$A$301,0))),""))</f>
        <v/>
      </c>
      <c r="K674" s="25" t="str">
        <f aca="false">IF($A674="","",IF(D674="Withdrawn",0,IF(E674&lt;&gt;"",N(E674),IFERROR(N(INDEX(Activities!$I$2:$I$201,MATCH($A674,Activities!$A$2:$A$201,0))),0))))</f>
        <v/>
      </c>
      <c r="L674" s="24" t="str">
        <f aca="false">IF(AND($A674="",$B674=""),"",IF(ISNA(MATCH($A674,Activities!$A$2:$A$201,0)),"Unknown activity",IF(ISNA(MATCH($B674,Students!$A$2:$A$301,0)),"Unknown student",IF(D674="","No status",IF(COUNTIFS($A$2:$A$1001,$A674,$B$2:$B$1001,$B674)&gt;1,"Duplicate",IF(AND(D674&lt;&gt;"Withdrawn",G674&lt;&gt;"",COUNTIFS($B$2:$B$1001,$B674,$G$2:$G$1001,G674,$D$2:$D$1001,"&lt;&gt;Withdrawn")&gt;1),"Same-day clash","OK"))))))</f>
        <v/>
      </c>
    </row>
    <row r="675" customFormat="false" ht="15" hidden="false" customHeight="false" outlineLevel="0" collapsed="false">
      <c r="E675" s="26"/>
      <c r="G675" s="23" t="str">
        <f aca="false">IF($A675="","",IFERROR(IF(INDEX(Activities!$C$2:$C$201,MATCH($A675,Activities!$A$2:$A$201,0))="","",INDEX(Activities!$C$2:$C$201,MATCH($A675,Activities!$A$2:$A$201,0))),""))</f>
        <v/>
      </c>
      <c r="H675" s="24" t="str">
        <f aca="false">IF($A675="","",IFERROR(IF(INDEX(Activities!$B$2:$B$201,MATCH($A675,Activities!$A$2:$A$201,0))="","",INDEX(Activities!$B$2:$B$201,MATCH($A675,Activities!$A$2:$A$201,0))),""))</f>
        <v/>
      </c>
      <c r="I675" s="24" t="str">
        <f aca="false">IF($B675="","",IFERROR(IF(INDEX(Students!$C$2:$C$301,MATCH($B675,Students!$A$2:$A$301,0))="","",INDEX(Students!$C$2:$C$301,MATCH($B675,Students!$A$2:$A$301,0))),""))</f>
        <v/>
      </c>
      <c r="J675" s="24" t="str">
        <f aca="false">IF($B675="","",IFERROR(IF(INDEX(Students!$B$2:$B$301,MATCH($B675,Students!$A$2:$A$301,0))="","",INDEX(Students!$B$2:$B$301,MATCH($B675,Students!$A$2:$A$301,0))),""))</f>
        <v/>
      </c>
      <c r="K675" s="25" t="str">
        <f aca="false">IF($A675="","",IF(D675="Withdrawn",0,IF(E675&lt;&gt;"",N(E675),IFERROR(N(INDEX(Activities!$I$2:$I$201,MATCH($A675,Activities!$A$2:$A$201,0))),0))))</f>
        <v/>
      </c>
      <c r="L675" s="24" t="str">
        <f aca="false">IF(AND($A675="",$B675=""),"",IF(ISNA(MATCH($A675,Activities!$A$2:$A$201,0)),"Unknown activity",IF(ISNA(MATCH($B675,Students!$A$2:$A$301,0)),"Unknown student",IF(D675="","No status",IF(COUNTIFS($A$2:$A$1001,$A675,$B$2:$B$1001,$B675)&gt;1,"Duplicate",IF(AND(D675&lt;&gt;"Withdrawn",G675&lt;&gt;"",COUNTIFS($B$2:$B$1001,$B675,$G$2:$G$1001,G675,$D$2:$D$1001,"&lt;&gt;Withdrawn")&gt;1),"Same-day clash","OK"))))))</f>
        <v/>
      </c>
    </row>
    <row r="676" customFormat="false" ht="15" hidden="false" customHeight="false" outlineLevel="0" collapsed="false">
      <c r="E676" s="26"/>
      <c r="G676" s="23" t="str">
        <f aca="false">IF($A676="","",IFERROR(IF(INDEX(Activities!$C$2:$C$201,MATCH($A676,Activities!$A$2:$A$201,0))="","",INDEX(Activities!$C$2:$C$201,MATCH($A676,Activities!$A$2:$A$201,0))),""))</f>
        <v/>
      </c>
      <c r="H676" s="24" t="str">
        <f aca="false">IF($A676="","",IFERROR(IF(INDEX(Activities!$B$2:$B$201,MATCH($A676,Activities!$A$2:$A$201,0))="","",INDEX(Activities!$B$2:$B$201,MATCH($A676,Activities!$A$2:$A$201,0))),""))</f>
        <v/>
      </c>
      <c r="I676" s="24" t="str">
        <f aca="false">IF($B676="","",IFERROR(IF(INDEX(Students!$C$2:$C$301,MATCH($B676,Students!$A$2:$A$301,0))="","",INDEX(Students!$C$2:$C$301,MATCH($B676,Students!$A$2:$A$301,0))),""))</f>
        <v/>
      </c>
      <c r="J676" s="24" t="str">
        <f aca="false">IF($B676="","",IFERROR(IF(INDEX(Students!$B$2:$B$301,MATCH($B676,Students!$A$2:$A$301,0))="","",INDEX(Students!$B$2:$B$301,MATCH($B676,Students!$A$2:$A$301,0))),""))</f>
        <v/>
      </c>
      <c r="K676" s="25" t="str">
        <f aca="false">IF($A676="","",IF(D676="Withdrawn",0,IF(E676&lt;&gt;"",N(E676),IFERROR(N(INDEX(Activities!$I$2:$I$201,MATCH($A676,Activities!$A$2:$A$201,0))),0))))</f>
        <v/>
      </c>
      <c r="L676" s="24" t="str">
        <f aca="false">IF(AND($A676="",$B676=""),"",IF(ISNA(MATCH($A676,Activities!$A$2:$A$201,0)),"Unknown activity",IF(ISNA(MATCH($B676,Students!$A$2:$A$301,0)),"Unknown student",IF(D676="","No status",IF(COUNTIFS($A$2:$A$1001,$A676,$B$2:$B$1001,$B676)&gt;1,"Duplicate",IF(AND(D676&lt;&gt;"Withdrawn",G676&lt;&gt;"",COUNTIFS($B$2:$B$1001,$B676,$G$2:$G$1001,G676,$D$2:$D$1001,"&lt;&gt;Withdrawn")&gt;1),"Same-day clash","OK"))))))</f>
        <v/>
      </c>
    </row>
    <row r="677" customFormat="false" ht="15" hidden="false" customHeight="false" outlineLevel="0" collapsed="false">
      <c r="E677" s="26"/>
      <c r="G677" s="23" t="str">
        <f aca="false">IF($A677="","",IFERROR(IF(INDEX(Activities!$C$2:$C$201,MATCH($A677,Activities!$A$2:$A$201,0))="","",INDEX(Activities!$C$2:$C$201,MATCH($A677,Activities!$A$2:$A$201,0))),""))</f>
        <v/>
      </c>
      <c r="H677" s="24" t="str">
        <f aca="false">IF($A677="","",IFERROR(IF(INDEX(Activities!$B$2:$B$201,MATCH($A677,Activities!$A$2:$A$201,0))="","",INDEX(Activities!$B$2:$B$201,MATCH($A677,Activities!$A$2:$A$201,0))),""))</f>
        <v/>
      </c>
      <c r="I677" s="24" t="str">
        <f aca="false">IF($B677="","",IFERROR(IF(INDEX(Students!$C$2:$C$301,MATCH($B677,Students!$A$2:$A$301,0))="","",INDEX(Students!$C$2:$C$301,MATCH($B677,Students!$A$2:$A$301,0))),""))</f>
        <v/>
      </c>
      <c r="J677" s="24" t="str">
        <f aca="false">IF($B677="","",IFERROR(IF(INDEX(Students!$B$2:$B$301,MATCH($B677,Students!$A$2:$A$301,0))="","",INDEX(Students!$B$2:$B$301,MATCH($B677,Students!$A$2:$A$301,0))),""))</f>
        <v/>
      </c>
      <c r="K677" s="25" t="str">
        <f aca="false">IF($A677="","",IF(D677="Withdrawn",0,IF(E677&lt;&gt;"",N(E677),IFERROR(N(INDEX(Activities!$I$2:$I$201,MATCH($A677,Activities!$A$2:$A$201,0))),0))))</f>
        <v/>
      </c>
      <c r="L677" s="24" t="str">
        <f aca="false">IF(AND($A677="",$B677=""),"",IF(ISNA(MATCH($A677,Activities!$A$2:$A$201,0)),"Unknown activity",IF(ISNA(MATCH($B677,Students!$A$2:$A$301,0)),"Unknown student",IF(D677="","No status",IF(COUNTIFS($A$2:$A$1001,$A677,$B$2:$B$1001,$B677)&gt;1,"Duplicate",IF(AND(D677&lt;&gt;"Withdrawn",G677&lt;&gt;"",COUNTIFS($B$2:$B$1001,$B677,$G$2:$G$1001,G677,$D$2:$D$1001,"&lt;&gt;Withdrawn")&gt;1),"Same-day clash","OK"))))))</f>
        <v/>
      </c>
    </row>
    <row r="678" customFormat="false" ht="15" hidden="false" customHeight="false" outlineLevel="0" collapsed="false">
      <c r="E678" s="26"/>
      <c r="G678" s="23" t="str">
        <f aca="false">IF($A678="","",IFERROR(IF(INDEX(Activities!$C$2:$C$201,MATCH($A678,Activities!$A$2:$A$201,0))="","",INDEX(Activities!$C$2:$C$201,MATCH($A678,Activities!$A$2:$A$201,0))),""))</f>
        <v/>
      </c>
      <c r="H678" s="24" t="str">
        <f aca="false">IF($A678="","",IFERROR(IF(INDEX(Activities!$B$2:$B$201,MATCH($A678,Activities!$A$2:$A$201,0))="","",INDEX(Activities!$B$2:$B$201,MATCH($A678,Activities!$A$2:$A$201,0))),""))</f>
        <v/>
      </c>
      <c r="I678" s="24" t="str">
        <f aca="false">IF($B678="","",IFERROR(IF(INDEX(Students!$C$2:$C$301,MATCH($B678,Students!$A$2:$A$301,0))="","",INDEX(Students!$C$2:$C$301,MATCH($B678,Students!$A$2:$A$301,0))),""))</f>
        <v/>
      </c>
      <c r="J678" s="24" t="str">
        <f aca="false">IF($B678="","",IFERROR(IF(INDEX(Students!$B$2:$B$301,MATCH($B678,Students!$A$2:$A$301,0))="","",INDEX(Students!$B$2:$B$301,MATCH($B678,Students!$A$2:$A$301,0))),""))</f>
        <v/>
      </c>
      <c r="K678" s="25" t="str">
        <f aca="false">IF($A678="","",IF(D678="Withdrawn",0,IF(E678&lt;&gt;"",N(E678),IFERROR(N(INDEX(Activities!$I$2:$I$201,MATCH($A678,Activities!$A$2:$A$201,0))),0))))</f>
        <v/>
      </c>
      <c r="L678" s="24" t="str">
        <f aca="false">IF(AND($A678="",$B678=""),"",IF(ISNA(MATCH($A678,Activities!$A$2:$A$201,0)),"Unknown activity",IF(ISNA(MATCH($B678,Students!$A$2:$A$301,0)),"Unknown student",IF(D678="","No status",IF(COUNTIFS($A$2:$A$1001,$A678,$B$2:$B$1001,$B678)&gt;1,"Duplicate",IF(AND(D678&lt;&gt;"Withdrawn",G678&lt;&gt;"",COUNTIFS($B$2:$B$1001,$B678,$G$2:$G$1001,G678,$D$2:$D$1001,"&lt;&gt;Withdrawn")&gt;1),"Same-day clash","OK"))))))</f>
        <v/>
      </c>
    </row>
    <row r="679" customFormat="false" ht="15" hidden="false" customHeight="false" outlineLevel="0" collapsed="false">
      <c r="E679" s="26"/>
      <c r="G679" s="23" t="str">
        <f aca="false">IF($A679="","",IFERROR(IF(INDEX(Activities!$C$2:$C$201,MATCH($A679,Activities!$A$2:$A$201,0))="","",INDEX(Activities!$C$2:$C$201,MATCH($A679,Activities!$A$2:$A$201,0))),""))</f>
        <v/>
      </c>
      <c r="H679" s="24" t="str">
        <f aca="false">IF($A679="","",IFERROR(IF(INDEX(Activities!$B$2:$B$201,MATCH($A679,Activities!$A$2:$A$201,0))="","",INDEX(Activities!$B$2:$B$201,MATCH($A679,Activities!$A$2:$A$201,0))),""))</f>
        <v/>
      </c>
      <c r="I679" s="24" t="str">
        <f aca="false">IF($B679="","",IFERROR(IF(INDEX(Students!$C$2:$C$301,MATCH($B679,Students!$A$2:$A$301,0))="","",INDEX(Students!$C$2:$C$301,MATCH($B679,Students!$A$2:$A$301,0))),""))</f>
        <v/>
      </c>
      <c r="J679" s="24" t="str">
        <f aca="false">IF($B679="","",IFERROR(IF(INDEX(Students!$B$2:$B$301,MATCH($B679,Students!$A$2:$A$301,0))="","",INDEX(Students!$B$2:$B$301,MATCH($B679,Students!$A$2:$A$301,0))),""))</f>
        <v/>
      </c>
      <c r="K679" s="25" t="str">
        <f aca="false">IF($A679="","",IF(D679="Withdrawn",0,IF(E679&lt;&gt;"",N(E679),IFERROR(N(INDEX(Activities!$I$2:$I$201,MATCH($A679,Activities!$A$2:$A$201,0))),0))))</f>
        <v/>
      </c>
      <c r="L679" s="24" t="str">
        <f aca="false">IF(AND($A679="",$B679=""),"",IF(ISNA(MATCH($A679,Activities!$A$2:$A$201,0)),"Unknown activity",IF(ISNA(MATCH($B679,Students!$A$2:$A$301,0)),"Unknown student",IF(D679="","No status",IF(COUNTIFS($A$2:$A$1001,$A679,$B$2:$B$1001,$B679)&gt;1,"Duplicate",IF(AND(D679&lt;&gt;"Withdrawn",G679&lt;&gt;"",COUNTIFS($B$2:$B$1001,$B679,$G$2:$G$1001,G679,$D$2:$D$1001,"&lt;&gt;Withdrawn")&gt;1),"Same-day clash","OK"))))))</f>
        <v/>
      </c>
    </row>
    <row r="680" customFormat="false" ht="15" hidden="false" customHeight="false" outlineLevel="0" collapsed="false">
      <c r="E680" s="26"/>
      <c r="G680" s="23" t="str">
        <f aca="false">IF($A680="","",IFERROR(IF(INDEX(Activities!$C$2:$C$201,MATCH($A680,Activities!$A$2:$A$201,0))="","",INDEX(Activities!$C$2:$C$201,MATCH($A680,Activities!$A$2:$A$201,0))),""))</f>
        <v/>
      </c>
      <c r="H680" s="24" t="str">
        <f aca="false">IF($A680="","",IFERROR(IF(INDEX(Activities!$B$2:$B$201,MATCH($A680,Activities!$A$2:$A$201,0))="","",INDEX(Activities!$B$2:$B$201,MATCH($A680,Activities!$A$2:$A$201,0))),""))</f>
        <v/>
      </c>
      <c r="I680" s="24" t="str">
        <f aca="false">IF($B680="","",IFERROR(IF(INDEX(Students!$C$2:$C$301,MATCH($B680,Students!$A$2:$A$301,0))="","",INDEX(Students!$C$2:$C$301,MATCH($B680,Students!$A$2:$A$301,0))),""))</f>
        <v/>
      </c>
      <c r="J680" s="24" t="str">
        <f aca="false">IF($B680="","",IFERROR(IF(INDEX(Students!$B$2:$B$301,MATCH($B680,Students!$A$2:$A$301,0))="","",INDEX(Students!$B$2:$B$301,MATCH($B680,Students!$A$2:$A$301,0))),""))</f>
        <v/>
      </c>
      <c r="K680" s="25" t="str">
        <f aca="false">IF($A680="","",IF(D680="Withdrawn",0,IF(E680&lt;&gt;"",N(E680),IFERROR(N(INDEX(Activities!$I$2:$I$201,MATCH($A680,Activities!$A$2:$A$201,0))),0))))</f>
        <v/>
      </c>
      <c r="L680" s="24" t="str">
        <f aca="false">IF(AND($A680="",$B680=""),"",IF(ISNA(MATCH($A680,Activities!$A$2:$A$201,0)),"Unknown activity",IF(ISNA(MATCH($B680,Students!$A$2:$A$301,0)),"Unknown student",IF(D680="","No status",IF(COUNTIFS($A$2:$A$1001,$A680,$B$2:$B$1001,$B680)&gt;1,"Duplicate",IF(AND(D680&lt;&gt;"Withdrawn",G680&lt;&gt;"",COUNTIFS($B$2:$B$1001,$B680,$G$2:$G$1001,G680,$D$2:$D$1001,"&lt;&gt;Withdrawn")&gt;1),"Same-day clash","OK"))))))</f>
        <v/>
      </c>
    </row>
    <row r="681" customFormat="false" ht="15" hidden="false" customHeight="false" outlineLevel="0" collapsed="false">
      <c r="E681" s="26"/>
      <c r="G681" s="23" t="str">
        <f aca="false">IF($A681="","",IFERROR(IF(INDEX(Activities!$C$2:$C$201,MATCH($A681,Activities!$A$2:$A$201,0))="","",INDEX(Activities!$C$2:$C$201,MATCH($A681,Activities!$A$2:$A$201,0))),""))</f>
        <v/>
      </c>
      <c r="H681" s="24" t="str">
        <f aca="false">IF($A681="","",IFERROR(IF(INDEX(Activities!$B$2:$B$201,MATCH($A681,Activities!$A$2:$A$201,0))="","",INDEX(Activities!$B$2:$B$201,MATCH($A681,Activities!$A$2:$A$201,0))),""))</f>
        <v/>
      </c>
      <c r="I681" s="24" t="str">
        <f aca="false">IF($B681="","",IFERROR(IF(INDEX(Students!$C$2:$C$301,MATCH($B681,Students!$A$2:$A$301,0))="","",INDEX(Students!$C$2:$C$301,MATCH($B681,Students!$A$2:$A$301,0))),""))</f>
        <v/>
      </c>
      <c r="J681" s="24" t="str">
        <f aca="false">IF($B681="","",IFERROR(IF(INDEX(Students!$B$2:$B$301,MATCH($B681,Students!$A$2:$A$301,0))="","",INDEX(Students!$B$2:$B$301,MATCH($B681,Students!$A$2:$A$301,0))),""))</f>
        <v/>
      </c>
      <c r="K681" s="25" t="str">
        <f aca="false">IF($A681="","",IF(D681="Withdrawn",0,IF(E681&lt;&gt;"",N(E681),IFERROR(N(INDEX(Activities!$I$2:$I$201,MATCH($A681,Activities!$A$2:$A$201,0))),0))))</f>
        <v/>
      </c>
      <c r="L681" s="24" t="str">
        <f aca="false">IF(AND($A681="",$B681=""),"",IF(ISNA(MATCH($A681,Activities!$A$2:$A$201,0)),"Unknown activity",IF(ISNA(MATCH($B681,Students!$A$2:$A$301,0)),"Unknown student",IF(D681="","No status",IF(COUNTIFS($A$2:$A$1001,$A681,$B$2:$B$1001,$B681)&gt;1,"Duplicate",IF(AND(D681&lt;&gt;"Withdrawn",G681&lt;&gt;"",COUNTIFS($B$2:$B$1001,$B681,$G$2:$G$1001,G681,$D$2:$D$1001,"&lt;&gt;Withdrawn")&gt;1),"Same-day clash","OK"))))))</f>
        <v/>
      </c>
    </row>
    <row r="682" customFormat="false" ht="15" hidden="false" customHeight="false" outlineLevel="0" collapsed="false">
      <c r="E682" s="26"/>
      <c r="G682" s="23" t="str">
        <f aca="false">IF($A682="","",IFERROR(IF(INDEX(Activities!$C$2:$C$201,MATCH($A682,Activities!$A$2:$A$201,0))="","",INDEX(Activities!$C$2:$C$201,MATCH($A682,Activities!$A$2:$A$201,0))),""))</f>
        <v/>
      </c>
      <c r="H682" s="24" t="str">
        <f aca="false">IF($A682="","",IFERROR(IF(INDEX(Activities!$B$2:$B$201,MATCH($A682,Activities!$A$2:$A$201,0))="","",INDEX(Activities!$B$2:$B$201,MATCH($A682,Activities!$A$2:$A$201,0))),""))</f>
        <v/>
      </c>
      <c r="I682" s="24" t="str">
        <f aca="false">IF($B682="","",IFERROR(IF(INDEX(Students!$C$2:$C$301,MATCH($B682,Students!$A$2:$A$301,0))="","",INDEX(Students!$C$2:$C$301,MATCH($B682,Students!$A$2:$A$301,0))),""))</f>
        <v/>
      </c>
      <c r="J682" s="24" t="str">
        <f aca="false">IF($B682="","",IFERROR(IF(INDEX(Students!$B$2:$B$301,MATCH($B682,Students!$A$2:$A$301,0))="","",INDEX(Students!$B$2:$B$301,MATCH($B682,Students!$A$2:$A$301,0))),""))</f>
        <v/>
      </c>
      <c r="K682" s="25" t="str">
        <f aca="false">IF($A682="","",IF(D682="Withdrawn",0,IF(E682&lt;&gt;"",N(E682),IFERROR(N(INDEX(Activities!$I$2:$I$201,MATCH($A682,Activities!$A$2:$A$201,0))),0))))</f>
        <v/>
      </c>
      <c r="L682" s="24" t="str">
        <f aca="false">IF(AND($A682="",$B682=""),"",IF(ISNA(MATCH($A682,Activities!$A$2:$A$201,0)),"Unknown activity",IF(ISNA(MATCH($B682,Students!$A$2:$A$301,0)),"Unknown student",IF(D682="","No status",IF(COUNTIFS($A$2:$A$1001,$A682,$B$2:$B$1001,$B682)&gt;1,"Duplicate",IF(AND(D682&lt;&gt;"Withdrawn",G682&lt;&gt;"",COUNTIFS($B$2:$B$1001,$B682,$G$2:$G$1001,G682,$D$2:$D$1001,"&lt;&gt;Withdrawn")&gt;1),"Same-day clash","OK"))))))</f>
        <v/>
      </c>
    </row>
    <row r="683" customFormat="false" ht="15" hidden="false" customHeight="false" outlineLevel="0" collapsed="false">
      <c r="E683" s="26"/>
      <c r="G683" s="23" t="str">
        <f aca="false">IF($A683="","",IFERROR(IF(INDEX(Activities!$C$2:$C$201,MATCH($A683,Activities!$A$2:$A$201,0))="","",INDEX(Activities!$C$2:$C$201,MATCH($A683,Activities!$A$2:$A$201,0))),""))</f>
        <v/>
      </c>
      <c r="H683" s="24" t="str">
        <f aca="false">IF($A683="","",IFERROR(IF(INDEX(Activities!$B$2:$B$201,MATCH($A683,Activities!$A$2:$A$201,0))="","",INDEX(Activities!$B$2:$B$201,MATCH($A683,Activities!$A$2:$A$201,0))),""))</f>
        <v/>
      </c>
      <c r="I683" s="24" t="str">
        <f aca="false">IF($B683="","",IFERROR(IF(INDEX(Students!$C$2:$C$301,MATCH($B683,Students!$A$2:$A$301,0))="","",INDEX(Students!$C$2:$C$301,MATCH($B683,Students!$A$2:$A$301,0))),""))</f>
        <v/>
      </c>
      <c r="J683" s="24" t="str">
        <f aca="false">IF($B683="","",IFERROR(IF(INDEX(Students!$B$2:$B$301,MATCH($B683,Students!$A$2:$A$301,0))="","",INDEX(Students!$B$2:$B$301,MATCH($B683,Students!$A$2:$A$301,0))),""))</f>
        <v/>
      </c>
      <c r="K683" s="25" t="str">
        <f aca="false">IF($A683="","",IF(D683="Withdrawn",0,IF(E683&lt;&gt;"",N(E683),IFERROR(N(INDEX(Activities!$I$2:$I$201,MATCH($A683,Activities!$A$2:$A$201,0))),0))))</f>
        <v/>
      </c>
      <c r="L683" s="24" t="str">
        <f aca="false">IF(AND($A683="",$B683=""),"",IF(ISNA(MATCH($A683,Activities!$A$2:$A$201,0)),"Unknown activity",IF(ISNA(MATCH($B683,Students!$A$2:$A$301,0)),"Unknown student",IF(D683="","No status",IF(COUNTIFS($A$2:$A$1001,$A683,$B$2:$B$1001,$B683)&gt;1,"Duplicate",IF(AND(D683&lt;&gt;"Withdrawn",G683&lt;&gt;"",COUNTIFS($B$2:$B$1001,$B683,$G$2:$G$1001,G683,$D$2:$D$1001,"&lt;&gt;Withdrawn")&gt;1),"Same-day clash","OK"))))))</f>
        <v/>
      </c>
    </row>
    <row r="684" customFormat="false" ht="15" hidden="false" customHeight="false" outlineLevel="0" collapsed="false">
      <c r="E684" s="26"/>
      <c r="G684" s="23" t="str">
        <f aca="false">IF($A684="","",IFERROR(IF(INDEX(Activities!$C$2:$C$201,MATCH($A684,Activities!$A$2:$A$201,0))="","",INDEX(Activities!$C$2:$C$201,MATCH($A684,Activities!$A$2:$A$201,0))),""))</f>
        <v/>
      </c>
      <c r="H684" s="24" t="str">
        <f aca="false">IF($A684="","",IFERROR(IF(INDEX(Activities!$B$2:$B$201,MATCH($A684,Activities!$A$2:$A$201,0))="","",INDEX(Activities!$B$2:$B$201,MATCH($A684,Activities!$A$2:$A$201,0))),""))</f>
        <v/>
      </c>
      <c r="I684" s="24" t="str">
        <f aca="false">IF($B684="","",IFERROR(IF(INDEX(Students!$C$2:$C$301,MATCH($B684,Students!$A$2:$A$301,0))="","",INDEX(Students!$C$2:$C$301,MATCH($B684,Students!$A$2:$A$301,0))),""))</f>
        <v/>
      </c>
      <c r="J684" s="24" t="str">
        <f aca="false">IF($B684="","",IFERROR(IF(INDEX(Students!$B$2:$B$301,MATCH($B684,Students!$A$2:$A$301,0))="","",INDEX(Students!$B$2:$B$301,MATCH($B684,Students!$A$2:$A$301,0))),""))</f>
        <v/>
      </c>
      <c r="K684" s="25" t="str">
        <f aca="false">IF($A684="","",IF(D684="Withdrawn",0,IF(E684&lt;&gt;"",N(E684),IFERROR(N(INDEX(Activities!$I$2:$I$201,MATCH($A684,Activities!$A$2:$A$201,0))),0))))</f>
        <v/>
      </c>
      <c r="L684" s="24" t="str">
        <f aca="false">IF(AND($A684="",$B684=""),"",IF(ISNA(MATCH($A684,Activities!$A$2:$A$201,0)),"Unknown activity",IF(ISNA(MATCH($B684,Students!$A$2:$A$301,0)),"Unknown student",IF(D684="","No status",IF(COUNTIFS($A$2:$A$1001,$A684,$B$2:$B$1001,$B684)&gt;1,"Duplicate",IF(AND(D684&lt;&gt;"Withdrawn",G684&lt;&gt;"",COUNTIFS($B$2:$B$1001,$B684,$G$2:$G$1001,G684,$D$2:$D$1001,"&lt;&gt;Withdrawn")&gt;1),"Same-day clash","OK"))))))</f>
        <v/>
      </c>
    </row>
    <row r="685" customFormat="false" ht="15" hidden="false" customHeight="false" outlineLevel="0" collapsed="false">
      <c r="E685" s="26"/>
      <c r="G685" s="23" t="str">
        <f aca="false">IF($A685="","",IFERROR(IF(INDEX(Activities!$C$2:$C$201,MATCH($A685,Activities!$A$2:$A$201,0))="","",INDEX(Activities!$C$2:$C$201,MATCH($A685,Activities!$A$2:$A$201,0))),""))</f>
        <v/>
      </c>
      <c r="H685" s="24" t="str">
        <f aca="false">IF($A685="","",IFERROR(IF(INDEX(Activities!$B$2:$B$201,MATCH($A685,Activities!$A$2:$A$201,0))="","",INDEX(Activities!$B$2:$B$201,MATCH($A685,Activities!$A$2:$A$201,0))),""))</f>
        <v/>
      </c>
      <c r="I685" s="24" t="str">
        <f aca="false">IF($B685="","",IFERROR(IF(INDEX(Students!$C$2:$C$301,MATCH($B685,Students!$A$2:$A$301,0))="","",INDEX(Students!$C$2:$C$301,MATCH($B685,Students!$A$2:$A$301,0))),""))</f>
        <v/>
      </c>
      <c r="J685" s="24" t="str">
        <f aca="false">IF($B685="","",IFERROR(IF(INDEX(Students!$B$2:$B$301,MATCH($B685,Students!$A$2:$A$301,0))="","",INDEX(Students!$B$2:$B$301,MATCH($B685,Students!$A$2:$A$301,0))),""))</f>
        <v/>
      </c>
      <c r="K685" s="25" t="str">
        <f aca="false">IF($A685="","",IF(D685="Withdrawn",0,IF(E685&lt;&gt;"",N(E685),IFERROR(N(INDEX(Activities!$I$2:$I$201,MATCH($A685,Activities!$A$2:$A$201,0))),0))))</f>
        <v/>
      </c>
      <c r="L685" s="24" t="str">
        <f aca="false">IF(AND($A685="",$B685=""),"",IF(ISNA(MATCH($A685,Activities!$A$2:$A$201,0)),"Unknown activity",IF(ISNA(MATCH($B685,Students!$A$2:$A$301,0)),"Unknown student",IF(D685="","No status",IF(COUNTIFS($A$2:$A$1001,$A685,$B$2:$B$1001,$B685)&gt;1,"Duplicate",IF(AND(D685&lt;&gt;"Withdrawn",G685&lt;&gt;"",COUNTIFS($B$2:$B$1001,$B685,$G$2:$G$1001,G685,$D$2:$D$1001,"&lt;&gt;Withdrawn")&gt;1),"Same-day clash","OK"))))))</f>
        <v/>
      </c>
    </row>
    <row r="686" customFormat="false" ht="15" hidden="false" customHeight="false" outlineLevel="0" collapsed="false">
      <c r="E686" s="26"/>
      <c r="G686" s="23" t="str">
        <f aca="false">IF($A686="","",IFERROR(IF(INDEX(Activities!$C$2:$C$201,MATCH($A686,Activities!$A$2:$A$201,0))="","",INDEX(Activities!$C$2:$C$201,MATCH($A686,Activities!$A$2:$A$201,0))),""))</f>
        <v/>
      </c>
      <c r="H686" s="24" t="str">
        <f aca="false">IF($A686="","",IFERROR(IF(INDEX(Activities!$B$2:$B$201,MATCH($A686,Activities!$A$2:$A$201,0))="","",INDEX(Activities!$B$2:$B$201,MATCH($A686,Activities!$A$2:$A$201,0))),""))</f>
        <v/>
      </c>
      <c r="I686" s="24" t="str">
        <f aca="false">IF($B686="","",IFERROR(IF(INDEX(Students!$C$2:$C$301,MATCH($B686,Students!$A$2:$A$301,0))="","",INDEX(Students!$C$2:$C$301,MATCH($B686,Students!$A$2:$A$301,0))),""))</f>
        <v/>
      </c>
      <c r="J686" s="24" t="str">
        <f aca="false">IF($B686="","",IFERROR(IF(INDEX(Students!$B$2:$B$301,MATCH($B686,Students!$A$2:$A$301,0))="","",INDEX(Students!$B$2:$B$301,MATCH($B686,Students!$A$2:$A$301,0))),""))</f>
        <v/>
      </c>
      <c r="K686" s="25" t="str">
        <f aca="false">IF($A686="","",IF(D686="Withdrawn",0,IF(E686&lt;&gt;"",N(E686),IFERROR(N(INDEX(Activities!$I$2:$I$201,MATCH($A686,Activities!$A$2:$A$201,0))),0))))</f>
        <v/>
      </c>
      <c r="L686" s="24" t="str">
        <f aca="false">IF(AND($A686="",$B686=""),"",IF(ISNA(MATCH($A686,Activities!$A$2:$A$201,0)),"Unknown activity",IF(ISNA(MATCH($B686,Students!$A$2:$A$301,0)),"Unknown student",IF(D686="","No status",IF(COUNTIFS($A$2:$A$1001,$A686,$B$2:$B$1001,$B686)&gt;1,"Duplicate",IF(AND(D686&lt;&gt;"Withdrawn",G686&lt;&gt;"",COUNTIFS($B$2:$B$1001,$B686,$G$2:$G$1001,G686,$D$2:$D$1001,"&lt;&gt;Withdrawn")&gt;1),"Same-day clash","OK"))))))</f>
        <v/>
      </c>
    </row>
    <row r="687" customFormat="false" ht="15" hidden="false" customHeight="false" outlineLevel="0" collapsed="false">
      <c r="E687" s="26"/>
      <c r="G687" s="23" t="str">
        <f aca="false">IF($A687="","",IFERROR(IF(INDEX(Activities!$C$2:$C$201,MATCH($A687,Activities!$A$2:$A$201,0))="","",INDEX(Activities!$C$2:$C$201,MATCH($A687,Activities!$A$2:$A$201,0))),""))</f>
        <v/>
      </c>
      <c r="H687" s="24" t="str">
        <f aca="false">IF($A687="","",IFERROR(IF(INDEX(Activities!$B$2:$B$201,MATCH($A687,Activities!$A$2:$A$201,0))="","",INDEX(Activities!$B$2:$B$201,MATCH($A687,Activities!$A$2:$A$201,0))),""))</f>
        <v/>
      </c>
      <c r="I687" s="24" t="str">
        <f aca="false">IF($B687="","",IFERROR(IF(INDEX(Students!$C$2:$C$301,MATCH($B687,Students!$A$2:$A$301,0))="","",INDEX(Students!$C$2:$C$301,MATCH($B687,Students!$A$2:$A$301,0))),""))</f>
        <v/>
      </c>
      <c r="J687" s="24" t="str">
        <f aca="false">IF($B687="","",IFERROR(IF(INDEX(Students!$B$2:$B$301,MATCH($B687,Students!$A$2:$A$301,0))="","",INDEX(Students!$B$2:$B$301,MATCH($B687,Students!$A$2:$A$301,0))),""))</f>
        <v/>
      </c>
      <c r="K687" s="25" t="str">
        <f aca="false">IF($A687="","",IF(D687="Withdrawn",0,IF(E687&lt;&gt;"",N(E687),IFERROR(N(INDEX(Activities!$I$2:$I$201,MATCH($A687,Activities!$A$2:$A$201,0))),0))))</f>
        <v/>
      </c>
      <c r="L687" s="24" t="str">
        <f aca="false">IF(AND($A687="",$B687=""),"",IF(ISNA(MATCH($A687,Activities!$A$2:$A$201,0)),"Unknown activity",IF(ISNA(MATCH($B687,Students!$A$2:$A$301,0)),"Unknown student",IF(D687="","No status",IF(COUNTIFS($A$2:$A$1001,$A687,$B$2:$B$1001,$B687)&gt;1,"Duplicate",IF(AND(D687&lt;&gt;"Withdrawn",G687&lt;&gt;"",COUNTIFS($B$2:$B$1001,$B687,$G$2:$G$1001,G687,$D$2:$D$1001,"&lt;&gt;Withdrawn")&gt;1),"Same-day clash","OK"))))))</f>
        <v/>
      </c>
    </row>
    <row r="688" customFormat="false" ht="15" hidden="false" customHeight="false" outlineLevel="0" collapsed="false">
      <c r="E688" s="26"/>
      <c r="G688" s="23" t="str">
        <f aca="false">IF($A688="","",IFERROR(IF(INDEX(Activities!$C$2:$C$201,MATCH($A688,Activities!$A$2:$A$201,0))="","",INDEX(Activities!$C$2:$C$201,MATCH($A688,Activities!$A$2:$A$201,0))),""))</f>
        <v/>
      </c>
      <c r="H688" s="24" t="str">
        <f aca="false">IF($A688="","",IFERROR(IF(INDEX(Activities!$B$2:$B$201,MATCH($A688,Activities!$A$2:$A$201,0))="","",INDEX(Activities!$B$2:$B$201,MATCH($A688,Activities!$A$2:$A$201,0))),""))</f>
        <v/>
      </c>
      <c r="I688" s="24" t="str">
        <f aca="false">IF($B688="","",IFERROR(IF(INDEX(Students!$C$2:$C$301,MATCH($B688,Students!$A$2:$A$301,0))="","",INDEX(Students!$C$2:$C$301,MATCH($B688,Students!$A$2:$A$301,0))),""))</f>
        <v/>
      </c>
      <c r="J688" s="24" t="str">
        <f aca="false">IF($B688="","",IFERROR(IF(INDEX(Students!$B$2:$B$301,MATCH($B688,Students!$A$2:$A$301,0))="","",INDEX(Students!$B$2:$B$301,MATCH($B688,Students!$A$2:$A$301,0))),""))</f>
        <v/>
      </c>
      <c r="K688" s="25" t="str">
        <f aca="false">IF($A688="","",IF(D688="Withdrawn",0,IF(E688&lt;&gt;"",N(E688),IFERROR(N(INDEX(Activities!$I$2:$I$201,MATCH($A688,Activities!$A$2:$A$201,0))),0))))</f>
        <v/>
      </c>
      <c r="L688" s="24" t="str">
        <f aca="false">IF(AND($A688="",$B688=""),"",IF(ISNA(MATCH($A688,Activities!$A$2:$A$201,0)),"Unknown activity",IF(ISNA(MATCH($B688,Students!$A$2:$A$301,0)),"Unknown student",IF(D688="","No status",IF(COUNTIFS($A$2:$A$1001,$A688,$B$2:$B$1001,$B688)&gt;1,"Duplicate",IF(AND(D688&lt;&gt;"Withdrawn",G688&lt;&gt;"",COUNTIFS($B$2:$B$1001,$B688,$G$2:$G$1001,G688,$D$2:$D$1001,"&lt;&gt;Withdrawn")&gt;1),"Same-day clash","OK"))))))</f>
        <v/>
      </c>
    </row>
    <row r="689" customFormat="false" ht="15" hidden="false" customHeight="false" outlineLevel="0" collapsed="false">
      <c r="E689" s="26"/>
      <c r="G689" s="23" t="str">
        <f aca="false">IF($A689="","",IFERROR(IF(INDEX(Activities!$C$2:$C$201,MATCH($A689,Activities!$A$2:$A$201,0))="","",INDEX(Activities!$C$2:$C$201,MATCH($A689,Activities!$A$2:$A$201,0))),""))</f>
        <v/>
      </c>
      <c r="H689" s="24" t="str">
        <f aca="false">IF($A689="","",IFERROR(IF(INDEX(Activities!$B$2:$B$201,MATCH($A689,Activities!$A$2:$A$201,0))="","",INDEX(Activities!$B$2:$B$201,MATCH($A689,Activities!$A$2:$A$201,0))),""))</f>
        <v/>
      </c>
      <c r="I689" s="24" t="str">
        <f aca="false">IF($B689="","",IFERROR(IF(INDEX(Students!$C$2:$C$301,MATCH($B689,Students!$A$2:$A$301,0))="","",INDEX(Students!$C$2:$C$301,MATCH($B689,Students!$A$2:$A$301,0))),""))</f>
        <v/>
      </c>
      <c r="J689" s="24" t="str">
        <f aca="false">IF($B689="","",IFERROR(IF(INDEX(Students!$B$2:$B$301,MATCH($B689,Students!$A$2:$A$301,0))="","",INDEX(Students!$B$2:$B$301,MATCH($B689,Students!$A$2:$A$301,0))),""))</f>
        <v/>
      </c>
      <c r="K689" s="25" t="str">
        <f aca="false">IF($A689="","",IF(D689="Withdrawn",0,IF(E689&lt;&gt;"",N(E689),IFERROR(N(INDEX(Activities!$I$2:$I$201,MATCH($A689,Activities!$A$2:$A$201,0))),0))))</f>
        <v/>
      </c>
      <c r="L689" s="24" t="str">
        <f aca="false">IF(AND($A689="",$B689=""),"",IF(ISNA(MATCH($A689,Activities!$A$2:$A$201,0)),"Unknown activity",IF(ISNA(MATCH($B689,Students!$A$2:$A$301,0)),"Unknown student",IF(D689="","No status",IF(COUNTIFS($A$2:$A$1001,$A689,$B$2:$B$1001,$B689)&gt;1,"Duplicate",IF(AND(D689&lt;&gt;"Withdrawn",G689&lt;&gt;"",COUNTIFS($B$2:$B$1001,$B689,$G$2:$G$1001,G689,$D$2:$D$1001,"&lt;&gt;Withdrawn")&gt;1),"Same-day clash","OK"))))))</f>
        <v/>
      </c>
    </row>
    <row r="690" customFormat="false" ht="15" hidden="false" customHeight="false" outlineLevel="0" collapsed="false">
      <c r="E690" s="26"/>
      <c r="G690" s="23" t="str">
        <f aca="false">IF($A690="","",IFERROR(IF(INDEX(Activities!$C$2:$C$201,MATCH($A690,Activities!$A$2:$A$201,0))="","",INDEX(Activities!$C$2:$C$201,MATCH($A690,Activities!$A$2:$A$201,0))),""))</f>
        <v/>
      </c>
      <c r="H690" s="24" t="str">
        <f aca="false">IF($A690="","",IFERROR(IF(INDEX(Activities!$B$2:$B$201,MATCH($A690,Activities!$A$2:$A$201,0))="","",INDEX(Activities!$B$2:$B$201,MATCH($A690,Activities!$A$2:$A$201,0))),""))</f>
        <v/>
      </c>
      <c r="I690" s="24" t="str">
        <f aca="false">IF($B690="","",IFERROR(IF(INDEX(Students!$C$2:$C$301,MATCH($B690,Students!$A$2:$A$301,0))="","",INDEX(Students!$C$2:$C$301,MATCH($B690,Students!$A$2:$A$301,0))),""))</f>
        <v/>
      </c>
      <c r="J690" s="24" t="str">
        <f aca="false">IF($B690="","",IFERROR(IF(INDEX(Students!$B$2:$B$301,MATCH($B690,Students!$A$2:$A$301,0))="","",INDEX(Students!$B$2:$B$301,MATCH($B690,Students!$A$2:$A$301,0))),""))</f>
        <v/>
      </c>
      <c r="K690" s="25" t="str">
        <f aca="false">IF($A690="","",IF(D690="Withdrawn",0,IF(E690&lt;&gt;"",N(E690),IFERROR(N(INDEX(Activities!$I$2:$I$201,MATCH($A690,Activities!$A$2:$A$201,0))),0))))</f>
        <v/>
      </c>
      <c r="L690" s="24" t="str">
        <f aca="false">IF(AND($A690="",$B690=""),"",IF(ISNA(MATCH($A690,Activities!$A$2:$A$201,0)),"Unknown activity",IF(ISNA(MATCH($B690,Students!$A$2:$A$301,0)),"Unknown student",IF(D690="","No status",IF(COUNTIFS($A$2:$A$1001,$A690,$B$2:$B$1001,$B690)&gt;1,"Duplicate",IF(AND(D690&lt;&gt;"Withdrawn",G690&lt;&gt;"",COUNTIFS($B$2:$B$1001,$B690,$G$2:$G$1001,G690,$D$2:$D$1001,"&lt;&gt;Withdrawn")&gt;1),"Same-day clash","OK"))))))</f>
        <v/>
      </c>
    </row>
    <row r="691" customFormat="false" ht="15" hidden="false" customHeight="false" outlineLevel="0" collapsed="false">
      <c r="E691" s="26"/>
      <c r="G691" s="23" t="str">
        <f aca="false">IF($A691="","",IFERROR(IF(INDEX(Activities!$C$2:$C$201,MATCH($A691,Activities!$A$2:$A$201,0))="","",INDEX(Activities!$C$2:$C$201,MATCH($A691,Activities!$A$2:$A$201,0))),""))</f>
        <v/>
      </c>
      <c r="H691" s="24" t="str">
        <f aca="false">IF($A691="","",IFERROR(IF(INDEX(Activities!$B$2:$B$201,MATCH($A691,Activities!$A$2:$A$201,0))="","",INDEX(Activities!$B$2:$B$201,MATCH($A691,Activities!$A$2:$A$201,0))),""))</f>
        <v/>
      </c>
      <c r="I691" s="24" t="str">
        <f aca="false">IF($B691="","",IFERROR(IF(INDEX(Students!$C$2:$C$301,MATCH($B691,Students!$A$2:$A$301,0))="","",INDEX(Students!$C$2:$C$301,MATCH($B691,Students!$A$2:$A$301,0))),""))</f>
        <v/>
      </c>
      <c r="J691" s="24" t="str">
        <f aca="false">IF($B691="","",IFERROR(IF(INDEX(Students!$B$2:$B$301,MATCH($B691,Students!$A$2:$A$301,0))="","",INDEX(Students!$B$2:$B$301,MATCH($B691,Students!$A$2:$A$301,0))),""))</f>
        <v/>
      </c>
      <c r="K691" s="25" t="str">
        <f aca="false">IF($A691="","",IF(D691="Withdrawn",0,IF(E691&lt;&gt;"",N(E691),IFERROR(N(INDEX(Activities!$I$2:$I$201,MATCH($A691,Activities!$A$2:$A$201,0))),0))))</f>
        <v/>
      </c>
      <c r="L691" s="24" t="str">
        <f aca="false">IF(AND($A691="",$B691=""),"",IF(ISNA(MATCH($A691,Activities!$A$2:$A$201,0)),"Unknown activity",IF(ISNA(MATCH($B691,Students!$A$2:$A$301,0)),"Unknown student",IF(D691="","No status",IF(COUNTIFS($A$2:$A$1001,$A691,$B$2:$B$1001,$B691)&gt;1,"Duplicate",IF(AND(D691&lt;&gt;"Withdrawn",G691&lt;&gt;"",COUNTIFS($B$2:$B$1001,$B691,$G$2:$G$1001,G691,$D$2:$D$1001,"&lt;&gt;Withdrawn")&gt;1),"Same-day clash","OK"))))))</f>
        <v/>
      </c>
    </row>
    <row r="692" customFormat="false" ht="15" hidden="false" customHeight="false" outlineLevel="0" collapsed="false">
      <c r="E692" s="26"/>
      <c r="G692" s="23" t="str">
        <f aca="false">IF($A692="","",IFERROR(IF(INDEX(Activities!$C$2:$C$201,MATCH($A692,Activities!$A$2:$A$201,0))="","",INDEX(Activities!$C$2:$C$201,MATCH($A692,Activities!$A$2:$A$201,0))),""))</f>
        <v/>
      </c>
      <c r="H692" s="24" t="str">
        <f aca="false">IF($A692="","",IFERROR(IF(INDEX(Activities!$B$2:$B$201,MATCH($A692,Activities!$A$2:$A$201,0))="","",INDEX(Activities!$B$2:$B$201,MATCH($A692,Activities!$A$2:$A$201,0))),""))</f>
        <v/>
      </c>
      <c r="I692" s="24" t="str">
        <f aca="false">IF($B692="","",IFERROR(IF(INDEX(Students!$C$2:$C$301,MATCH($B692,Students!$A$2:$A$301,0))="","",INDEX(Students!$C$2:$C$301,MATCH($B692,Students!$A$2:$A$301,0))),""))</f>
        <v/>
      </c>
      <c r="J692" s="24" t="str">
        <f aca="false">IF($B692="","",IFERROR(IF(INDEX(Students!$B$2:$B$301,MATCH($B692,Students!$A$2:$A$301,0))="","",INDEX(Students!$B$2:$B$301,MATCH($B692,Students!$A$2:$A$301,0))),""))</f>
        <v/>
      </c>
      <c r="K692" s="25" t="str">
        <f aca="false">IF($A692="","",IF(D692="Withdrawn",0,IF(E692&lt;&gt;"",N(E692),IFERROR(N(INDEX(Activities!$I$2:$I$201,MATCH($A692,Activities!$A$2:$A$201,0))),0))))</f>
        <v/>
      </c>
      <c r="L692" s="24" t="str">
        <f aca="false">IF(AND($A692="",$B692=""),"",IF(ISNA(MATCH($A692,Activities!$A$2:$A$201,0)),"Unknown activity",IF(ISNA(MATCH($B692,Students!$A$2:$A$301,0)),"Unknown student",IF(D692="","No status",IF(COUNTIFS($A$2:$A$1001,$A692,$B$2:$B$1001,$B692)&gt;1,"Duplicate",IF(AND(D692&lt;&gt;"Withdrawn",G692&lt;&gt;"",COUNTIFS($B$2:$B$1001,$B692,$G$2:$G$1001,G692,$D$2:$D$1001,"&lt;&gt;Withdrawn")&gt;1),"Same-day clash","OK"))))))</f>
        <v/>
      </c>
    </row>
    <row r="693" customFormat="false" ht="15" hidden="false" customHeight="false" outlineLevel="0" collapsed="false">
      <c r="E693" s="26"/>
      <c r="G693" s="23" t="str">
        <f aca="false">IF($A693="","",IFERROR(IF(INDEX(Activities!$C$2:$C$201,MATCH($A693,Activities!$A$2:$A$201,0))="","",INDEX(Activities!$C$2:$C$201,MATCH($A693,Activities!$A$2:$A$201,0))),""))</f>
        <v/>
      </c>
      <c r="H693" s="24" t="str">
        <f aca="false">IF($A693="","",IFERROR(IF(INDEX(Activities!$B$2:$B$201,MATCH($A693,Activities!$A$2:$A$201,0))="","",INDEX(Activities!$B$2:$B$201,MATCH($A693,Activities!$A$2:$A$201,0))),""))</f>
        <v/>
      </c>
      <c r="I693" s="24" t="str">
        <f aca="false">IF($B693="","",IFERROR(IF(INDEX(Students!$C$2:$C$301,MATCH($B693,Students!$A$2:$A$301,0))="","",INDEX(Students!$C$2:$C$301,MATCH($B693,Students!$A$2:$A$301,0))),""))</f>
        <v/>
      </c>
      <c r="J693" s="24" t="str">
        <f aca="false">IF($B693="","",IFERROR(IF(INDEX(Students!$B$2:$B$301,MATCH($B693,Students!$A$2:$A$301,0))="","",INDEX(Students!$B$2:$B$301,MATCH($B693,Students!$A$2:$A$301,0))),""))</f>
        <v/>
      </c>
      <c r="K693" s="25" t="str">
        <f aca="false">IF($A693="","",IF(D693="Withdrawn",0,IF(E693&lt;&gt;"",N(E693),IFERROR(N(INDEX(Activities!$I$2:$I$201,MATCH($A693,Activities!$A$2:$A$201,0))),0))))</f>
        <v/>
      </c>
      <c r="L693" s="24" t="str">
        <f aca="false">IF(AND($A693="",$B693=""),"",IF(ISNA(MATCH($A693,Activities!$A$2:$A$201,0)),"Unknown activity",IF(ISNA(MATCH($B693,Students!$A$2:$A$301,0)),"Unknown student",IF(D693="","No status",IF(COUNTIFS($A$2:$A$1001,$A693,$B$2:$B$1001,$B693)&gt;1,"Duplicate",IF(AND(D693&lt;&gt;"Withdrawn",G693&lt;&gt;"",COUNTIFS($B$2:$B$1001,$B693,$G$2:$G$1001,G693,$D$2:$D$1001,"&lt;&gt;Withdrawn")&gt;1),"Same-day clash","OK"))))))</f>
        <v/>
      </c>
    </row>
    <row r="694" customFormat="false" ht="15" hidden="false" customHeight="false" outlineLevel="0" collapsed="false">
      <c r="E694" s="26"/>
      <c r="G694" s="23" t="str">
        <f aca="false">IF($A694="","",IFERROR(IF(INDEX(Activities!$C$2:$C$201,MATCH($A694,Activities!$A$2:$A$201,0))="","",INDEX(Activities!$C$2:$C$201,MATCH($A694,Activities!$A$2:$A$201,0))),""))</f>
        <v/>
      </c>
      <c r="H694" s="24" t="str">
        <f aca="false">IF($A694="","",IFERROR(IF(INDEX(Activities!$B$2:$B$201,MATCH($A694,Activities!$A$2:$A$201,0))="","",INDEX(Activities!$B$2:$B$201,MATCH($A694,Activities!$A$2:$A$201,0))),""))</f>
        <v/>
      </c>
      <c r="I694" s="24" t="str">
        <f aca="false">IF($B694="","",IFERROR(IF(INDEX(Students!$C$2:$C$301,MATCH($B694,Students!$A$2:$A$301,0))="","",INDEX(Students!$C$2:$C$301,MATCH($B694,Students!$A$2:$A$301,0))),""))</f>
        <v/>
      </c>
      <c r="J694" s="24" t="str">
        <f aca="false">IF($B694="","",IFERROR(IF(INDEX(Students!$B$2:$B$301,MATCH($B694,Students!$A$2:$A$301,0))="","",INDEX(Students!$B$2:$B$301,MATCH($B694,Students!$A$2:$A$301,0))),""))</f>
        <v/>
      </c>
      <c r="K694" s="25" t="str">
        <f aca="false">IF($A694="","",IF(D694="Withdrawn",0,IF(E694&lt;&gt;"",N(E694),IFERROR(N(INDEX(Activities!$I$2:$I$201,MATCH($A694,Activities!$A$2:$A$201,0))),0))))</f>
        <v/>
      </c>
      <c r="L694" s="24" t="str">
        <f aca="false">IF(AND($A694="",$B694=""),"",IF(ISNA(MATCH($A694,Activities!$A$2:$A$201,0)),"Unknown activity",IF(ISNA(MATCH($B694,Students!$A$2:$A$301,0)),"Unknown student",IF(D694="","No status",IF(COUNTIFS($A$2:$A$1001,$A694,$B$2:$B$1001,$B694)&gt;1,"Duplicate",IF(AND(D694&lt;&gt;"Withdrawn",G694&lt;&gt;"",COUNTIFS($B$2:$B$1001,$B694,$G$2:$G$1001,G694,$D$2:$D$1001,"&lt;&gt;Withdrawn")&gt;1),"Same-day clash","OK"))))))</f>
        <v/>
      </c>
    </row>
    <row r="695" customFormat="false" ht="15" hidden="false" customHeight="false" outlineLevel="0" collapsed="false">
      <c r="E695" s="26"/>
      <c r="G695" s="23" t="str">
        <f aca="false">IF($A695="","",IFERROR(IF(INDEX(Activities!$C$2:$C$201,MATCH($A695,Activities!$A$2:$A$201,0))="","",INDEX(Activities!$C$2:$C$201,MATCH($A695,Activities!$A$2:$A$201,0))),""))</f>
        <v/>
      </c>
      <c r="H695" s="24" t="str">
        <f aca="false">IF($A695="","",IFERROR(IF(INDEX(Activities!$B$2:$B$201,MATCH($A695,Activities!$A$2:$A$201,0))="","",INDEX(Activities!$B$2:$B$201,MATCH($A695,Activities!$A$2:$A$201,0))),""))</f>
        <v/>
      </c>
      <c r="I695" s="24" t="str">
        <f aca="false">IF($B695="","",IFERROR(IF(INDEX(Students!$C$2:$C$301,MATCH($B695,Students!$A$2:$A$301,0))="","",INDEX(Students!$C$2:$C$301,MATCH($B695,Students!$A$2:$A$301,0))),""))</f>
        <v/>
      </c>
      <c r="J695" s="24" t="str">
        <f aca="false">IF($B695="","",IFERROR(IF(INDEX(Students!$B$2:$B$301,MATCH($B695,Students!$A$2:$A$301,0))="","",INDEX(Students!$B$2:$B$301,MATCH($B695,Students!$A$2:$A$301,0))),""))</f>
        <v/>
      </c>
      <c r="K695" s="25" t="str">
        <f aca="false">IF($A695="","",IF(D695="Withdrawn",0,IF(E695&lt;&gt;"",N(E695),IFERROR(N(INDEX(Activities!$I$2:$I$201,MATCH($A695,Activities!$A$2:$A$201,0))),0))))</f>
        <v/>
      </c>
      <c r="L695" s="24" t="str">
        <f aca="false">IF(AND($A695="",$B695=""),"",IF(ISNA(MATCH($A695,Activities!$A$2:$A$201,0)),"Unknown activity",IF(ISNA(MATCH($B695,Students!$A$2:$A$301,0)),"Unknown student",IF(D695="","No status",IF(COUNTIFS($A$2:$A$1001,$A695,$B$2:$B$1001,$B695)&gt;1,"Duplicate",IF(AND(D695&lt;&gt;"Withdrawn",G695&lt;&gt;"",COUNTIFS($B$2:$B$1001,$B695,$G$2:$G$1001,G695,$D$2:$D$1001,"&lt;&gt;Withdrawn")&gt;1),"Same-day clash","OK"))))))</f>
        <v/>
      </c>
    </row>
    <row r="696" customFormat="false" ht="15" hidden="false" customHeight="false" outlineLevel="0" collapsed="false">
      <c r="E696" s="26"/>
      <c r="G696" s="23" t="str">
        <f aca="false">IF($A696="","",IFERROR(IF(INDEX(Activities!$C$2:$C$201,MATCH($A696,Activities!$A$2:$A$201,0))="","",INDEX(Activities!$C$2:$C$201,MATCH($A696,Activities!$A$2:$A$201,0))),""))</f>
        <v/>
      </c>
      <c r="H696" s="24" t="str">
        <f aca="false">IF($A696="","",IFERROR(IF(INDEX(Activities!$B$2:$B$201,MATCH($A696,Activities!$A$2:$A$201,0))="","",INDEX(Activities!$B$2:$B$201,MATCH($A696,Activities!$A$2:$A$201,0))),""))</f>
        <v/>
      </c>
      <c r="I696" s="24" t="str">
        <f aca="false">IF($B696="","",IFERROR(IF(INDEX(Students!$C$2:$C$301,MATCH($B696,Students!$A$2:$A$301,0))="","",INDEX(Students!$C$2:$C$301,MATCH($B696,Students!$A$2:$A$301,0))),""))</f>
        <v/>
      </c>
      <c r="J696" s="24" t="str">
        <f aca="false">IF($B696="","",IFERROR(IF(INDEX(Students!$B$2:$B$301,MATCH($B696,Students!$A$2:$A$301,0))="","",INDEX(Students!$B$2:$B$301,MATCH($B696,Students!$A$2:$A$301,0))),""))</f>
        <v/>
      </c>
      <c r="K696" s="25" t="str">
        <f aca="false">IF($A696="","",IF(D696="Withdrawn",0,IF(E696&lt;&gt;"",N(E696),IFERROR(N(INDEX(Activities!$I$2:$I$201,MATCH($A696,Activities!$A$2:$A$201,0))),0))))</f>
        <v/>
      </c>
      <c r="L696" s="24" t="str">
        <f aca="false">IF(AND($A696="",$B696=""),"",IF(ISNA(MATCH($A696,Activities!$A$2:$A$201,0)),"Unknown activity",IF(ISNA(MATCH($B696,Students!$A$2:$A$301,0)),"Unknown student",IF(D696="","No status",IF(COUNTIFS($A$2:$A$1001,$A696,$B$2:$B$1001,$B696)&gt;1,"Duplicate",IF(AND(D696&lt;&gt;"Withdrawn",G696&lt;&gt;"",COUNTIFS($B$2:$B$1001,$B696,$G$2:$G$1001,G696,$D$2:$D$1001,"&lt;&gt;Withdrawn")&gt;1),"Same-day clash","OK"))))))</f>
        <v/>
      </c>
    </row>
    <row r="697" customFormat="false" ht="15" hidden="false" customHeight="false" outlineLevel="0" collapsed="false">
      <c r="E697" s="26"/>
      <c r="G697" s="23" t="str">
        <f aca="false">IF($A697="","",IFERROR(IF(INDEX(Activities!$C$2:$C$201,MATCH($A697,Activities!$A$2:$A$201,0))="","",INDEX(Activities!$C$2:$C$201,MATCH($A697,Activities!$A$2:$A$201,0))),""))</f>
        <v/>
      </c>
      <c r="H697" s="24" t="str">
        <f aca="false">IF($A697="","",IFERROR(IF(INDEX(Activities!$B$2:$B$201,MATCH($A697,Activities!$A$2:$A$201,0))="","",INDEX(Activities!$B$2:$B$201,MATCH($A697,Activities!$A$2:$A$201,0))),""))</f>
        <v/>
      </c>
      <c r="I697" s="24" t="str">
        <f aca="false">IF($B697="","",IFERROR(IF(INDEX(Students!$C$2:$C$301,MATCH($B697,Students!$A$2:$A$301,0))="","",INDEX(Students!$C$2:$C$301,MATCH($B697,Students!$A$2:$A$301,0))),""))</f>
        <v/>
      </c>
      <c r="J697" s="24" t="str">
        <f aca="false">IF($B697="","",IFERROR(IF(INDEX(Students!$B$2:$B$301,MATCH($B697,Students!$A$2:$A$301,0))="","",INDEX(Students!$B$2:$B$301,MATCH($B697,Students!$A$2:$A$301,0))),""))</f>
        <v/>
      </c>
      <c r="K697" s="25" t="str">
        <f aca="false">IF($A697="","",IF(D697="Withdrawn",0,IF(E697&lt;&gt;"",N(E697),IFERROR(N(INDEX(Activities!$I$2:$I$201,MATCH($A697,Activities!$A$2:$A$201,0))),0))))</f>
        <v/>
      </c>
      <c r="L697" s="24" t="str">
        <f aca="false">IF(AND($A697="",$B697=""),"",IF(ISNA(MATCH($A697,Activities!$A$2:$A$201,0)),"Unknown activity",IF(ISNA(MATCH($B697,Students!$A$2:$A$301,0)),"Unknown student",IF(D697="","No status",IF(COUNTIFS($A$2:$A$1001,$A697,$B$2:$B$1001,$B697)&gt;1,"Duplicate",IF(AND(D697&lt;&gt;"Withdrawn",G697&lt;&gt;"",COUNTIFS($B$2:$B$1001,$B697,$G$2:$G$1001,G697,$D$2:$D$1001,"&lt;&gt;Withdrawn")&gt;1),"Same-day clash","OK"))))))</f>
        <v/>
      </c>
    </row>
    <row r="698" customFormat="false" ht="15" hidden="false" customHeight="false" outlineLevel="0" collapsed="false">
      <c r="E698" s="26"/>
      <c r="G698" s="23" t="str">
        <f aca="false">IF($A698="","",IFERROR(IF(INDEX(Activities!$C$2:$C$201,MATCH($A698,Activities!$A$2:$A$201,0))="","",INDEX(Activities!$C$2:$C$201,MATCH($A698,Activities!$A$2:$A$201,0))),""))</f>
        <v/>
      </c>
      <c r="H698" s="24" t="str">
        <f aca="false">IF($A698="","",IFERROR(IF(INDEX(Activities!$B$2:$B$201,MATCH($A698,Activities!$A$2:$A$201,0))="","",INDEX(Activities!$B$2:$B$201,MATCH($A698,Activities!$A$2:$A$201,0))),""))</f>
        <v/>
      </c>
      <c r="I698" s="24" t="str">
        <f aca="false">IF($B698="","",IFERROR(IF(INDEX(Students!$C$2:$C$301,MATCH($B698,Students!$A$2:$A$301,0))="","",INDEX(Students!$C$2:$C$301,MATCH($B698,Students!$A$2:$A$301,0))),""))</f>
        <v/>
      </c>
      <c r="J698" s="24" t="str">
        <f aca="false">IF($B698="","",IFERROR(IF(INDEX(Students!$B$2:$B$301,MATCH($B698,Students!$A$2:$A$301,0))="","",INDEX(Students!$B$2:$B$301,MATCH($B698,Students!$A$2:$A$301,0))),""))</f>
        <v/>
      </c>
      <c r="K698" s="25" t="str">
        <f aca="false">IF($A698="","",IF(D698="Withdrawn",0,IF(E698&lt;&gt;"",N(E698),IFERROR(N(INDEX(Activities!$I$2:$I$201,MATCH($A698,Activities!$A$2:$A$201,0))),0))))</f>
        <v/>
      </c>
      <c r="L698" s="24" t="str">
        <f aca="false">IF(AND($A698="",$B698=""),"",IF(ISNA(MATCH($A698,Activities!$A$2:$A$201,0)),"Unknown activity",IF(ISNA(MATCH($B698,Students!$A$2:$A$301,0)),"Unknown student",IF(D698="","No status",IF(COUNTIFS($A$2:$A$1001,$A698,$B$2:$B$1001,$B698)&gt;1,"Duplicate",IF(AND(D698&lt;&gt;"Withdrawn",G698&lt;&gt;"",COUNTIFS($B$2:$B$1001,$B698,$G$2:$G$1001,G698,$D$2:$D$1001,"&lt;&gt;Withdrawn")&gt;1),"Same-day clash","OK"))))))</f>
        <v/>
      </c>
    </row>
    <row r="699" customFormat="false" ht="15" hidden="false" customHeight="false" outlineLevel="0" collapsed="false">
      <c r="E699" s="26"/>
      <c r="G699" s="23" t="str">
        <f aca="false">IF($A699="","",IFERROR(IF(INDEX(Activities!$C$2:$C$201,MATCH($A699,Activities!$A$2:$A$201,0))="","",INDEX(Activities!$C$2:$C$201,MATCH($A699,Activities!$A$2:$A$201,0))),""))</f>
        <v/>
      </c>
      <c r="H699" s="24" t="str">
        <f aca="false">IF($A699="","",IFERROR(IF(INDEX(Activities!$B$2:$B$201,MATCH($A699,Activities!$A$2:$A$201,0))="","",INDEX(Activities!$B$2:$B$201,MATCH($A699,Activities!$A$2:$A$201,0))),""))</f>
        <v/>
      </c>
      <c r="I699" s="24" t="str">
        <f aca="false">IF($B699="","",IFERROR(IF(INDEX(Students!$C$2:$C$301,MATCH($B699,Students!$A$2:$A$301,0))="","",INDEX(Students!$C$2:$C$301,MATCH($B699,Students!$A$2:$A$301,0))),""))</f>
        <v/>
      </c>
      <c r="J699" s="24" t="str">
        <f aca="false">IF($B699="","",IFERROR(IF(INDEX(Students!$B$2:$B$301,MATCH($B699,Students!$A$2:$A$301,0))="","",INDEX(Students!$B$2:$B$301,MATCH($B699,Students!$A$2:$A$301,0))),""))</f>
        <v/>
      </c>
      <c r="K699" s="25" t="str">
        <f aca="false">IF($A699="","",IF(D699="Withdrawn",0,IF(E699&lt;&gt;"",N(E699),IFERROR(N(INDEX(Activities!$I$2:$I$201,MATCH($A699,Activities!$A$2:$A$201,0))),0))))</f>
        <v/>
      </c>
      <c r="L699" s="24" t="str">
        <f aca="false">IF(AND($A699="",$B699=""),"",IF(ISNA(MATCH($A699,Activities!$A$2:$A$201,0)),"Unknown activity",IF(ISNA(MATCH($B699,Students!$A$2:$A$301,0)),"Unknown student",IF(D699="","No status",IF(COUNTIFS($A$2:$A$1001,$A699,$B$2:$B$1001,$B699)&gt;1,"Duplicate",IF(AND(D699&lt;&gt;"Withdrawn",G699&lt;&gt;"",COUNTIFS($B$2:$B$1001,$B699,$G$2:$G$1001,G699,$D$2:$D$1001,"&lt;&gt;Withdrawn")&gt;1),"Same-day clash","OK"))))))</f>
        <v/>
      </c>
    </row>
    <row r="700" customFormat="false" ht="15" hidden="false" customHeight="false" outlineLevel="0" collapsed="false">
      <c r="E700" s="26"/>
      <c r="G700" s="23" t="str">
        <f aca="false">IF($A700="","",IFERROR(IF(INDEX(Activities!$C$2:$C$201,MATCH($A700,Activities!$A$2:$A$201,0))="","",INDEX(Activities!$C$2:$C$201,MATCH($A700,Activities!$A$2:$A$201,0))),""))</f>
        <v/>
      </c>
      <c r="H700" s="24" t="str">
        <f aca="false">IF($A700="","",IFERROR(IF(INDEX(Activities!$B$2:$B$201,MATCH($A700,Activities!$A$2:$A$201,0))="","",INDEX(Activities!$B$2:$B$201,MATCH($A700,Activities!$A$2:$A$201,0))),""))</f>
        <v/>
      </c>
      <c r="I700" s="24" t="str">
        <f aca="false">IF($B700="","",IFERROR(IF(INDEX(Students!$C$2:$C$301,MATCH($B700,Students!$A$2:$A$301,0))="","",INDEX(Students!$C$2:$C$301,MATCH($B700,Students!$A$2:$A$301,0))),""))</f>
        <v/>
      </c>
      <c r="J700" s="24" t="str">
        <f aca="false">IF($B700="","",IFERROR(IF(INDEX(Students!$B$2:$B$301,MATCH($B700,Students!$A$2:$A$301,0))="","",INDEX(Students!$B$2:$B$301,MATCH($B700,Students!$A$2:$A$301,0))),""))</f>
        <v/>
      </c>
      <c r="K700" s="25" t="str">
        <f aca="false">IF($A700="","",IF(D700="Withdrawn",0,IF(E700&lt;&gt;"",N(E700),IFERROR(N(INDEX(Activities!$I$2:$I$201,MATCH($A700,Activities!$A$2:$A$201,0))),0))))</f>
        <v/>
      </c>
      <c r="L700" s="24" t="str">
        <f aca="false">IF(AND($A700="",$B700=""),"",IF(ISNA(MATCH($A700,Activities!$A$2:$A$201,0)),"Unknown activity",IF(ISNA(MATCH($B700,Students!$A$2:$A$301,0)),"Unknown student",IF(D700="","No status",IF(COUNTIFS($A$2:$A$1001,$A700,$B$2:$B$1001,$B700)&gt;1,"Duplicate",IF(AND(D700&lt;&gt;"Withdrawn",G700&lt;&gt;"",COUNTIFS($B$2:$B$1001,$B700,$G$2:$G$1001,G700,$D$2:$D$1001,"&lt;&gt;Withdrawn")&gt;1),"Same-day clash","OK"))))))</f>
        <v/>
      </c>
    </row>
    <row r="701" customFormat="false" ht="15" hidden="false" customHeight="false" outlineLevel="0" collapsed="false">
      <c r="E701" s="26"/>
      <c r="G701" s="23" t="str">
        <f aca="false">IF($A701="","",IFERROR(IF(INDEX(Activities!$C$2:$C$201,MATCH($A701,Activities!$A$2:$A$201,0))="","",INDEX(Activities!$C$2:$C$201,MATCH($A701,Activities!$A$2:$A$201,0))),""))</f>
        <v/>
      </c>
      <c r="H701" s="24" t="str">
        <f aca="false">IF($A701="","",IFERROR(IF(INDEX(Activities!$B$2:$B$201,MATCH($A701,Activities!$A$2:$A$201,0))="","",INDEX(Activities!$B$2:$B$201,MATCH($A701,Activities!$A$2:$A$201,0))),""))</f>
        <v/>
      </c>
      <c r="I701" s="24" t="str">
        <f aca="false">IF($B701="","",IFERROR(IF(INDEX(Students!$C$2:$C$301,MATCH($B701,Students!$A$2:$A$301,0))="","",INDEX(Students!$C$2:$C$301,MATCH($B701,Students!$A$2:$A$301,0))),""))</f>
        <v/>
      </c>
      <c r="J701" s="24" t="str">
        <f aca="false">IF($B701="","",IFERROR(IF(INDEX(Students!$B$2:$B$301,MATCH($B701,Students!$A$2:$A$301,0))="","",INDEX(Students!$B$2:$B$301,MATCH($B701,Students!$A$2:$A$301,0))),""))</f>
        <v/>
      </c>
      <c r="K701" s="25" t="str">
        <f aca="false">IF($A701="","",IF(D701="Withdrawn",0,IF(E701&lt;&gt;"",N(E701),IFERROR(N(INDEX(Activities!$I$2:$I$201,MATCH($A701,Activities!$A$2:$A$201,0))),0))))</f>
        <v/>
      </c>
      <c r="L701" s="24" t="str">
        <f aca="false">IF(AND($A701="",$B701=""),"",IF(ISNA(MATCH($A701,Activities!$A$2:$A$201,0)),"Unknown activity",IF(ISNA(MATCH($B701,Students!$A$2:$A$301,0)),"Unknown student",IF(D701="","No status",IF(COUNTIFS($A$2:$A$1001,$A701,$B$2:$B$1001,$B701)&gt;1,"Duplicate",IF(AND(D701&lt;&gt;"Withdrawn",G701&lt;&gt;"",COUNTIFS($B$2:$B$1001,$B701,$G$2:$G$1001,G701,$D$2:$D$1001,"&lt;&gt;Withdrawn")&gt;1),"Same-day clash","OK"))))))</f>
        <v/>
      </c>
    </row>
    <row r="702" customFormat="false" ht="15" hidden="false" customHeight="false" outlineLevel="0" collapsed="false">
      <c r="E702" s="26"/>
      <c r="G702" s="23" t="str">
        <f aca="false">IF($A702="","",IFERROR(IF(INDEX(Activities!$C$2:$C$201,MATCH($A702,Activities!$A$2:$A$201,0))="","",INDEX(Activities!$C$2:$C$201,MATCH($A702,Activities!$A$2:$A$201,0))),""))</f>
        <v/>
      </c>
      <c r="H702" s="24" t="str">
        <f aca="false">IF($A702="","",IFERROR(IF(INDEX(Activities!$B$2:$B$201,MATCH($A702,Activities!$A$2:$A$201,0))="","",INDEX(Activities!$B$2:$B$201,MATCH($A702,Activities!$A$2:$A$201,0))),""))</f>
        <v/>
      </c>
      <c r="I702" s="24" t="str">
        <f aca="false">IF($B702="","",IFERROR(IF(INDEX(Students!$C$2:$C$301,MATCH($B702,Students!$A$2:$A$301,0))="","",INDEX(Students!$C$2:$C$301,MATCH($B702,Students!$A$2:$A$301,0))),""))</f>
        <v/>
      </c>
      <c r="J702" s="24" t="str">
        <f aca="false">IF($B702="","",IFERROR(IF(INDEX(Students!$B$2:$B$301,MATCH($B702,Students!$A$2:$A$301,0))="","",INDEX(Students!$B$2:$B$301,MATCH($B702,Students!$A$2:$A$301,0))),""))</f>
        <v/>
      </c>
      <c r="K702" s="25" t="str">
        <f aca="false">IF($A702="","",IF(D702="Withdrawn",0,IF(E702&lt;&gt;"",N(E702),IFERROR(N(INDEX(Activities!$I$2:$I$201,MATCH($A702,Activities!$A$2:$A$201,0))),0))))</f>
        <v/>
      </c>
      <c r="L702" s="24" t="str">
        <f aca="false">IF(AND($A702="",$B702=""),"",IF(ISNA(MATCH($A702,Activities!$A$2:$A$201,0)),"Unknown activity",IF(ISNA(MATCH($B702,Students!$A$2:$A$301,0)),"Unknown student",IF(D702="","No status",IF(COUNTIFS($A$2:$A$1001,$A702,$B$2:$B$1001,$B702)&gt;1,"Duplicate",IF(AND(D702&lt;&gt;"Withdrawn",G702&lt;&gt;"",COUNTIFS($B$2:$B$1001,$B702,$G$2:$G$1001,G702,$D$2:$D$1001,"&lt;&gt;Withdrawn")&gt;1),"Same-day clash","OK"))))))</f>
        <v/>
      </c>
    </row>
    <row r="703" customFormat="false" ht="15" hidden="false" customHeight="false" outlineLevel="0" collapsed="false">
      <c r="E703" s="26"/>
      <c r="G703" s="23" t="str">
        <f aca="false">IF($A703="","",IFERROR(IF(INDEX(Activities!$C$2:$C$201,MATCH($A703,Activities!$A$2:$A$201,0))="","",INDEX(Activities!$C$2:$C$201,MATCH($A703,Activities!$A$2:$A$201,0))),""))</f>
        <v/>
      </c>
      <c r="H703" s="24" t="str">
        <f aca="false">IF($A703="","",IFERROR(IF(INDEX(Activities!$B$2:$B$201,MATCH($A703,Activities!$A$2:$A$201,0))="","",INDEX(Activities!$B$2:$B$201,MATCH($A703,Activities!$A$2:$A$201,0))),""))</f>
        <v/>
      </c>
      <c r="I703" s="24" t="str">
        <f aca="false">IF($B703="","",IFERROR(IF(INDEX(Students!$C$2:$C$301,MATCH($B703,Students!$A$2:$A$301,0))="","",INDEX(Students!$C$2:$C$301,MATCH($B703,Students!$A$2:$A$301,0))),""))</f>
        <v/>
      </c>
      <c r="J703" s="24" t="str">
        <f aca="false">IF($B703="","",IFERROR(IF(INDEX(Students!$B$2:$B$301,MATCH($B703,Students!$A$2:$A$301,0))="","",INDEX(Students!$B$2:$B$301,MATCH($B703,Students!$A$2:$A$301,0))),""))</f>
        <v/>
      </c>
      <c r="K703" s="25" t="str">
        <f aca="false">IF($A703="","",IF(D703="Withdrawn",0,IF(E703&lt;&gt;"",N(E703),IFERROR(N(INDEX(Activities!$I$2:$I$201,MATCH($A703,Activities!$A$2:$A$201,0))),0))))</f>
        <v/>
      </c>
      <c r="L703" s="24" t="str">
        <f aca="false">IF(AND($A703="",$B703=""),"",IF(ISNA(MATCH($A703,Activities!$A$2:$A$201,0)),"Unknown activity",IF(ISNA(MATCH($B703,Students!$A$2:$A$301,0)),"Unknown student",IF(D703="","No status",IF(COUNTIFS($A$2:$A$1001,$A703,$B$2:$B$1001,$B703)&gt;1,"Duplicate",IF(AND(D703&lt;&gt;"Withdrawn",G703&lt;&gt;"",COUNTIFS($B$2:$B$1001,$B703,$G$2:$G$1001,G703,$D$2:$D$1001,"&lt;&gt;Withdrawn")&gt;1),"Same-day clash","OK"))))))</f>
        <v/>
      </c>
    </row>
    <row r="704" customFormat="false" ht="15" hidden="false" customHeight="false" outlineLevel="0" collapsed="false">
      <c r="E704" s="26"/>
      <c r="G704" s="23" t="str">
        <f aca="false">IF($A704="","",IFERROR(IF(INDEX(Activities!$C$2:$C$201,MATCH($A704,Activities!$A$2:$A$201,0))="","",INDEX(Activities!$C$2:$C$201,MATCH($A704,Activities!$A$2:$A$201,0))),""))</f>
        <v/>
      </c>
      <c r="H704" s="24" t="str">
        <f aca="false">IF($A704="","",IFERROR(IF(INDEX(Activities!$B$2:$B$201,MATCH($A704,Activities!$A$2:$A$201,0))="","",INDEX(Activities!$B$2:$B$201,MATCH($A704,Activities!$A$2:$A$201,0))),""))</f>
        <v/>
      </c>
      <c r="I704" s="24" t="str">
        <f aca="false">IF($B704="","",IFERROR(IF(INDEX(Students!$C$2:$C$301,MATCH($B704,Students!$A$2:$A$301,0))="","",INDEX(Students!$C$2:$C$301,MATCH($B704,Students!$A$2:$A$301,0))),""))</f>
        <v/>
      </c>
      <c r="J704" s="24" t="str">
        <f aca="false">IF($B704="","",IFERROR(IF(INDEX(Students!$B$2:$B$301,MATCH($B704,Students!$A$2:$A$301,0))="","",INDEX(Students!$B$2:$B$301,MATCH($B704,Students!$A$2:$A$301,0))),""))</f>
        <v/>
      </c>
      <c r="K704" s="25" t="str">
        <f aca="false">IF($A704="","",IF(D704="Withdrawn",0,IF(E704&lt;&gt;"",N(E704),IFERROR(N(INDEX(Activities!$I$2:$I$201,MATCH($A704,Activities!$A$2:$A$201,0))),0))))</f>
        <v/>
      </c>
      <c r="L704" s="24" t="str">
        <f aca="false">IF(AND($A704="",$B704=""),"",IF(ISNA(MATCH($A704,Activities!$A$2:$A$201,0)),"Unknown activity",IF(ISNA(MATCH($B704,Students!$A$2:$A$301,0)),"Unknown student",IF(D704="","No status",IF(COUNTIFS($A$2:$A$1001,$A704,$B$2:$B$1001,$B704)&gt;1,"Duplicate",IF(AND(D704&lt;&gt;"Withdrawn",G704&lt;&gt;"",COUNTIFS($B$2:$B$1001,$B704,$G$2:$G$1001,G704,$D$2:$D$1001,"&lt;&gt;Withdrawn")&gt;1),"Same-day clash","OK"))))))</f>
        <v/>
      </c>
    </row>
    <row r="705" customFormat="false" ht="15" hidden="false" customHeight="false" outlineLevel="0" collapsed="false">
      <c r="E705" s="26"/>
      <c r="G705" s="23" t="str">
        <f aca="false">IF($A705="","",IFERROR(IF(INDEX(Activities!$C$2:$C$201,MATCH($A705,Activities!$A$2:$A$201,0))="","",INDEX(Activities!$C$2:$C$201,MATCH($A705,Activities!$A$2:$A$201,0))),""))</f>
        <v/>
      </c>
      <c r="H705" s="24" t="str">
        <f aca="false">IF($A705="","",IFERROR(IF(INDEX(Activities!$B$2:$B$201,MATCH($A705,Activities!$A$2:$A$201,0))="","",INDEX(Activities!$B$2:$B$201,MATCH($A705,Activities!$A$2:$A$201,0))),""))</f>
        <v/>
      </c>
      <c r="I705" s="24" t="str">
        <f aca="false">IF($B705="","",IFERROR(IF(INDEX(Students!$C$2:$C$301,MATCH($B705,Students!$A$2:$A$301,0))="","",INDEX(Students!$C$2:$C$301,MATCH($B705,Students!$A$2:$A$301,0))),""))</f>
        <v/>
      </c>
      <c r="J705" s="24" t="str">
        <f aca="false">IF($B705="","",IFERROR(IF(INDEX(Students!$B$2:$B$301,MATCH($B705,Students!$A$2:$A$301,0))="","",INDEX(Students!$B$2:$B$301,MATCH($B705,Students!$A$2:$A$301,0))),""))</f>
        <v/>
      </c>
      <c r="K705" s="25" t="str">
        <f aca="false">IF($A705="","",IF(D705="Withdrawn",0,IF(E705&lt;&gt;"",N(E705),IFERROR(N(INDEX(Activities!$I$2:$I$201,MATCH($A705,Activities!$A$2:$A$201,0))),0))))</f>
        <v/>
      </c>
      <c r="L705" s="24" t="str">
        <f aca="false">IF(AND($A705="",$B705=""),"",IF(ISNA(MATCH($A705,Activities!$A$2:$A$201,0)),"Unknown activity",IF(ISNA(MATCH($B705,Students!$A$2:$A$301,0)),"Unknown student",IF(D705="","No status",IF(COUNTIFS($A$2:$A$1001,$A705,$B$2:$B$1001,$B705)&gt;1,"Duplicate",IF(AND(D705&lt;&gt;"Withdrawn",G705&lt;&gt;"",COUNTIFS($B$2:$B$1001,$B705,$G$2:$G$1001,G705,$D$2:$D$1001,"&lt;&gt;Withdrawn")&gt;1),"Same-day clash","OK"))))))</f>
        <v/>
      </c>
    </row>
    <row r="706" customFormat="false" ht="15" hidden="false" customHeight="false" outlineLevel="0" collapsed="false">
      <c r="E706" s="26"/>
      <c r="G706" s="23" t="str">
        <f aca="false">IF($A706="","",IFERROR(IF(INDEX(Activities!$C$2:$C$201,MATCH($A706,Activities!$A$2:$A$201,0))="","",INDEX(Activities!$C$2:$C$201,MATCH($A706,Activities!$A$2:$A$201,0))),""))</f>
        <v/>
      </c>
      <c r="H706" s="24" t="str">
        <f aca="false">IF($A706="","",IFERROR(IF(INDEX(Activities!$B$2:$B$201,MATCH($A706,Activities!$A$2:$A$201,0))="","",INDEX(Activities!$B$2:$B$201,MATCH($A706,Activities!$A$2:$A$201,0))),""))</f>
        <v/>
      </c>
      <c r="I706" s="24" t="str">
        <f aca="false">IF($B706="","",IFERROR(IF(INDEX(Students!$C$2:$C$301,MATCH($B706,Students!$A$2:$A$301,0))="","",INDEX(Students!$C$2:$C$301,MATCH($B706,Students!$A$2:$A$301,0))),""))</f>
        <v/>
      </c>
      <c r="J706" s="24" t="str">
        <f aca="false">IF($B706="","",IFERROR(IF(INDEX(Students!$B$2:$B$301,MATCH($B706,Students!$A$2:$A$301,0))="","",INDEX(Students!$B$2:$B$301,MATCH($B706,Students!$A$2:$A$301,0))),""))</f>
        <v/>
      </c>
      <c r="K706" s="25" t="str">
        <f aca="false">IF($A706="","",IF(D706="Withdrawn",0,IF(E706&lt;&gt;"",N(E706),IFERROR(N(INDEX(Activities!$I$2:$I$201,MATCH($A706,Activities!$A$2:$A$201,0))),0))))</f>
        <v/>
      </c>
      <c r="L706" s="24" t="str">
        <f aca="false">IF(AND($A706="",$B706=""),"",IF(ISNA(MATCH($A706,Activities!$A$2:$A$201,0)),"Unknown activity",IF(ISNA(MATCH($B706,Students!$A$2:$A$301,0)),"Unknown student",IF(D706="","No status",IF(COUNTIFS($A$2:$A$1001,$A706,$B$2:$B$1001,$B706)&gt;1,"Duplicate",IF(AND(D706&lt;&gt;"Withdrawn",G706&lt;&gt;"",COUNTIFS($B$2:$B$1001,$B706,$G$2:$G$1001,G706,$D$2:$D$1001,"&lt;&gt;Withdrawn")&gt;1),"Same-day clash","OK"))))))</f>
        <v/>
      </c>
    </row>
    <row r="707" customFormat="false" ht="15" hidden="false" customHeight="false" outlineLevel="0" collapsed="false">
      <c r="E707" s="26"/>
      <c r="G707" s="23" t="str">
        <f aca="false">IF($A707="","",IFERROR(IF(INDEX(Activities!$C$2:$C$201,MATCH($A707,Activities!$A$2:$A$201,0))="","",INDEX(Activities!$C$2:$C$201,MATCH($A707,Activities!$A$2:$A$201,0))),""))</f>
        <v/>
      </c>
      <c r="H707" s="24" t="str">
        <f aca="false">IF($A707="","",IFERROR(IF(INDEX(Activities!$B$2:$B$201,MATCH($A707,Activities!$A$2:$A$201,0))="","",INDEX(Activities!$B$2:$B$201,MATCH($A707,Activities!$A$2:$A$201,0))),""))</f>
        <v/>
      </c>
      <c r="I707" s="24" t="str">
        <f aca="false">IF($B707="","",IFERROR(IF(INDEX(Students!$C$2:$C$301,MATCH($B707,Students!$A$2:$A$301,0))="","",INDEX(Students!$C$2:$C$301,MATCH($B707,Students!$A$2:$A$301,0))),""))</f>
        <v/>
      </c>
      <c r="J707" s="24" t="str">
        <f aca="false">IF($B707="","",IFERROR(IF(INDEX(Students!$B$2:$B$301,MATCH($B707,Students!$A$2:$A$301,0))="","",INDEX(Students!$B$2:$B$301,MATCH($B707,Students!$A$2:$A$301,0))),""))</f>
        <v/>
      </c>
      <c r="K707" s="25" t="str">
        <f aca="false">IF($A707="","",IF(D707="Withdrawn",0,IF(E707&lt;&gt;"",N(E707),IFERROR(N(INDEX(Activities!$I$2:$I$201,MATCH($A707,Activities!$A$2:$A$201,0))),0))))</f>
        <v/>
      </c>
      <c r="L707" s="24" t="str">
        <f aca="false">IF(AND($A707="",$B707=""),"",IF(ISNA(MATCH($A707,Activities!$A$2:$A$201,0)),"Unknown activity",IF(ISNA(MATCH($B707,Students!$A$2:$A$301,0)),"Unknown student",IF(D707="","No status",IF(COUNTIFS($A$2:$A$1001,$A707,$B$2:$B$1001,$B707)&gt;1,"Duplicate",IF(AND(D707&lt;&gt;"Withdrawn",G707&lt;&gt;"",COUNTIFS($B$2:$B$1001,$B707,$G$2:$G$1001,G707,$D$2:$D$1001,"&lt;&gt;Withdrawn")&gt;1),"Same-day clash","OK"))))))</f>
        <v/>
      </c>
    </row>
    <row r="708" customFormat="false" ht="15" hidden="false" customHeight="false" outlineLevel="0" collapsed="false">
      <c r="E708" s="26"/>
      <c r="G708" s="23" t="str">
        <f aca="false">IF($A708="","",IFERROR(IF(INDEX(Activities!$C$2:$C$201,MATCH($A708,Activities!$A$2:$A$201,0))="","",INDEX(Activities!$C$2:$C$201,MATCH($A708,Activities!$A$2:$A$201,0))),""))</f>
        <v/>
      </c>
      <c r="H708" s="24" t="str">
        <f aca="false">IF($A708="","",IFERROR(IF(INDEX(Activities!$B$2:$B$201,MATCH($A708,Activities!$A$2:$A$201,0))="","",INDEX(Activities!$B$2:$B$201,MATCH($A708,Activities!$A$2:$A$201,0))),""))</f>
        <v/>
      </c>
      <c r="I708" s="24" t="str">
        <f aca="false">IF($B708="","",IFERROR(IF(INDEX(Students!$C$2:$C$301,MATCH($B708,Students!$A$2:$A$301,0))="","",INDEX(Students!$C$2:$C$301,MATCH($B708,Students!$A$2:$A$301,0))),""))</f>
        <v/>
      </c>
      <c r="J708" s="24" t="str">
        <f aca="false">IF($B708="","",IFERROR(IF(INDEX(Students!$B$2:$B$301,MATCH($B708,Students!$A$2:$A$301,0))="","",INDEX(Students!$B$2:$B$301,MATCH($B708,Students!$A$2:$A$301,0))),""))</f>
        <v/>
      </c>
      <c r="K708" s="25" t="str">
        <f aca="false">IF($A708="","",IF(D708="Withdrawn",0,IF(E708&lt;&gt;"",N(E708),IFERROR(N(INDEX(Activities!$I$2:$I$201,MATCH($A708,Activities!$A$2:$A$201,0))),0))))</f>
        <v/>
      </c>
      <c r="L708" s="24" t="str">
        <f aca="false">IF(AND($A708="",$B708=""),"",IF(ISNA(MATCH($A708,Activities!$A$2:$A$201,0)),"Unknown activity",IF(ISNA(MATCH($B708,Students!$A$2:$A$301,0)),"Unknown student",IF(D708="","No status",IF(COUNTIFS($A$2:$A$1001,$A708,$B$2:$B$1001,$B708)&gt;1,"Duplicate",IF(AND(D708&lt;&gt;"Withdrawn",G708&lt;&gt;"",COUNTIFS($B$2:$B$1001,$B708,$G$2:$G$1001,G708,$D$2:$D$1001,"&lt;&gt;Withdrawn")&gt;1),"Same-day clash","OK"))))))</f>
        <v/>
      </c>
    </row>
    <row r="709" customFormat="false" ht="15" hidden="false" customHeight="false" outlineLevel="0" collapsed="false">
      <c r="E709" s="26"/>
      <c r="G709" s="23" t="str">
        <f aca="false">IF($A709="","",IFERROR(IF(INDEX(Activities!$C$2:$C$201,MATCH($A709,Activities!$A$2:$A$201,0))="","",INDEX(Activities!$C$2:$C$201,MATCH($A709,Activities!$A$2:$A$201,0))),""))</f>
        <v/>
      </c>
      <c r="H709" s="24" t="str">
        <f aca="false">IF($A709="","",IFERROR(IF(INDEX(Activities!$B$2:$B$201,MATCH($A709,Activities!$A$2:$A$201,0))="","",INDEX(Activities!$B$2:$B$201,MATCH($A709,Activities!$A$2:$A$201,0))),""))</f>
        <v/>
      </c>
      <c r="I709" s="24" t="str">
        <f aca="false">IF($B709="","",IFERROR(IF(INDEX(Students!$C$2:$C$301,MATCH($B709,Students!$A$2:$A$301,0))="","",INDEX(Students!$C$2:$C$301,MATCH($B709,Students!$A$2:$A$301,0))),""))</f>
        <v/>
      </c>
      <c r="J709" s="24" t="str">
        <f aca="false">IF($B709="","",IFERROR(IF(INDEX(Students!$B$2:$B$301,MATCH($B709,Students!$A$2:$A$301,0))="","",INDEX(Students!$B$2:$B$301,MATCH($B709,Students!$A$2:$A$301,0))),""))</f>
        <v/>
      </c>
      <c r="K709" s="25" t="str">
        <f aca="false">IF($A709="","",IF(D709="Withdrawn",0,IF(E709&lt;&gt;"",N(E709),IFERROR(N(INDEX(Activities!$I$2:$I$201,MATCH($A709,Activities!$A$2:$A$201,0))),0))))</f>
        <v/>
      </c>
      <c r="L709" s="24" t="str">
        <f aca="false">IF(AND($A709="",$B709=""),"",IF(ISNA(MATCH($A709,Activities!$A$2:$A$201,0)),"Unknown activity",IF(ISNA(MATCH($B709,Students!$A$2:$A$301,0)),"Unknown student",IF(D709="","No status",IF(COUNTIFS($A$2:$A$1001,$A709,$B$2:$B$1001,$B709)&gt;1,"Duplicate",IF(AND(D709&lt;&gt;"Withdrawn",G709&lt;&gt;"",COUNTIFS($B$2:$B$1001,$B709,$G$2:$G$1001,G709,$D$2:$D$1001,"&lt;&gt;Withdrawn")&gt;1),"Same-day clash","OK"))))))</f>
        <v/>
      </c>
    </row>
    <row r="710" customFormat="false" ht="15" hidden="false" customHeight="false" outlineLevel="0" collapsed="false">
      <c r="E710" s="26"/>
      <c r="G710" s="23" t="str">
        <f aca="false">IF($A710="","",IFERROR(IF(INDEX(Activities!$C$2:$C$201,MATCH($A710,Activities!$A$2:$A$201,0))="","",INDEX(Activities!$C$2:$C$201,MATCH($A710,Activities!$A$2:$A$201,0))),""))</f>
        <v/>
      </c>
      <c r="H710" s="24" t="str">
        <f aca="false">IF($A710="","",IFERROR(IF(INDEX(Activities!$B$2:$B$201,MATCH($A710,Activities!$A$2:$A$201,0))="","",INDEX(Activities!$B$2:$B$201,MATCH($A710,Activities!$A$2:$A$201,0))),""))</f>
        <v/>
      </c>
      <c r="I710" s="24" t="str">
        <f aca="false">IF($B710="","",IFERROR(IF(INDEX(Students!$C$2:$C$301,MATCH($B710,Students!$A$2:$A$301,0))="","",INDEX(Students!$C$2:$C$301,MATCH($B710,Students!$A$2:$A$301,0))),""))</f>
        <v/>
      </c>
      <c r="J710" s="24" t="str">
        <f aca="false">IF($B710="","",IFERROR(IF(INDEX(Students!$B$2:$B$301,MATCH($B710,Students!$A$2:$A$301,0))="","",INDEX(Students!$B$2:$B$301,MATCH($B710,Students!$A$2:$A$301,0))),""))</f>
        <v/>
      </c>
      <c r="K710" s="25" t="str">
        <f aca="false">IF($A710="","",IF(D710="Withdrawn",0,IF(E710&lt;&gt;"",N(E710),IFERROR(N(INDEX(Activities!$I$2:$I$201,MATCH($A710,Activities!$A$2:$A$201,0))),0))))</f>
        <v/>
      </c>
      <c r="L710" s="24" t="str">
        <f aca="false">IF(AND($A710="",$B710=""),"",IF(ISNA(MATCH($A710,Activities!$A$2:$A$201,0)),"Unknown activity",IF(ISNA(MATCH($B710,Students!$A$2:$A$301,0)),"Unknown student",IF(D710="","No status",IF(COUNTIFS($A$2:$A$1001,$A710,$B$2:$B$1001,$B710)&gt;1,"Duplicate",IF(AND(D710&lt;&gt;"Withdrawn",G710&lt;&gt;"",COUNTIFS($B$2:$B$1001,$B710,$G$2:$G$1001,G710,$D$2:$D$1001,"&lt;&gt;Withdrawn")&gt;1),"Same-day clash","OK"))))))</f>
        <v/>
      </c>
    </row>
    <row r="711" customFormat="false" ht="15" hidden="false" customHeight="false" outlineLevel="0" collapsed="false">
      <c r="E711" s="26"/>
      <c r="G711" s="23" t="str">
        <f aca="false">IF($A711="","",IFERROR(IF(INDEX(Activities!$C$2:$C$201,MATCH($A711,Activities!$A$2:$A$201,0))="","",INDEX(Activities!$C$2:$C$201,MATCH($A711,Activities!$A$2:$A$201,0))),""))</f>
        <v/>
      </c>
      <c r="H711" s="24" t="str">
        <f aca="false">IF($A711="","",IFERROR(IF(INDEX(Activities!$B$2:$B$201,MATCH($A711,Activities!$A$2:$A$201,0))="","",INDEX(Activities!$B$2:$B$201,MATCH($A711,Activities!$A$2:$A$201,0))),""))</f>
        <v/>
      </c>
      <c r="I711" s="24" t="str">
        <f aca="false">IF($B711="","",IFERROR(IF(INDEX(Students!$C$2:$C$301,MATCH($B711,Students!$A$2:$A$301,0))="","",INDEX(Students!$C$2:$C$301,MATCH($B711,Students!$A$2:$A$301,0))),""))</f>
        <v/>
      </c>
      <c r="J711" s="24" t="str">
        <f aca="false">IF($B711="","",IFERROR(IF(INDEX(Students!$B$2:$B$301,MATCH($B711,Students!$A$2:$A$301,0))="","",INDEX(Students!$B$2:$B$301,MATCH($B711,Students!$A$2:$A$301,0))),""))</f>
        <v/>
      </c>
      <c r="K711" s="25" t="str">
        <f aca="false">IF($A711="","",IF(D711="Withdrawn",0,IF(E711&lt;&gt;"",N(E711),IFERROR(N(INDEX(Activities!$I$2:$I$201,MATCH($A711,Activities!$A$2:$A$201,0))),0))))</f>
        <v/>
      </c>
      <c r="L711" s="24" t="str">
        <f aca="false">IF(AND($A711="",$B711=""),"",IF(ISNA(MATCH($A711,Activities!$A$2:$A$201,0)),"Unknown activity",IF(ISNA(MATCH($B711,Students!$A$2:$A$301,0)),"Unknown student",IF(D711="","No status",IF(COUNTIFS($A$2:$A$1001,$A711,$B$2:$B$1001,$B711)&gt;1,"Duplicate",IF(AND(D711&lt;&gt;"Withdrawn",G711&lt;&gt;"",COUNTIFS($B$2:$B$1001,$B711,$G$2:$G$1001,G711,$D$2:$D$1001,"&lt;&gt;Withdrawn")&gt;1),"Same-day clash","OK"))))))</f>
        <v/>
      </c>
    </row>
    <row r="712" customFormat="false" ht="15" hidden="false" customHeight="false" outlineLevel="0" collapsed="false">
      <c r="E712" s="26"/>
      <c r="G712" s="23" t="str">
        <f aca="false">IF($A712="","",IFERROR(IF(INDEX(Activities!$C$2:$C$201,MATCH($A712,Activities!$A$2:$A$201,0))="","",INDEX(Activities!$C$2:$C$201,MATCH($A712,Activities!$A$2:$A$201,0))),""))</f>
        <v/>
      </c>
      <c r="H712" s="24" t="str">
        <f aca="false">IF($A712="","",IFERROR(IF(INDEX(Activities!$B$2:$B$201,MATCH($A712,Activities!$A$2:$A$201,0))="","",INDEX(Activities!$B$2:$B$201,MATCH($A712,Activities!$A$2:$A$201,0))),""))</f>
        <v/>
      </c>
      <c r="I712" s="24" t="str">
        <f aca="false">IF($B712="","",IFERROR(IF(INDEX(Students!$C$2:$C$301,MATCH($B712,Students!$A$2:$A$301,0))="","",INDEX(Students!$C$2:$C$301,MATCH($B712,Students!$A$2:$A$301,0))),""))</f>
        <v/>
      </c>
      <c r="J712" s="24" t="str">
        <f aca="false">IF($B712="","",IFERROR(IF(INDEX(Students!$B$2:$B$301,MATCH($B712,Students!$A$2:$A$301,0))="","",INDEX(Students!$B$2:$B$301,MATCH($B712,Students!$A$2:$A$301,0))),""))</f>
        <v/>
      </c>
      <c r="K712" s="25" t="str">
        <f aca="false">IF($A712="","",IF(D712="Withdrawn",0,IF(E712&lt;&gt;"",N(E712),IFERROR(N(INDEX(Activities!$I$2:$I$201,MATCH($A712,Activities!$A$2:$A$201,0))),0))))</f>
        <v/>
      </c>
      <c r="L712" s="24" t="str">
        <f aca="false">IF(AND($A712="",$B712=""),"",IF(ISNA(MATCH($A712,Activities!$A$2:$A$201,0)),"Unknown activity",IF(ISNA(MATCH($B712,Students!$A$2:$A$301,0)),"Unknown student",IF(D712="","No status",IF(COUNTIFS($A$2:$A$1001,$A712,$B$2:$B$1001,$B712)&gt;1,"Duplicate",IF(AND(D712&lt;&gt;"Withdrawn",G712&lt;&gt;"",COUNTIFS($B$2:$B$1001,$B712,$G$2:$G$1001,G712,$D$2:$D$1001,"&lt;&gt;Withdrawn")&gt;1),"Same-day clash","OK"))))))</f>
        <v/>
      </c>
    </row>
    <row r="713" customFormat="false" ht="15" hidden="false" customHeight="false" outlineLevel="0" collapsed="false">
      <c r="E713" s="26"/>
      <c r="G713" s="23" t="str">
        <f aca="false">IF($A713="","",IFERROR(IF(INDEX(Activities!$C$2:$C$201,MATCH($A713,Activities!$A$2:$A$201,0))="","",INDEX(Activities!$C$2:$C$201,MATCH($A713,Activities!$A$2:$A$201,0))),""))</f>
        <v/>
      </c>
      <c r="H713" s="24" t="str">
        <f aca="false">IF($A713="","",IFERROR(IF(INDEX(Activities!$B$2:$B$201,MATCH($A713,Activities!$A$2:$A$201,0))="","",INDEX(Activities!$B$2:$B$201,MATCH($A713,Activities!$A$2:$A$201,0))),""))</f>
        <v/>
      </c>
      <c r="I713" s="24" t="str">
        <f aca="false">IF($B713="","",IFERROR(IF(INDEX(Students!$C$2:$C$301,MATCH($B713,Students!$A$2:$A$301,0))="","",INDEX(Students!$C$2:$C$301,MATCH($B713,Students!$A$2:$A$301,0))),""))</f>
        <v/>
      </c>
      <c r="J713" s="24" t="str">
        <f aca="false">IF($B713="","",IFERROR(IF(INDEX(Students!$B$2:$B$301,MATCH($B713,Students!$A$2:$A$301,0))="","",INDEX(Students!$B$2:$B$301,MATCH($B713,Students!$A$2:$A$301,0))),""))</f>
        <v/>
      </c>
      <c r="K713" s="25" t="str">
        <f aca="false">IF($A713="","",IF(D713="Withdrawn",0,IF(E713&lt;&gt;"",N(E713),IFERROR(N(INDEX(Activities!$I$2:$I$201,MATCH($A713,Activities!$A$2:$A$201,0))),0))))</f>
        <v/>
      </c>
      <c r="L713" s="24" t="str">
        <f aca="false">IF(AND($A713="",$B713=""),"",IF(ISNA(MATCH($A713,Activities!$A$2:$A$201,0)),"Unknown activity",IF(ISNA(MATCH($B713,Students!$A$2:$A$301,0)),"Unknown student",IF(D713="","No status",IF(COUNTIFS($A$2:$A$1001,$A713,$B$2:$B$1001,$B713)&gt;1,"Duplicate",IF(AND(D713&lt;&gt;"Withdrawn",G713&lt;&gt;"",COUNTIFS($B$2:$B$1001,$B713,$G$2:$G$1001,G713,$D$2:$D$1001,"&lt;&gt;Withdrawn")&gt;1),"Same-day clash","OK"))))))</f>
        <v/>
      </c>
    </row>
    <row r="714" customFormat="false" ht="15" hidden="false" customHeight="false" outlineLevel="0" collapsed="false">
      <c r="E714" s="26"/>
      <c r="G714" s="23" t="str">
        <f aca="false">IF($A714="","",IFERROR(IF(INDEX(Activities!$C$2:$C$201,MATCH($A714,Activities!$A$2:$A$201,0))="","",INDEX(Activities!$C$2:$C$201,MATCH($A714,Activities!$A$2:$A$201,0))),""))</f>
        <v/>
      </c>
      <c r="H714" s="24" t="str">
        <f aca="false">IF($A714="","",IFERROR(IF(INDEX(Activities!$B$2:$B$201,MATCH($A714,Activities!$A$2:$A$201,0))="","",INDEX(Activities!$B$2:$B$201,MATCH($A714,Activities!$A$2:$A$201,0))),""))</f>
        <v/>
      </c>
      <c r="I714" s="24" t="str">
        <f aca="false">IF($B714="","",IFERROR(IF(INDEX(Students!$C$2:$C$301,MATCH($B714,Students!$A$2:$A$301,0))="","",INDEX(Students!$C$2:$C$301,MATCH($B714,Students!$A$2:$A$301,0))),""))</f>
        <v/>
      </c>
      <c r="J714" s="24" t="str">
        <f aca="false">IF($B714="","",IFERROR(IF(INDEX(Students!$B$2:$B$301,MATCH($B714,Students!$A$2:$A$301,0))="","",INDEX(Students!$B$2:$B$301,MATCH($B714,Students!$A$2:$A$301,0))),""))</f>
        <v/>
      </c>
      <c r="K714" s="25" t="str">
        <f aca="false">IF($A714="","",IF(D714="Withdrawn",0,IF(E714&lt;&gt;"",N(E714),IFERROR(N(INDEX(Activities!$I$2:$I$201,MATCH($A714,Activities!$A$2:$A$201,0))),0))))</f>
        <v/>
      </c>
      <c r="L714" s="24" t="str">
        <f aca="false">IF(AND($A714="",$B714=""),"",IF(ISNA(MATCH($A714,Activities!$A$2:$A$201,0)),"Unknown activity",IF(ISNA(MATCH($B714,Students!$A$2:$A$301,0)),"Unknown student",IF(D714="","No status",IF(COUNTIFS($A$2:$A$1001,$A714,$B$2:$B$1001,$B714)&gt;1,"Duplicate",IF(AND(D714&lt;&gt;"Withdrawn",G714&lt;&gt;"",COUNTIFS($B$2:$B$1001,$B714,$G$2:$G$1001,G714,$D$2:$D$1001,"&lt;&gt;Withdrawn")&gt;1),"Same-day clash","OK"))))))</f>
        <v/>
      </c>
    </row>
    <row r="715" customFormat="false" ht="15" hidden="false" customHeight="false" outlineLevel="0" collapsed="false">
      <c r="E715" s="26"/>
      <c r="G715" s="23" t="str">
        <f aca="false">IF($A715="","",IFERROR(IF(INDEX(Activities!$C$2:$C$201,MATCH($A715,Activities!$A$2:$A$201,0))="","",INDEX(Activities!$C$2:$C$201,MATCH($A715,Activities!$A$2:$A$201,0))),""))</f>
        <v/>
      </c>
      <c r="H715" s="24" t="str">
        <f aca="false">IF($A715="","",IFERROR(IF(INDEX(Activities!$B$2:$B$201,MATCH($A715,Activities!$A$2:$A$201,0))="","",INDEX(Activities!$B$2:$B$201,MATCH($A715,Activities!$A$2:$A$201,0))),""))</f>
        <v/>
      </c>
      <c r="I715" s="24" t="str">
        <f aca="false">IF($B715="","",IFERROR(IF(INDEX(Students!$C$2:$C$301,MATCH($B715,Students!$A$2:$A$301,0))="","",INDEX(Students!$C$2:$C$301,MATCH($B715,Students!$A$2:$A$301,0))),""))</f>
        <v/>
      </c>
      <c r="J715" s="24" t="str">
        <f aca="false">IF($B715="","",IFERROR(IF(INDEX(Students!$B$2:$B$301,MATCH($B715,Students!$A$2:$A$301,0))="","",INDEX(Students!$B$2:$B$301,MATCH($B715,Students!$A$2:$A$301,0))),""))</f>
        <v/>
      </c>
      <c r="K715" s="25" t="str">
        <f aca="false">IF($A715="","",IF(D715="Withdrawn",0,IF(E715&lt;&gt;"",N(E715),IFERROR(N(INDEX(Activities!$I$2:$I$201,MATCH($A715,Activities!$A$2:$A$201,0))),0))))</f>
        <v/>
      </c>
      <c r="L715" s="24" t="str">
        <f aca="false">IF(AND($A715="",$B715=""),"",IF(ISNA(MATCH($A715,Activities!$A$2:$A$201,0)),"Unknown activity",IF(ISNA(MATCH($B715,Students!$A$2:$A$301,0)),"Unknown student",IF(D715="","No status",IF(COUNTIFS($A$2:$A$1001,$A715,$B$2:$B$1001,$B715)&gt;1,"Duplicate",IF(AND(D715&lt;&gt;"Withdrawn",G715&lt;&gt;"",COUNTIFS($B$2:$B$1001,$B715,$G$2:$G$1001,G715,$D$2:$D$1001,"&lt;&gt;Withdrawn")&gt;1),"Same-day clash","OK"))))))</f>
        <v/>
      </c>
    </row>
    <row r="716" customFormat="false" ht="15" hidden="false" customHeight="false" outlineLevel="0" collapsed="false">
      <c r="E716" s="26"/>
      <c r="G716" s="23" t="str">
        <f aca="false">IF($A716="","",IFERROR(IF(INDEX(Activities!$C$2:$C$201,MATCH($A716,Activities!$A$2:$A$201,0))="","",INDEX(Activities!$C$2:$C$201,MATCH($A716,Activities!$A$2:$A$201,0))),""))</f>
        <v/>
      </c>
      <c r="H716" s="24" t="str">
        <f aca="false">IF($A716="","",IFERROR(IF(INDEX(Activities!$B$2:$B$201,MATCH($A716,Activities!$A$2:$A$201,0))="","",INDEX(Activities!$B$2:$B$201,MATCH($A716,Activities!$A$2:$A$201,0))),""))</f>
        <v/>
      </c>
      <c r="I716" s="24" t="str">
        <f aca="false">IF($B716="","",IFERROR(IF(INDEX(Students!$C$2:$C$301,MATCH($B716,Students!$A$2:$A$301,0))="","",INDEX(Students!$C$2:$C$301,MATCH($B716,Students!$A$2:$A$301,0))),""))</f>
        <v/>
      </c>
      <c r="J716" s="24" t="str">
        <f aca="false">IF($B716="","",IFERROR(IF(INDEX(Students!$B$2:$B$301,MATCH($B716,Students!$A$2:$A$301,0))="","",INDEX(Students!$B$2:$B$301,MATCH($B716,Students!$A$2:$A$301,0))),""))</f>
        <v/>
      </c>
      <c r="K716" s="25" t="str">
        <f aca="false">IF($A716="","",IF(D716="Withdrawn",0,IF(E716&lt;&gt;"",N(E716),IFERROR(N(INDEX(Activities!$I$2:$I$201,MATCH($A716,Activities!$A$2:$A$201,0))),0))))</f>
        <v/>
      </c>
      <c r="L716" s="24" t="str">
        <f aca="false">IF(AND($A716="",$B716=""),"",IF(ISNA(MATCH($A716,Activities!$A$2:$A$201,0)),"Unknown activity",IF(ISNA(MATCH($B716,Students!$A$2:$A$301,0)),"Unknown student",IF(D716="","No status",IF(COUNTIFS($A$2:$A$1001,$A716,$B$2:$B$1001,$B716)&gt;1,"Duplicate",IF(AND(D716&lt;&gt;"Withdrawn",G716&lt;&gt;"",COUNTIFS($B$2:$B$1001,$B716,$G$2:$G$1001,G716,$D$2:$D$1001,"&lt;&gt;Withdrawn")&gt;1),"Same-day clash","OK"))))))</f>
        <v/>
      </c>
    </row>
    <row r="717" customFormat="false" ht="15" hidden="false" customHeight="false" outlineLevel="0" collapsed="false">
      <c r="E717" s="26"/>
      <c r="G717" s="23" t="str">
        <f aca="false">IF($A717="","",IFERROR(IF(INDEX(Activities!$C$2:$C$201,MATCH($A717,Activities!$A$2:$A$201,0))="","",INDEX(Activities!$C$2:$C$201,MATCH($A717,Activities!$A$2:$A$201,0))),""))</f>
        <v/>
      </c>
      <c r="H717" s="24" t="str">
        <f aca="false">IF($A717="","",IFERROR(IF(INDEX(Activities!$B$2:$B$201,MATCH($A717,Activities!$A$2:$A$201,0))="","",INDEX(Activities!$B$2:$B$201,MATCH($A717,Activities!$A$2:$A$201,0))),""))</f>
        <v/>
      </c>
      <c r="I717" s="24" t="str">
        <f aca="false">IF($B717="","",IFERROR(IF(INDEX(Students!$C$2:$C$301,MATCH($B717,Students!$A$2:$A$301,0))="","",INDEX(Students!$C$2:$C$301,MATCH($B717,Students!$A$2:$A$301,0))),""))</f>
        <v/>
      </c>
      <c r="J717" s="24" t="str">
        <f aca="false">IF($B717="","",IFERROR(IF(INDEX(Students!$B$2:$B$301,MATCH($B717,Students!$A$2:$A$301,0))="","",INDEX(Students!$B$2:$B$301,MATCH($B717,Students!$A$2:$A$301,0))),""))</f>
        <v/>
      </c>
      <c r="K717" s="25" t="str">
        <f aca="false">IF($A717="","",IF(D717="Withdrawn",0,IF(E717&lt;&gt;"",N(E717),IFERROR(N(INDEX(Activities!$I$2:$I$201,MATCH($A717,Activities!$A$2:$A$201,0))),0))))</f>
        <v/>
      </c>
      <c r="L717" s="24" t="str">
        <f aca="false">IF(AND($A717="",$B717=""),"",IF(ISNA(MATCH($A717,Activities!$A$2:$A$201,0)),"Unknown activity",IF(ISNA(MATCH($B717,Students!$A$2:$A$301,0)),"Unknown student",IF(D717="","No status",IF(COUNTIFS($A$2:$A$1001,$A717,$B$2:$B$1001,$B717)&gt;1,"Duplicate",IF(AND(D717&lt;&gt;"Withdrawn",G717&lt;&gt;"",COUNTIFS($B$2:$B$1001,$B717,$G$2:$G$1001,G717,$D$2:$D$1001,"&lt;&gt;Withdrawn")&gt;1),"Same-day clash","OK"))))))</f>
        <v/>
      </c>
    </row>
    <row r="718" customFormat="false" ht="15" hidden="false" customHeight="false" outlineLevel="0" collapsed="false">
      <c r="E718" s="26"/>
      <c r="G718" s="23" t="str">
        <f aca="false">IF($A718="","",IFERROR(IF(INDEX(Activities!$C$2:$C$201,MATCH($A718,Activities!$A$2:$A$201,0))="","",INDEX(Activities!$C$2:$C$201,MATCH($A718,Activities!$A$2:$A$201,0))),""))</f>
        <v/>
      </c>
      <c r="H718" s="24" t="str">
        <f aca="false">IF($A718="","",IFERROR(IF(INDEX(Activities!$B$2:$B$201,MATCH($A718,Activities!$A$2:$A$201,0))="","",INDEX(Activities!$B$2:$B$201,MATCH($A718,Activities!$A$2:$A$201,0))),""))</f>
        <v/>
      </c>
      <c r="I718" s="24" t="str">
        <f aca="false">IF($B718="","",IFERROR(IF(INDEX(Students!$C$2:$C$301,MATCH($B718,Students!$A$2:$A$301,0))="","",INDEX(Students!$C$2:$C$301,MATCH($B718,Students!$A$2:$A$301,0))),""))</f>
        <v/>
      </c>
      <c r="J718" s="24" t="str">
        <f aca="false">IF($B718="","",IFERROR(IF(INDEX(Students!$B$2:$B$301,MATCH($B718,Students!$A$2:$A$301,0))="","",INDEX(Students!$B$2:$B$301,MATCH($B718,Students!$A$2:$A$301,0))),""))</f>
        <v/>
      </c>
      <c r="K718" s="25" t="str">
        <f aca="false">IF($A718="","",IF(D718="Withdrawn",0,IF(E718&lt;&gt;"",N(E718),IFERROR(N(INDEX(Activities!$I$2:$I$201,MATCH($A718,Activities!$A$2:$A$201,0))),0))))</f>
        <v/>
      </c>
      <c r="L718" s="24" t="str">
        <f aca="false">IF(AND($A718="",$B718=""),"",IF(ISNA(MATCH($A718,Activities!$A$2:$A$201,0)),"Unknown activity",IF(ISNA(MATCH($B718,Students!$A$2:$A$301,0)),"Unknown student",IF(D718="","No status",IF(COUNTIFS($A$2:$A$1001,$A718,$B$2:$B$1001,$B718)&gt;1,"Duplicate",IF(AND(D718&lt;&gt;"Withdrawn",G718&lt;&gt;"",COUNTIFS($B$2:$B$1001,$B718,$G$2:$G$1001,G718,$D$2:$D$1001,"&lt;&gt;Withdrawn")&gt;1),"Same-day clash","OK"))))))</f>
        <v/>
      </c>
    </row>
    <row r="719" customFormat="false" ht="15" hidden="false" customHeight="false" outlineLevel="0" collapsed="false">
      <c r="E719" s="26"/>
      <c r="G719" s="23" t="str">
        <f aca="false">IF($A719="","",IFERROR(IF(INDEX(Activities!$C$2:$C$201,MATCH($A719,Activities!$A$2:$A$201,0))="","",INDEX(Activities!$C$2:$C$201,MATCH($A719,Activities!$A$2:$A$201,0))),""))</f>
        <v/>
      </c>
      <c r="H719" s="24" t="str">
        <f aca="false">IF($A719="","",IFERROR(IF(INDEX(Activities!$B$2:$B$201,MATCH($A719,Activities!$A$2:$A$201,0))="","",INDEX(Activities!$B$2:$B$201,MATCH($A719,Activities!$A$2:$A$201,0))),""))</f>
        <v/>
      </c>
      <c r="I719" s="24" t="str">
        <f aca="false">IF($B719="","",IFERROR(IF(INDEX(Students!$C$2:$C$301,MATCH($B719,Students!$A$2:$A$301,0))="","",INDEX(Students!$C$2:$C$301,MATCH($B719,Students!$A$2:$A$301,0))),""))</f>
        <v/>
      </c>
      <c r="J719" s="24" t="str">
        <f aca="false">IF($B719="","",IFERROR(IF(INDEX(Students!$B$2:$B$301,MATCH($B719,Students!$A$2:$A$301,0))="","",INDEX(Students!$B$2:$B$301,MATCH($B719,Students!$A$2:$A$301,0))),""))</f>
        <v/>
      </c>
      <c r="K719" s="25" t="str">
        <f aca="false">IF($A719="","",IF(D719="Withdrawn",0,IF(E719&lt;&gt;"",N(E719),IFERROR(N(INDEX(Activities!$I$2:$I$201,MATCH($A719,Activities!$A$2:$A$201,0))),0))))</f>
        <v/>
      </c>
      <c r="L719" s="24" t="str">
        <f aca="false">IF(AND($A719="",$B719=""),"",IF(ISNA(MATCH($A719,Activities!$A$2:$A$201,0)),"Unknown activity",IF(ISNA(MATCH($B719,Students!$A$2:$A$301,0)),"Unknown student",IF(D719="","No status",IF(COUNTIFS($A$2:$A$1001,$A719,$B$2:$B$1001,$B719)&gt;1,"Duplicate",IF(AND(D719&lt;&gt;"Withdrawn",G719&lt;&gt;"",COUNTIFS($B$2:$B$1001,$B719,$G$2:$G$1001,G719,$D$2:$D$1001,"&lt;&gt;Withdrawn")&gt;1),"Same-day clash","OK"))))))</f>
        <v/>
      </c>
    </row>
    <row r="720" customFormat="false" ht="15" hidden="false" customHeight="false" outlineLevel="0" collapsed="false">
      <c r="E720" s="26"/>
      <c r="G720" s="23" t="str">
        <f aca="false">IF($A720="","",IFERROR(IF(INDEX(Activities!$C$2:$C$201,MATCH($A720,Activities!$A$2:$A$201,0))="","",INDEX(Activities!$C$2:$C$201,MATCH($A720,Activities!$A$2:$A$201,0))),""))</f>
        <v/>
      </c>
      <c r="H720" s="24" t="str">
        <f aca="false">IF($A720="","",IFERROR(IF(INDEX(Activities!$B$2:$B$201,MATCH($A720,Activities!$A$2:$A$201,0))="","",INDEX(Activities!$B$2:$B$201,MATCH($A720,Activities!$A$2:$A$201,0))),""))</f>
        <v/>
      </c>
      <c r="I720" s="24" t="str">
        <f aca="false">IF($B720="","",IFERROR(IF(INDEX(Students!$C$2:$C$301,MATCH($B720,Students!$A$2:$A$301,0))="","",INDEX(Students!$C$2:$C$301,MATCH($B720,Students!$A$2:$A$301,0))),""))</f>
        <v/>
      </c>
      <c r="J720" s="24" t="str">
        <f aca="false">IF($B720="","",IFERROR(IF(INDEX(Students!$B$2:$B$301,MATCH($B720,Students!$A$2:$A$301,0))="","",INDEX(Students!$B$2:$B$301,MATCH($B720,Students!$A$2:$A$301,0))),""))</f>
        <v/>
      </c>
      <c r="K720" s="25" t="str">
        <f aca="false">IF($A720="","",IF(D720="Withdrawn",0,IF(E720&lt;&gt;"",N(E720),IFERROR(N(INDEX(Activities!$I$2:$I$201,MATCH($A720,Activities!$A$2:$A$201,0))),0))))</f>
        <v/>
      </c>
      <c r="L720" s="24" t="str">
        <f aca="false">IF(AND($A720="",$B720=""),"",IF(ISNA(MATCH($A720,Activities!$A$2:$A$201,0)),"Unknown activity",IF(ISNA(MATCH($B720,Students!$A$2:$A$301,0)),"Unknown student",IF(D720="","No status",IF(COUNTIFS($A$2:$A$1001,$A720,$B$2:$B$1001,$B720)&gt;1,"Duplicate",IF(AND(D720&lt;&gt;"Withdrawn",G720&lt;&gt;"",COUNTIFS($B$2:$B$1001,$B720,$G$2:$G$1001,G720,$D$2:$D$1001,"&lt;&gt;Withdrawn")&gt;1),"Same-day clash","OK"))))))</f>
        <v/>
      </c>
    </row>
    <row r="721" customFormat="false" ht="15" hidden="false" customHeight="false" outlineLevel="0" collapsed="false">
      <c r="E721" s="26"/>
      <c r="G721" s="23" t="str">
        <f aca="false">IF($A721="","",IFERROR(IF(INDEX(Activities!$C$2:$C$201,MATCH($A721,Activities!$A$2:$A$201,0))="","",INDEX(Activities!$C$2:$C$201,MATCH($A721,Activities!$A$2:$A$201,0))),""))</f>
        <v/>
      </c>
      <c r="H721" s="24" t="str">
        <f aca="false">IF($A721="","",IFERROR(IF(INDEX(Activities!$B$2:$B$201,MATCH($A721,Activities!$A$2:$A$201,0))="","",INDEX(Activities!$B$2:$B$201,MATCH($A721,Activities!$A$2:$A$201,0))),""))</f>
        <v/>
      </c>
      <c r="I721" s="24" t="str">
        <f aca="false">IF($B721="","",IFERROR(IF(INDEX(Students!$C$2:$C$301,MATCH($B721,Students!$A$2:$A$301,0))="","",INDEX(Students!$C$2:$C$301,MATCH($B721,Students!$A$2:$A$301,0))),""))</f>
        <v/>
      </c>
      <c r="J721" s="24" t="str">
        <f aca="false">IF($B721="","",IFERROR(IF(INDEX(Students!$B$2:$B$301,MATCH($B721,Students!$A$2:$A$301,0))="","",INDEX(Students!$B$2:$B$301,MATCH($B721,Students!$A$2:$A$301,0))),""))</f>
        <v/>
      </c>
      <c r="K721" s="25" t="str">
        <f aca="false">IF($A721="","",IF(D721="Withdrawn",0,IF(E721&lt;&gt;"",N(E721),IFERROR(N(INDEX(Activities!$I$2:$I$201,MATCH($A721,Activities!$A$2:$A$201,0))),0))))</f>
        <v/>
      </c>
      <c r="L721" s="24" t="str">
        <f aca="false">IF(AND($A721="",$B721=""),"",IF(ISNA(MATCH($A721,Activities!$A$2:$A$201,0)),"Unknown activity",IF(ISNA(MATCH($B721,Students!$A$2:$A$301,0)),"Unknown student",IF(D721="","No status",IF(COUNTIFS($A$2:$A$1001,$A721,$B$2:$B$1001,$B721)&gt;1,"Duplicate",IF(AND(D721&lt;&gt;"Withdrawn",G721&lt;&gt;"",COUNTIFS($B$2:$B$1001,$B721,$G$2:$G$1001,G721,$D$2:$D$1001,"&lt;&gt;Withdrawn")&gt;1),"Same-day clash","OK"))))))</f>
        <v/>
      </c>
    </row>
    <row r="722" customFormat="false" ht="15" hidden="false" customHeight="false" outlineLevel="0" collapsed="false">
      <c r="E722" s="26"/>
      <c r="G722" s="23" t="str">
        <f aca="false">IF($A722="","",IFERROR(IF(INDEX(Activities!$C$2:$C$201,MATCH($A722,Activities!$A$2:$A$201,0))="","",INDEX(Activities!$C$2:$C$201,MATCH($A722,Activities!$A$2:$A$201,0))),""))</f>
        <v/>
      </c>
      <c r="H722" s="24" t="str">
        <f aca="false">IF($A722="","",IFERROR(IF(INDEX(Activities!$B$2:$B$201,MATCH($A722,Activities!$A$2:$A$201,0))="","",INDEX(Activities!$B$2:$B$201,MATCH($A722,Activities!$A$2:$A$201,0))),""))</f>
        <v/>
      </c>
      <c r="I722" s="24" t="str">
        <f aca="false">IF($B722="","",IFERROR(IF(INDEX(Students!$C$2:$C$301,MATCH($B722,Students!$A$2:$A$301,0))="","",INDEX(Students!$C$2:$C$301,MATCH($B722,Students!$A$2:$A$301,0))),""))</f>
        <v/>
      </c>
      <c r="J722" s="24" t="str">
        <f aca="false">IF($B722="","",IFERROR(IF(INDEX(Students!$B$2:$B$301,MATCH($B722,Students!$A$2:$A$301,0))="","",INDEX(Students!$B$2:$B$301,MATCH($B722,Students!$A$2:$A$301,0))),""))</f>
        <v/>
      </c>
      <c r="K722" s="25" t="str">
        <f aca="false">IF($A722="","",IF(D722="Withdrawn",0,IF(E722&lt;&gt;"",N(E722),IFERROR(N(INDEX(Activities!$I$2:$I$201,MATCH($A722,Activities!$A$2:$A$201,0))),0))))</f>
        <v/>
      </c>
      <c r="L722" s="24" t="str">
        <f aca="false">IF(AND($A722="",$B722=""),"",IF(ISNA(MATCH($A722,Activities!$A$2:$A$201,0)),"Unknown activity",IF(ISNA(MATCH($B722,Students!$A$2:$A$301,0)),"Unknown student",IF(D722="","No status",IF(COUNTIFS($A$2:$A$1001,$A722,$B$2:$B$1001,$B722)&gt;1,"Duplicate",IF(AND(D722&lt;&gt;"Withdrawn",G722&lt;&gt;"",COUNTIFS($B$2:$B$1001,$B722,$G$2:$G$1001,G722,$D$2:$D$1001,"&lt;&gt;Withdrawn")&gt;1),"Same-day clash","OK"))))))</f>
        <v/>
      </c>
    </row>
    <row r="723" customFormat="false" ht="15" hidden="false" customHeight="false" outlineLevel="0" collapsed="false">
      <c r="E723" s="26"/>
      <c r="G723" s="23" t="str">
        <f aca="false">IF($A723="","",IFERROR(IF(INDEX(Activities!$C$2:$C$201,MATCH($A723,Activities!$A$2:$A$201,0))="","",INDEX(Activities!$C$2:$C$201,MATCH($A723,Activities!$A$2:$A$201,0))),""))</f>
        <v/>
      </c>
      <c r="H723" s="24" t="str">
        <f aca="false">IF($A723="","",IFERROR(IF(INDEX(Activities!$B$2:$B$201,MATCH($A723,Activities!$A$2:$A$201,0))="","",INDEX(Activities!$B$2:$B$201,MATCH($A723,Activities!$A$2:$A$201,0))),""))</f>
        <v/>
      </c>
      <c r="I723" s="24" t="str">
        <f aca="false">IF($B723="","",IFERROR(IF(INDEX(Students!$C$2:$C$301,MATCH($B723,Students!$A$2:$A$301,0))="","",INDEX(Students!$C$2:$C$301,MATCH($B723,Students!$A$2:$A$301,0))),""))</f>
        <v/>
      </c>
      <c r="J723" s="24" t="str">
        <f aca="false">IF($B723="","",IFERROR(IF(INDEX(Students!$B$2:$B$301,MATCH($B723,Students!$A$2:$A$301,0))="","",INDEX(Students!$B$2:$B$301,MATCH($B723,Students!$A$2:$A$301,0))),""))</f>
        <v/>
      </c>
      <c r="K723" s="25" t="str">
        <f aca="false">IF($A723="","",IF(D723="Withdrawn",0,IF(E723&lt;&gt;"",N(E723),IFERROR(N(INDEX(Activities!$I$2:$I$201,MATCH($A723,Activities!$A$2:$A$201,0))),0))))</f>
        <v/>
      </c>
      <c r="L723" s="24" t="str">
        <f aca="false">IF(AND($A723="",$B723=""),"",IF(ISNA(MATCH($A723,Activities!$A$2:$A$201,0)),"Unknown activity",IF(ISNA(MATCH($B723,Students!$A$2:$A$301,0)),"Unknown student",IF(D723="","No status",IF(COUNTIFS($A$2:$A$1001,$A723,$B$2:$B$1001,$B723)&gt;1,"Duplicate",IF(AND(D723&lt;&gt;"Withdrawn",G723&lt;&gt;"",COUNTIFS($B$2:$B$1001,$B723,$G$2:$G$1001,G723,$D$2:$D$1001,"&lt;&gt;Withdrawn")&gt;1),"Same-day clash","OK"))))))</f>
        <v/>
      </c>
    </row>
    <row r="724" customFormat="false" ht="15" hidden="false" customHeight="false" outlineLevel="0" collapsed="false">
      <c r="E724" s="26"/>
      <c r="G724" s="23" t="str">
        <f aca="false">IF($A724="","",IFERROR(IF(INDEX(Activities!$C$2:$C$201,MATCH($A724,Activities!$A$2:$A$201,0))="","",INDEX(Activities!$C$2:$C$201,MATCH($A724,Activities!$A$2:$A$201,0))),""))</f>
        <v/>
      </c>
      <c r="H724" s="24" t="str">
        <f aca="false">IF($A724="","",IFERROR(IF(INDEX(Activities!$B$2:$B$201,MATCH($A724,Activities!$A$2:$A$201,0))="","",INDEX(Activities!$B$2:$B$201,MATCH($A724,Activities!$A$2:$A$201,0))),""))</f>
        <v/>
      </c>
      <c r="I724" s="24" t="str">
        <f aca="false">IF($B724="","",IFERROR(IF(INDEX(Students!$C$2:$C$301,MATCH($B724,Students!$A$2:$A$301,0))="","",INDEX(Students!$C$2:$C$301,MATCH($B724,Students!$A$2:$A$301,0))),""))</f>
        <v/>
      </c>
      <c r="J724" s="24" t="str">
        <f aca="false">IF($B724="","",IFERROR(IF(INDEX(Students!$B$2:$B$301,MATCH($B724,Students!$A$2:$A$301,0))="","",INDEX(Students!$B$2:$B$301,MATCH($B724,Students!$A$2:$A$301,0))),""))</f>
        <v/>
      </c>
      <c r="K724" s="25" t="str">
        <f aca="false">IF($A724="","",IF(D724="Withdrawn",0,IF(E724&lt;&gt;"",N(E724),IFERROR(N(INDEX(Activities!$I$2:$I$201,MATCH($A724,Activities!$A$2:$A$201,0))),0))))</f>
        <v/>
      </c>
      <c r="L724" s="24" t="str">
        <f aca="false">IF(AND($A724="",$B724=""),"",IF(ISNA(MATCH($A724,Activities!$A$2:$A$201,0)),"Unknown activity",IF(ISNA(MATCH($B724,Students!$A$2:$A$301,0)),"Unknown student",IF(D724="","No status",IF(COUNTIFS($A$2:$A$1001,$A724,$B$2:$B$1001,$B724)&gt;1,"Duplicate",IF(AND(D724&lt;&gt;"Withdrawn",G724&lt;&gt;"",COUNTIFS($B$2:$B$1001,$B724,$G$2:$G$1001,G724,$D$2:$D$1001,"&lt;&gt;Withdrawn")&gt;1),"Same-day clash","OK"))))))</f>
        <v/>
      </c>
    </row>
    <row r="725" customFormat="false" ht="15" hidden="false" customHeight="false" outlineLevel="0" collapsed="false">
      <c r="E725" s="26"/>
      <c r="G725" s="23" t="str">
        <f aca="false">IF($A725="","",IFERROR(IF(INDEX(Activities!$C$2:$C$201,MATCH($A725,Activities!$A$2:$A$201,0))="","",INDEX(Activities!$C$2:$C$201,MATCH($A725,Activities!$A$2:$A$201,0))),""))</f>
        <v/>
      </c>
      <c r="H725" s="24" t="str">
        <f aca="false">IF($A725="","",IFERROR(IF(INDEX(Activities!$B$2:$B$201,MATCH($A725,Activities!$A$2:$A$201,0))="","",INDEX(Activities!$B$2:$B$201,MATCH($A725,Activities!$A$2:$A$201,0))),""))</f>
        <v/>
      </c>
      <c r="I725" s="24" t="str">
        <f aca="false">IF($B725="","",IFERROR(IF(INDEX(Students!$C$2:$C$301,MATCH($B725,Students!$A$2:$A$301,0))="","",INDEX(Students!$C$2:$C$301,MATCH($B725,Students!$A$2:$A$301,0))),""))</f>
        <v/>
      </c>
      <c r="J725" s="24" t="str">
        <f aca="false">IF($B725="","",IFERROR(IF(INDEX(Students!$B$2:$B$301,MATCH($B725,Students!$A$2:$A$301,0))="","",INDEX(Students!$B$2:$B$301,MATCH($B725,Students!$A$2:$A$301,0))),""))</f>
        <v/>
      </c>
      <c r="K725" s="25" t="str">
        <f aca="false">IF($A725="","",IF(D725="Withdrawn",0,IF(E725&lt;&gt;"",N(E725),IFERROR(N(INDEX(Activities!$I$2:$I$201,MATCH($A725,Activities!$A$2:$A$201,0))),0))))</f>
        <v/>
      </c>
      <c r="L725" s="24" t="str">
        <f aca="false">IF(AND($A725="",$B725=""),"",IF(ISNA(MATCH($A725,Activities!$A$2:$A$201,0)),"Unknown activity",IF(ISNA(MATCH($B725,Students!$A$2:$A$301,0)),"Unknown student",IF(D725="","No status",IF(COUNTIFS($A$2:$A$1001,$A725,$B$2:$B$1001,$B725)&gt;1,"Duplicate",IF(AND(D725&lt;&gt;"Withdrawn",G725&lt;&gt;"",COUNTIFS($B$2:$B$1001,$B725,$G$2:$G$1001,G725,$D$2:$D$1001,"&lt;&gt;Withdrawn")&gt;1),"Same-day clash","OK"))))))</f>
        <v/>
      </c>
    </row>
    <row r="726" customFormat="false" ht="15" hidden="false" customHeight="false" outlineLevel="0" collapsed="false">
      <c r="E726" s="26"/>
      <c r="G726" s="23" t="str">
        <f aca="false">IF($A726="","",IFERROR(IF(INDEX(Activities!$C$2:$C$201,MATCH($A726,Activities!$A$2:$A$201,0))="","",INDEX(Activities!$C$2:$C$201,MATCH($A726,Activities!$A$2:$A$201,0))),""))</f>
        <v/>
      </c>
      <c r="H726" s="24" t="str">
        <f aca="false">IF($A726="","",IFERROR(IF(INDEX(Activities!$B$2:$B$201,MATCH($A726,Activities!$A$2:$A$201,0))="","",INDEX(Activities!$B$2:$B$201,MATCH($A726,Activities!$A$2:$A$201,0))),""))</f>
        <v/>
      </c>
      <c r="I726" s="24" t="str">
        <f aca="false">IF($B726="","",IFERROR(IF(INDEX(Students!$C$2:$C$301,MATCH($B726,Students!$A$2:$A$301,0))="","",INDEX(Students!$C$2:$C$301,MATCH($B726,Students!$A$2:$A$301,0))),""))</f>
        <v/>
      </c>
      <c r="J726" s="24" t="str">
        <f aca="false">IF($B726="","",IFERROR(IF(INDEX(Students!$B$2:$B$301,MATCH($B726,Students!$A$2:$A$301,0))="","",INDEX(Students!$B$2:$B$301,MATCH($B726,Students!$A$2:$A$301,0))),""))</f>
        <v/>
      </c>
      <c r="K726" s="25" t="str">
        <f aca="false">IF($A726="","",IF(D726="Withdrawn",0,IF(E726&lt;&gt;"",N(E726),IFERROR(N(INDEX(Activities!$I$2:$I$201,MATCH($A726,Activities!$A$2:$A$201,0))),0))))</f>
        <v/>
      </c>
      <c r="L726" s="24" t="str">
        <f aca="false">IF(AND($A726="",$B726=""),"",IF(ISNA(MATCH($A726,Activities!$A$2:$A$201,0)),"Unknown activity",IF(ISNA(MATCH($B726,Students!$A$2:$A$301,0)),"Unknown student",IF(D726="","No status",IF(COUNTIFS($A$2:$A$1001,$A726,$B$2:$B$1001,$B726)&gt;1,"Duplicate",IF(AND(D726&lt;&gt;"Withdrawn",G726&lt;&gt;"",COUNTIFS($B$2:$B$1001,$B726,$G$2:$G$1001,G726,$D$2:$D$1001,"&lt;&gt;Withdrawn")&gt;1),"Same-day clash","OK"))))))</f>
        <v/>
      </c>
    </row>
    <row r="727" customFormat="false" ht="15" hidden="false" customHeight="false" outlineLevel="0" collapsed="false">
      <c r="E727" s="26"/>
      <c r="G727" s="23" t="str">
        <f aca="false">IF($A727="","",IFERROR(IF(INDEX(Activities!$C$2:$C$201,MATCH($A727,Activities!$A$2:$A$201,0))="","",INDEX(Activities!$C$2:$C$201,MATCH($A727,Activities!$A$2:$A$201,0))),""))</f>
        <v/>
      </c>
      <c r="H727" s="24" t="str">
        <f aca="false">IF($A727="","",IFERROR(IF(INDEX(Activities!$B$2:$B$201,MATCH($A727,Activities!$A$2:$A$201,0))="","",INDEX(Activities!$B$2:$B$201,MATCH($A727,Activities!$A$2:$A$201,0))),""))</f>
        <v/>
      </c>
      <c r="I727" s="24" t="str">
        <f aca="false">IF($B727="","",IFERROR(IF(INDEX(Students!$C$2:$C$301,MATCH($B727,Students!$A$2:$A$301,0))="","",INDEX(Students!$C$2:$C$301,MATCH($B727,Students!$A$2:$A$301,0))),""))</f>
        <v/>
      </c>
      <c r="J727" s="24" t="str">
        <f aca="false">IF($B727="","",IFERROR(IF(INDEX(Students!$B$2:$B$301,MATCH($B727,Students!$A$2:$A$301,0))="","",INDEX(Students!$B$2:$B$301,MATCH($B727,Students!$A$2:$A$301,0))),""))</f>
        <v/>
      </c>
      <c r="K727" s="25" t="str">
        <f aca="false">IF($A727="","",IF(D727="Withdrawn",0,IF(E727&lt;&gt;"",N(E727),IFERROR(N(INDEX(Activities!$I$2:$I$201,MATCH($A727,Activities!$A$2:$A$201,0))),0))))</f>
        <v/>
      </c>
      <c r="L727" s="24" t="str">
        <f aca="false">IF(AND($A727="",$B727=""),"",IF(ISNA(MATCH($A727,Activities!$A$2:$A$201,0)),"Unknown activity",IF(ISNA(MATCH($B727,Students!$A$2:$A$301,0)),"Unknown student",IF(D727="","No status",IF(COUNTIFS($A$2:$A$1001,$A727,$B$2:$B$1001,$B727)&gt;1,"Duplicate",IF(AND(D727&lt;&gt;"Withdrawn",G727&lt;&gt;"",COUNTIFS($B$2:$B$1001,$B727,$G$2:$G$1001,G727,$D$2:$D$1001,"&lt;&gt;Withdrawn")&gt;1),"Same-day clash","OK"))))))</f>
        <v/>
      </c>
    </row>
    <row r="728" customFormat="false" ht="15" hidden="false" customHeight="false" outlineLevel="0" collapsed="false">
      <c r="E728" s="26"/>
      <c r="G728" s="23" t="str">
        <f aca="false">IF($A728="","",IFERROR(IF(INDEX(Activities!$C$2:$C$201,MATCH($A728,Activities!$A$2:$A$201,0))="","",INDEX(Activities!$C$2:$C$201,MATCH($A728,Activities!$A$2:$A$201,0))),""))</f>
        <v/>
      </c>
      <c r="H728" s="24" t="str">
        <f aca="false">IF($A728="","",IFERROR(IF(INDEX(Activities!$B$2:$B$201,MATCH($A728,Activities!$A$2:$A$201,0))="","",INDEX(Activities!$B$2:$B$201,MATCH($A728,Activities!$A$2:$A$201,0))),""))</f>
        <v/>
      </c>
      <c r="I728" s="24" t="str">
        <f aca="false">IF($B728="","",IFERROR(IF(INDEX(Students!$C$2:$C$301,MATCH($B728,Students!$A$2:$A$301,0))="","",INDEX(Students!$C$2:$C$301,MATCH($B728,Students!$A$2:$A$301,0))),""))</f>
        <v/>
      </c>
      <c r="J728" s="24" t="str">
        <f aca="false">IF($B728="","",IFERROR(IF(INDEX(Students!$B$2:$B$301,MATCH($B728,Students!$A$2:$A$301,0))="","",INDEX(Students!$B$2:$B$301,MATCH($B728,Students!$A$2:$A$301,0))),""))</f>
        <v/>
      </c>
      <c r="K728" s="25" t="str">
        <f aca="false">IF($A728="","",IF(D728="Withdrawn",0,IF(E728&lt;&gt;"",N(E728),IFERROR(N(INDEX(Activities!$I$2:$I$201,MATCH($A728,Activities!$A$2:$A$201,0))),0))))</f>
        <v/>
      </c>
      <c r="L728" s="24" t="str">
        <f aca="false">IF(AND($A728="",$B728=""),"",IF(ISNA(MATCH($A728,Activities!$A$2:$A$201,0)),"Unknown activity",IF(ISNA(MATCH($B728,Students!$A$2:$A$301,0)),"Unknown student",IF(D728="","No status",IF(COUNTIFS($A$2:$A$1001,$A728,$B$2:$B$1001,$B728)&gt;1,"Duplicate",IF(AND(D728&lt;&gt;"Withdrawn",G728&lt;&gt;"",COUNTIFS($B$2:$B$1001,$B728,$G$2:$G$1001,G728,$D$2:$D$1001,"&lt;&gt;Withdrawn")&gt;1),"Same-day clash","OK"))))))</f>
        <v/>
      </c>
    </row>
    <row r="729" customFormat="false" ht="15" hidden="false" customHeight="false" outlineLevel="0" collapsed="false">
      <c r="E729" s="26"/>
      <c r="G729" s="23" t="str">
        <f aca="false">IF($A729="","",IFERROR(IF(INDEX(Activities!$C$2:$C$201,MATCH($A729,Activities!$A$2:$A$201,0))="","",INDEX(Activities!$C$2:$C$201,MATCH($A729,Activities!$A$2:$A$201,0))),""))</f>
        <v/>
      </c>
      <c r="H729" s="24" t="str">
        <f aca="false">IF($A729="","",IFERROR(IF(INDEX(Activities!$B$2:$B$201,MATCH($A729,Activities!$A$2:$A$201,0))="","",INDEX(Activities!$B$2:$B$201,MATCH($A729,Activities!$A$2:$A$201,0))),""))</f>
        <v/>
      </c>
      <c r="I729" s="24" t="str">
        <f aca="false">IF($B729="","",IFERROR(IF(INDEX(Students!$C$2:$C$301,MATCH($B729,Students!$A$2:$A$301,0))="","",INDEX(Students!$C$2:$C$301,MATCH($B729,Students!$A$2:$A$301,0))),""))</f>
        <v/>
      </c>
      <c r="J729" s="24" t="str">
        <f aca="false">IF($B729="","",IFERROR(IF(INDEX(Students!$B$2:$B$301,MATCH($B729,Students!$A$2:$A$301,0))="","",INDEX(Students!$B$2:$B$301,MATCH($B729,Students!$A$2:$A$301,0))),""))</f>
        <v/>
      </c>
      <c r="K729" s="25" t="str">
        <f aca="false">IF($A729="","",IF(D729="Withdrawn",0,IF(E729&lt;&gt;"",N(E729),IFERROR(N(INDEX(Activities!$I$2:$I$201,MATCH($A729,Activities!$A$2:$A$201,0))),0))))</f>
        <v/>
      </c>
      <c r="L729" s="24" t="str">
        <f aca="false">IF(AND($A729="",$B729=""),"",IF(ISNA(MATCH($A729,Activities!$A$2:$A$201,0)),"Unknown activity",IF(ISNA(MATCH($B729,Students!$A$2:$A$301,0)),"Unknown student",IF(D729="","No status",IF(COUNTIFS($A$2:$A$1001,$A729,$B$2:$B$1001,$B729)&gt;1,"Duplicate",IF(AND(D729&lt;&gt;"Withdrawn",G729&lt;&gt;"",COUNTIFS($B$2:$B$1001,$B729,$G$2:$G$1001,G729,$D$2:$D$1001,"&lt;&gt;Withdrawn")&gt;1),"Same-day clash","OK"))))))</f>
        <v/>
      </c>
    </row>
    <row r="730" customFormat="false" ht="15" hidden="false" customHeight="false" outlineLevel="0" collapsed="false">
      <c r="E730" s="26"/>
      <c r="G730" s="23" t="str">
        <f aca="false">IF($A730="","",IFERROR(IF(INDEX(Activities!$C$2:$C$201,MATCH($A730,Activities!$A$2:$A$201,0))="","",INDEX(Activities!$C$2:$C$201,MATCH($A730,Activities!$A$2:$A$201,0))),""))</f>
        <v/>
      </c>
      <c r="H730" s="24" t="str">
        <f aca="false">IF($A730="","",IFERROR(IF(INDEX(Activities!$B$2:$B$201,MATCH($A730,Activities!$A$2:$A$201,0))="","",INDEX(Activities!$B$2:$B$201,MATCH($A730,Activities!$A$2:$A$201,0))),""))</f>
        <v/>
      </c>
      <c r="I730" s="24" t="str">
        <f aca="false">IF($B730="","",IFERROR(IF(INDEX(Students!$C$2:$C$301,MATCH($B730,Students!$A$2:$A$301,0))="","",INDEX(Students!$C$2:$C$301,MATCH($B730,Students!$A$2:$A$301,0))),""))</f>
        <v/>
      </c>
      <c r="J730" s="24" t="str">
        <f aca="false">IF($B730="","",IFERROR(IF(INDEX(Students!$B$2:$B$301,MATCH($B730,Students!$A$2:$A$301,0))="","",INDEX(Students!$B$2:$B$301,MATCH($B730,Students!$A$2:$A$301,0))),""))</f>
        <v/>
      </c>
      <c r="K730" s="25" t="str">
        <f aca="false">IF($A730="","",IF(D730="Withdrawn",0,IF(E730&lt;&gt;"",N(E730),IFERROR(N(INDEX(Activities!$I$2:$I$201,MATCH($A730,Activities!$A$2:$A$201,0))),0))))</f>
        <v/>
      </c>
      <c r="L730" s="24" t="str">
        <f aca="false">IF(AND($A730="",$B730=""),"",IF(ISNA(MATCH($A730,Activities!$A$2:$A$201,0)),"Unknown activity",IF(ISNA(MATCH($B730,Students!$A$2:$A$301,0)),"Unknown student",IF(D730="","No status",IF(COUNTIFS($A$2:$A$1001,$A730,$B$2:$B$1001,$B730)&gt;1,"Duplicate",IF(AND(D730&lt;&gt;"Withdrawn",G730&lt;&gt;"",COUNTIFS($B$2:$B$1001,$B730,$G$2:$G$1001,G730,$D$2:$D$1001,"&lt;&gt;Withdrawn")&gt;1),"Same-day clash","OK"))))))</f>
        <v/>
      </c>
    </row>
    <row r="731" customFormat="false" ht="15" hidden="false" customHeight="false" outlineLevel="0" collapsed="false">
      <c r="E731" s="26"/>
      <c r="G731" s="23" t="str">
        <f aca="false">IF($A731="","",IFERROR(IF(INDEX(Activities!$C$2:$C$201,MATCH($A731,Activities!$A$2:$A$201,0))="","",INDEX(Activities!$C$2:$C$201,MATCH($A731,Activities!$A$2:$A$201,0))),""))</f>
        <v/>
      </c>
      <c r="H731" s="24" t="str">
        <f aca="false">IF($A731="","",IFERROR(IF(INDEX(Activities!$B$2:$B$201,MATCH($A731,Activities!$A$2:$A$201,0))="","",INDEX(Activities!$B$2:$B$201,MATCH($A731,Activities!$A$2:$A$201,0))),""))</f>
        <v/>
      </c>
      <c r="I731" s="24" t="str">
        <f aca="false">IF($B731="","",IFERROR(IF(INDEX(Students!$C$2:$C$301,MATCH($B731,Students!$A$2:$A$301,0))="","",INDEX(Students!$C$2:$C$301,MATCH($B731,Students!$A$2:$A$301,0))),""))</f>
        <v/>
      </c>
      <c r="J731" s="24" t="str">
        <f aca="false">IF($B731="","",IFERROR(IF(INDEX(Students!$B$2:$B$301,MATCH($B731,Students!$A$2:$A$301,0))="","",INDEX(Students!$B$2:$B$301,MATCH($B731,Students!$A$2:$A$301,0))),""))</f>
        <v/>
      </c>
      <c r="K731" s="25" t="str">
        <f aca="false">IF($A731="","",IF(D731="Withdrawn",0,IF(E731&lt;&gt;"",N(E731),IFERROR(N(INDEX(Activities!$I$2:$I$201,MATCH($A731,Activities!$A$2:$A$201,0))),0))))</f>
        <v/>
      </c>
      <c r="L731" s="24" t="str">
        <f aca="false">IF(AND($A731="",$B731=""),"",IF(ISNA(MATCH($A731,Activities!$A$2:$A$201,0)),"Unknown activity",IF(ISNA(MATCH($B731,Students!$A$2:$A$301,0)),"Unknown student",IF(D731="","No status",IF(COUNTIFS($A$2:$A$1001,$A731,$B$2:$B$1001,$B731)&gt;1,"Duplicate",IF(AND(D731&lt;&gt;"Withdrawn",G731&lt;&gt;"",COUNTIFS($B$2:$B$1001,$B731,$G$2:$G$1001,G731,$D$2:$D$1001,"&lt;&gt;Withdrawn")&gt;1),"Same-day clash","OK"))))))</f>
        <v/>
      </c>
    </row>
    <row r="732" customFormat="false" ht="15" hidden="false" customHeight="false" outlineLevel="0" collapsed="false">
      <c r="E732" s="26"/>
      <c r="G732" s="23" t="str">
        <f aca="false">IF($A732="","",IFERROR(IF(INDEX(Activities!$C$2:$C$201,MATCH($A732,Activities!$A$2:$A$201,0))="","",INDEX(Activities!$C$2:$C$201,MATCH($A732,Activities!$A$2:$A$201,0))),""))</f>
        <v/>
      </c>
      <c r="H732" s="24" t="str">
        <f aca="false">IF($A732="","",IFERROR(IF(INDEX(Activities!$B$2:$B$201,MATCH($A732,Activities!$A$2:$A$201,0))="","",INDEX(Activities!$B$2:$B$201,MATCH($A732,Activities!$A$2:$A$201,0))),""))</f>
        <v/>
      </c>
      <c r="I732" s="24" t="str">
        <f aca="false">IF($B732="","",IFERROR(IF(INDEX(Students!$C$2:$C$301,MATCH($B732,Students!$A$2:$A$301,0))="","",INDEX(Students!$C$2:$C$301,MATCH($B732,Students!$A$2:$A$301,0))),""))</f>
        <v/>
      </c>
      <c r="J732" s="24" t="str">
        <f aca="false">IF($B732="","",IFERROR(IF(INDEX(Students!$B$2:$B$301,MATCH($B732,Students!$A$2:$A$301,0))="","",INDEX(Students!$B$2:$B$301,MATCH($B732,Students!$A$2:$A$301,0))),""))</f>
        <v/>
      </c>
      <c r="K732" s="25" t="str">
        <f aca="false">IF($A732="","",IF(D732="Withdrawn",0,IF(E732&lt;&gt;"",N(E732),IFERROR(N(INDEX(Activities!$I$2:$I$201,MATCH($A732,Activities!$A$2:$A$201,0))),0))))</f>
        <v/>
      </c>
      <c r="L732" s="24" t="str">
        <f aca="false">IF(AND($A732="",$B732=""),"",IF(ISNA(MATCH($A732,Activities!$A$2:$A$201,0)),"Unknown activity",IF(ISNA(MATCH($B732,Students!$A$2:$A$301,0)),"Unknown student",IF(D732="","No status",IF(COUNTIFS($A$2:$A$1001,$A732,$B$2:$B$1001,$B732)&gt;1,"Duplicate",IF(AND(D732&lt;&gt;"Withdrawn",G732&lt;&gt;"",COUNTIFS($B$2:$B$1001,$B732,$G$2:$G$1001,G732,$D$2:$D$1001,"&lt;&gt;Withdrawn")&gt;1),"Same-day clash","OK"))))))</f>
        <v/>
      </c>
    </row>
    <row r="733" customFormat="false" ht="15" hidden="false" customHeight="false" outlineLevel="0" collapsed="false">
      <c r="E733" s="26"/>
      <c r="G733" s="23" t="str">
        <f aca="false">IF($A733="","",IFERROR(IF(INDEX(Activities!$C$2:$C$201,MATCH($A733,Activities!$A$2:$A$201,0))="","",INDEX(Activities!$C$2:$C$201,MATCH($A733,Activities!$A$2:$A$201,0))),""))</f>
        <v/>
      </c>
      <c r="H733" s="24" t="str">
        <f aca="false">IF($A733="","",IFERROR(IF(INDEX(Activities!$B$2:$B$201,MATCH($A733,Activities!$A$2:$A$201,0))="","",INDEX(Activities!$B$2:$B$201,MATCH($A733,Activities!$A$2:$A$201,0))),""))</f>
        <v/>
      </c>
      <c r="I733" s="24" t="str">
        <f aca="false">IF($B733="","",IFERROR(IF(INDEX(Students!$C$2:$C$301,MATCH($B733,Students!$A$2:$A$301,0))="","",INDEX(Students!$C$2:$C$301,MATCH($B733,Students!$A$2:$A$301,0))),""))</f>
        <v/>
      </c>
      <c r="J733" s="24" t="str">
        <f aca="false">IF($B733="","",IFERROR(IF(INDEX(Students!$B$2:$B$301,MATCH($B733,Students!$A$2:$A$301,0))="","",INDEX(Students!$B$2:$B$301,MATCH($B733,Students!$A$2:$A$301,0))),""))</f>
        <v/>
      </c>
      <c r="K733" s="25" t="str">
        <f aca="false">IF($A733="","",IF(D733="Withdrawn",0,IF(E733&lt;&gt;"",N(E733),IFERROR(N(INDEX(Activities!$I$2:$I$201,MATCH($A733,Activities!$A$2:$A$201,0))),0))))</f>
        <v/>
      </c>
      <c r="L733" s="24" t="str">
        <f aca="false">IF(AND($A733="",$B733=""),"",IF(ISNA(MATCH($A733,Activities!$A$2:$A$201,0)),"Unknown activity",IF(ISNA(MATCH($B733,Students!$A$2:$A$301,0)),"Unknown student",IF(D733="","No status",IF(COUNTIFS($A$2:$A$1001,$A733,$B$2:$B$1001,$B733)&gt;1,"Duplicate",IF(AND(D733&lt;&gt;"Withdrawn",G733&lt;&gt;"",COUNTIFS($B$2:$B$1001,$B733,$G$2:$G$1001,G733,$D$2:$D$1001,"&lt;&gt;Withdrawn")&gt;1),"Same-day clash","OK"))))))</f>
        <v/>
      </c>
    </row>
    <row r="734" customFormat="false" ht="15" hidden="false" customHeight="false" outlineLevel="0" collapsed="false">
      <c r="E734" s="26"/>
      <c r="G734" s="23" t="str">
        <f aca="false">IF($A734="","",IFERROR(IF(INDEX(Activities!$C$2:$C$201,MATCH($A734,Activities!$A$2:$A$201,0))="","",INDEX(Activities!$C$2:$C$201,MATCH($A734,Activities!$A$2:$A$201,0))),""))</f>
        <v/>
      </c>
      <c r="H734" s="24" t="str">
        <f aca="false">IF($A734="","",IFERROR(IF(INDEX(Activities!$B$2:$B$201,MATCH($A734,Activities!$A$2:$A$201,0))="","",INDEX(Activities!$B$2:$B$201,MATCH($A734,Activities!$A$2:$A$201,0))),""))</f>
        <v/>
      </c>
      <c r="I734" s="24" t="str">
        <f aca="false">IF($B734="","",IFERROR(IF(INDEX(Students!$C$2:$C$301,MATCH($B734,Students!$A$2:$A$301,0))="","",INDEX(Students!$C$2:$C$301,MATCH($B734,Students!$A$2:$A$301,0))),""))</f>
        <v/>
      </c>
      <c r="J734" s="24" t="str">
        <f aca="false">IF($B734="","",IFERROR(IF(INDEX(Students!$B$2:$B$301,MATCH($B734,Students!$A$2:$A$301,0))="","",INDEX(Students!$B$2:$B$301,MATCH($B734,Students!$A$2:$A$301,0))),""))</f>
        <v/>
      </c>
      <c r="K734" s="25" t="str">
        <f aca="false">IF($A734="","",IF(D734="Withdrawn",0,IF(E734&lt;&gt;"",N(E734),IFERROR(N(INDEX(Activities!$I$2:$I$201,MATCH($A734,Activities!$A$2:$A$201,0))),0))))</f>
        <v/>
      </c>
      <c r="L734" s="24" t="str">
        <f aca="false">IF(AND($A734="",$B734=""),"",IF(ISNA(MATCH($A734,Activities!$A$2:$A$201,0)),"Unknown activity",IF(ISNA(MATCH($B734,Students!$A$2:$A$301,0)),"Unknown student",IF(D734="","No status",IF(COUNTIFS($A$2:$A$1001,$A734,$B$2:$B$1001,$B734)&gt;1,"Duplicate",IF(AND(D734&lt;&gt;"Withdrawn",G734&lt;&gt;"",COUNTIFS($B$2:$B$1001,$B734,$G$2:$G$1001,G734,$D$2:$D$1001,"&lt;&gt;Withdrawn")&gt;1),"Same-day clash","OK"))))))</f>
        <v/>
      </c>
    </row>
    <row r="735" customFormat="false" ht="15" hidden="false" customHeight="false" outlineLevel="0" collapsed="false">
      <c r="E735" s="26"/>
      <c r="G735" s="23" t="str">
        <f aca="false">IF($A735="","",IFERROR(IF(INDEX(Activities!$C$2:$C$201,MATCH($A735,Activities!$A$2:$A$201,0))="","",INDEX(Activities!$C$2:$C$201,MATCH($A735,Activities!$A$2:$A$201,0))),""))</f>
        <v/>
      </c>
      <c r="H735" s="24" t="str">
        <f aca="false">IF($A735="","",IFERROR(IF(INDEX(Activities!$B$2:$B$201,MATCH($A735,Activities!$A$2:$A$201,0))="","",INDEX(Activities!$B$2:$B$201,MATCH($A735,Activities!$A$2:$A$201,0))),""))</f>
        <v/>
      </c>
      <c r="I735" s="24" t="str">
        <f aca="false">IF($B735="","",IFERROR(IF(INDEX(Students!$C$2:$C$301,MATCH($B735,Students!$A$2:$A$301,0))="","",INDEX(Students!$C$2:$C$301,MATCH($B735,Students!$A$2:$A$301,0))),""))</f>
        <v/>
      </c>
      <c r="J735" s="24" t="str">
        <f aca="false">IF($B735="","",IFERROR(IF(INDEX(Students!$B$2:$B$301,MATCH($B735,Students!$A$2:$A$301,0))="","",INDEX(Students!$B$2:$B$301,MATCH($B735,Students!$A$2:$A$301,0))),""))</f>
        <v/>
      </c>
      <c r="K735" s="25" t="str">
        <f aca="false">IF($A735="","",IF(D735="Withdrawn",0,IF(E735&lt;&gt;"",N(E735),IFERROR(N(INDEX(Activities!$I$2:$I$201,MATCH($A735,Activities!$A$2:$A$201,0))),0))))</f>
        <v/>
      </c>
      <c r="L735" s="24" t="str">
        <f aca="false">IF(AND($A735="",$B735=""),"",IF(ISNA(MATCH($A735,Activities!$A$2:$A$201,0)),"Unknown activity",IF(ISNA(MATCH($B735,Students!$A$2:$A$301,0)),"Unknown student",IF(D735="","No status",IF(COUNTIFS($A$2:$A$1001,$A735,$B$2:$B$1001,$B735)&gt;1,"Duplicate",IF(AND(D735&lt;&gt;"Withdrawn",G735&lt;&gt;"",COUNTIFS($B$2:$B$1001,$B735,$G$2:$G$1001,G735,$D$2:$D$1001,"&lt;&gt;Withdrawn")&gt;1),"Same-day clash","OK"))))))</f>
        <v/>
      </c>
    </row>
    <row r="736" customFormat="false" ht="15" hidden="false" customHeight="false" outlineLevel="0" collapsed="false">
      <c r="E736" s="26"/>
      <c r="G736" s="23" t="str">
        <f aca="false">IF($A736="","",IFERROR(IF(INDEX(Activities!$C$2:$C$201,MATCH($A736,Activities!$A$2:$A$201,0))="","",INDEX(Activities!$C$2:$C$201,MATCH($A736,Activities!$A$2:$A$201,0))),""))</f>
        <v/>
      </c>
      <c r="H736" s="24" t="str">
        <f aca="false">IF($A736="","",IFERROR(IF(INDEX(Activities!$B$2:$B$201,MATCH($A736,Activities!$A$2:$A$201,0))="","",INDEX(Activities!$B$2:$B$201,MATCH($A736,Activities!$A$2:$A$201,0))),""))</f>
        <v/>
      </c>
      <c r="I736" s="24" t="str">
        <f aca="false">IF($B736="","",IFERROR(IF(INDEX(Students!$C$2:$C$301,MATCH($B736,Students!$A$2:$A$301,0))="","",INDEX(Students!$C$2:$C$301,MATCH($B736,Students!$A$2:$A$301,0))),""))</f>
        <v/>
      </c>
      <c r="J736" s="24" t="str">
        <f aca="false">IF($B736="","",IFERROR(IF(INDEX(Students!$B$2:$B$301,MATCH($B736,Students!$A$2:$A$301,0))="","",INDEX(Students!$B$2:$B$301,MATCH($B736,Students!$A$2:$A$301,0))),""))</f>
        <v/>
      </c>
      <c r="K736" s="25" t="str">
        <f aca="false">IF($A736="","",IF(D736="Withdrawn",0,IF(E736&lt;&gt;"",N(E736),IFERROR(N(INDEX(Activities!$I$2:$I$201,MATCH($A736,Activities!$A$2:$A$201,0))),0))))</f>
        <v/>
      </c>
      <c r="L736" s="24" t="str">
        <f aca="false">IF(AND($A736="",$B736=""),"",IF(ISNA(MATCH($A736,Activities!$A$2:$A$201,0)),"Unknown activity",IF(ISNA(MATCH($B736,Students!$A$2:$A$301,0)),"Unknown student",IF(D736="","No status",IF(COUNTIFS($A$2:$A$1001,$A736,$B$2:$B$1001,$B736)&gt;1,"Duplicate",IF(AND(D736&lt;&gt;"Withdrawn",G736&lt;&gt;"",COUNTIFS($B$2:$B$1001,$B736,$G$2:$G$1001,G736,$D$2:$D$1001,"&lt;&gt;Withdrawn")&gt;1),"Same-day clash","OK"))))))</f>
        <v/>
      </c>
    </row>
    <row r="737" customFormat="false" ht="15" hidden="false" customHeight="false" outlineLevel="0" collapsed="false">
      <c r="E737" s="26"/>
      <c r="G737" s="23" t="str">
        <f aca="false">IF($A737="","",IFERROR(IF(INDEX(Activities!$C$2:$C$201,MATCH($A737,Activities!$A$2:$A$201,0))="","",INDEX(Activities!$C$2:$C$201,MATCH($A737,Activities!$A$2:$A$201,0))),""))</f>
        <v/>
      </c>
      <c r="H737" s="24" t="str">
        <f aca="false">IF($A737="","",IFERROR(IF(INDEX(Activities!$B$2:$B$201,MATCH($A737,Activities!$A$2:$A$201,0))="","",INDEX(Activities!$B$2:$B$201,MATCH($A737,Activities!$A$2:$A$201,0))),""))</f>
        <v/>
      </c>
      <c r="I737" s="24" t="str">
        <f aca="false">IF($B737="","",IFERROR(IF(INDEX(Students!$C$2:$C$301,MATCH($B737,Students!$A$2:$A$301,0))="","",INDEX(Students!$C$2:$C$301,MATCH($B737,Students!$A$2:$A$301,0))),""))</f>
        <v/>
      </c>
      <c r="J737" s="24" t="str">
        <f aca="false">IF($B737="","",IFERROR(IF(INDEX(Students!$B$2:$B$301,MATCH($B737,Students!$A$2:$A$301,0))="","",INDEX(Students!$B$2:$B$301,MATCH($B737,Students!$A$2:$A$301,0))),""))</f>
        <v/>
      </c>
      <c r="K737" s="25" t="str">
        <f aca="false">IF($A737="","",IF(D737="Withdrawn",0,IF(E737&lt;&gt;"",N(E737),IFERROR(N(INDEX(Activities!$I$2:$I$201,MATCH($A737,Activities!$A$2:$A$201,0))),0))))</f>
        <v/>
      </c>
      <c r="L737" s="24" t="str">
        <f aca="false">IF(AND($A737="",$B737=""),"",IF(ISNA(MATCH($A737,Activities!$A$2:$A$201,0)),"Unknown activity",IF(ISNA(MATCH($B737,Students!$A$2:$A$301,0)),"Unknown student",IF(D737="","No status",IF(COUNTIFS($A$2:$A$1001,$A737,$B$2:$B$1001,$B737)&gt;1,"Duplicate",IF(AND(D737&lt;&gt;"Withdrawn",G737&lt;&gt;"",COUNTIFS($B$2:$B$1001,$B737,$G$2:$G$1001,G737,$D$2:$D$1001,"&lt;&gt;Withdrawn")&gt;1),"Same-day clash","OK"))))))</f>
        <v/>
      </c>
    </row>
    <row r="738" customFormat="false" ht="15" hidden="false" customHeight="false" outlineLevel="0" collapsed="false">
      <c r="E738" s="26"/>
      <c r="G738" s="23" t="str">
        <f aca="false">IF($A738="","",IFERROR(IF(INDEX(Activities!$C$2:$C$201,MATCH($A738,Activities!$A$2:$A$201,0))="","",INDEX(Activities!$C$2:$C$201,MATCH($A738,Activities!$A$2:$A$201,0))),""))</f>
        <v/>
      </c>
      <c r="H738" s="24" t="str">
        <f aca="false">IF($A738="","",IFERROR(IF(INDEX(Activities!$B$2:$B$201,MATCH($A738,Activities!$A$2:$A$201,0))="","",INDEX(Activities!$B$2:$B$201,MATCH($A738,Activities!$A$2:$A$201,0))),""))</f>
        <v/>
      </c>
      <c r="I738" s="24" t="str">
        <f aca="false">IF($B738="","",IFERROR(IF(INDEX(Students!$C$2:$C$301,MATCH($B738,Students!$A$2:$A$301,0))="","",INDEX(Students!$C$2:$C$301,MATCH($B738,Students!$A$2:$A$301,0))),""))</f>
        <v/>
      </c>
      <c r="J738" s="24" t="str">
        <f aca="false">IF($B738="","",IFERROR(IF(INDEX(Students!$B$2:$B$301,MATCH($B738,Students!$A$2:$A$301,0))="","",INDEX(Students!$B$2:$B$301,MATCH($B738,Students!$A$2:$A$301,0))),""))</f>
        <v/>
      </c>
      <c r="K738" s="25" t="str">
        <f aca="false">IF($A738="","",IF(D738="Withdrawn",0,IF(E738&lt;&gt;"",N(E738),IFERROR(N(INDEX(Activities!$I$2:$I$201,MATCH($A738,Activities!$A$2:$A$201,0))),0))))</f>
        <v/>
      </c>
      <c r="L738" s="24" t="str">
        <f aca="false">IF(AND($A738="",$B738=""),"",IF(ISNA(MATCH($A738,Activities!$A$2:$A$201,0)),"Unknown activity",IF(ISNA(MATCH($B738,Students!$A$2:$A$301,0)),"Unknown student",IF(D738="","No status",IF(COUNTIFS($A$2:$A$1001,$A738,$B$2:$B$1001,$B738)&gt;1,"Duplicate",IF(AND(D738&lt;&gt;"Withdrawn",G738&lt;&gt;"",COUNTIFS($B$2:$B$1001,$B738,$G$2:$G$1001,G738,$D$2:$D$1001,"&lt;&gt;Withdrawn")&gt;1),"Same-day clash","OK"))))))</f>
        <v/>
      </c>
    </row>
    <row r="739" customFormat="false" ht="15" hidden="false" customHeight="false" outlineLevel="0" collapsed="false">
      <c r="E739" s="26"/>
      <c r="G739" s="23" t="str">
        <f aca="false">IF($A739="","",IFERROR(IF(INDEX(Activities!$C$2:$C$201,MATCH($A739,Activities!$A$2:$A$201,0))="","",INDEX(Activities!$C$2:$C$201,MATCH($A739,Activities!$A$2:$A$201,0))),""))</f>
        <v/>
      </c>
      <c r="H739" s="24" t="str">
        <f aca="false">IF($A739="","",IFERROR(IF(INDEX(Activities!$B$2:$B$201,MATCH($A739,Activities!$A$2:$A$201,0))="","",INDEX(Activities!$B$2:$B$201,MATCH($A739,Activities!$A$2:$A$201,0))),""))</f>
        <v/>
      </c>
      <c r="I739" s="24" t="str">
        <f aca="false">IF($B739="","",IFERROR(IF(INDEX(Students!$C$2:$C$301,MATCH($B739,Students!$A$2:$A$301,0))="","",INDEX(Students!$C$2:$C$301,MATCH($B739,Students!$A$2:$A$301,0))),""))</f>
        <v/>
      </c>
      <c r="J739" s="24" t="str">
        <f aca="false">IF($B739="","",IFERROR(IF(INDEX(Students!$B$2:$B$301,MATCH($B739,Students!$A$2:$A$301,0))="","",INDEX(Students!$B$2:$B$301,MATCH($B739,Students!$A$2:$A$301,0))),""))</f>
        <v/>
      </c>
      <c r="K739" s="25" t="str">
        <f aca="false">IF($A739="","",IF(D739="Withdrawn",0,IF(E739&lt;&gt;"",N(E739),IFERROR(N(INDEX(Activities!$I$2:$I$201,MATCH($A739,Activities!$A$2:$A$201,0))),0))))</f>
        <v/>
      </c>
      <c r="L739" s="24" t="str">
        <f aca="false">IF(AND($A739="",$B739=""),"",IF(ISNA(MATCH($A739,Activities!$A$2:$A$201,0)),"Unknown activity",IF(ISNA(MATCH($B739,Students!$A$2:$A$301,0)),"Unknown student",IF(D739="","No status",IF(COUNTIFS($A$2:$A$1001,$A739,$B$2:$B$1001,$B739)&gt;1,"Duplicate",IF(AND(D739&lt;&gt;"Withdrawn",G739&lt;&gt;"",COUNTIFS($B$2:$B$1001,$B739,$G$2:$G$1001,G739,$D$2:$D$1001,"&lt;&gt;Withdrawn")&gt;1),"Same-day clash","OK"))))))</f>
        <v/>
      </c>
    </row>
    <row r="740" customFormat="false" ht="15" hidden="false" customHeight="false" outlineLevel="0" collapsed="false">
      <c r="E740" s="26"/>
      <c r="G740" s="23" t="str">
        <f aca="false">IF($A740="","",IFERROR(IF(INDEX(Activities!$C$2:$C$201,MATCH($A740,Activities!$A$2:$A$201,0))="","",INDEX(Activities!$C$2:$C$201,MATCH($A740,Activities!$A$2:$A$201,0))),""))</f>
        <v/>
      </c>
      <c r="H740" s="24" t="str">
        <f aca="false">IF($A740="","",IFERROR(IF(INDEX(Activities!$B$2:$B$201,MATCH($A740,Activities!$A$2:$A$201,0))="","",INDEX(Activities!$B$2:$B$201,MATCH($A740,Activities!$A$2:$A$201,0))),""))</f>
        <v/>
      </c>
      <c r="I740" s="24" t="str">
        <f aca="false">IF($B740="","",IFERROR(IF(INDEX(Students!$C$2:$C$301,MATCH($B740,Students!$A$2:$A$301,0))="","",INDEX(Students!$C$2:$C$301,MATCH($B740,Students!$A$2:$A$301,0))),""))</f>
        <v/>
      </c>
      <c r="J740" s="24" t="str">
        <f aca="false">IF($B740="","",IFERROR(IF(INDEX(Students!$B$2:$B$301,MATCH($B740,Students!$A$2:$A$301,0))="","",INDEX(Students!$B$2:$B$301,MATCH($B740,Students!$A$2:$A$301,0))),""))</f>
        <v/>
      </c>
      <c r="K740" s="25" t="str">
        <f aca="false">IF($A740="","",IF(D740="Withdrawn",0,IF(E740&lt;&gt;"",N(E740),IFERROR(N(INDEX(Activities!$I$2:$I$201,MATCH($A740,Activities!$A$2:$A$201,0))),0))))</f>
        <v/>
      </c>
      <c r="L740" s="24" t="str">
        <f aca="false">IF(AND($A740="",$B740=""),"",IF(ISNA(MATCH($A740,Activities!$A$2:$A$201,0)),"Unknown activity",IF(ISNA(MATCH($B740,Students!$A$2:$A$301,0)),"Unknown student",IF(D740="","No status",IF(COUNTIFS($A$2:$A$1001,$A740,$B$2:$B$1001,$B740)&gt;1,"Duplicate",IF(AND(D740&lt;&gt;"Withdrawn",G740&lt;&gt;"",COUNTIFS($B$2:$B$1001,$B740,$G$2:$G$1001,G740,$D$2:$D$1001,"&lt;&gt;Withdrawn")&gt;1),"Same-day clash","OK"))))))</f>
        <v/>
      </c>
    </row>
    <row r="741" customFormat="false" ht="15" hidden="false" customHeight="false" outlineLevel="0" collapsed="false">
      <c r="E741" s="26"/>
      <c r="G741" s="23" t="str">
        <f aca="false">IF($A741="","",IFERROR(IF(INDEX(Activities!$C$2:$C$201,MATCH($A741,Activities!$A$2:$A$201,0))="","",INDEX(Activities!$C$2:$C$201,MATCH($A741,Activities!$A$2:$A$201,0))),""))</f>
        <v/>
      </c>
      <c r="H741" s="24" t="str">
        <f aca="false">IF($A741="","",IFERROR(IF(INDEX(Activities!$B$2:$B$201,MATCH($A741,Activities!$A$2:$A$201,0))="","",INDEX(Activities!$B$2:$B$201,MATCH($A741,Activities!$A$2:$A$201,0))),""))</f>
        <v/>
      </c>
      <c r="I741" s="24" t="str">
        <f aca="false">IF($B741="","",IFERROR(IF(INDEX(Students!$C$2:$C$301,MATCH($B741,Students!$A$2:$A$301,0))="","",INDEX(Students!$C$2:$C$301,MATCH($B741,Students!$A$2:$A$301,0))),""))</f>
        <v/>
      </c>
      <c r="J741" s="24" t="str">
        <f aca="false">IF($B741="","",IFERROR(IF(INDEX(Students!$B$2:$B$301,MATCH($B741,Students!$A$2:$A$301,0))="","",INDEX(Students!$B$2:$B$301,MATCH($B741,Students!$A$2:$A$301,0))),""))</f>
        <v/>
      </c>
      <c r="K741" s="25" t="str">
        <f aca="false">IF($A741="","",IF(D741="Withdrawn",0,IF(E741&lt;&gt;"",N(E741),IFERROR(N(INDEX(Activities!$I$2:$I$201,MATCH($A741,Activities!$A$2:$A$201,0))),0))))</f>
        <v/>
      </c>
      <c r="L741" s="24" t="str">
        <f aca="false">IF(AND($A741="",$B741=""),"",IF(ISNA(MATCH($A741,Activities!$A$2:$A$201,0)),"Unknown activity",IF(ISNA(MATCH($B741,Students!$A$2:$A$301,0)),"Unknown student",IF(D741="","No status",IF(COUNTIFS($A$2:$A$1001,$A741,$B$2:$B$1001,$B741)&gt;1,"Duplicate",IF(AND(D741&lt;&gt;"Withdrawn",G741&lt;&gt;"",COUNTIFS($B$2:$B$1001,$B741,$G$2:$G$1001,G741,$D$2:$D$1001,"&lt;&gt;Withdrawn")&gt;1),"Same-day clash","OK"))))))</f>
        <v/>
      </c>
    </row>
    <row r="742" customFormat="false" ht="15" hidden="false" customHeight="false" outlineLevel="0" collapsed="false">
      <c r="E742" s="26"/>
      <c r="G742" s="23" t="str">
        <f aca="false">IF($A742="","",IFERROR(IF(INDEX(Activities!$C$2:$C$201,MATCH($A742,Activities!$A$2:$A$201,0))="","",INDEX(Activities!$C$2:$C$201,MATCH($A742,Activities!$A$2:$A$201,0))),""))</f>
        <v/>
      </c>
      <c r="H742" s="24" t="str">
        <f aca="false">IF($A742="","",IFERROR(IF(INDEX(Activities!$B$2:$B$201,MATCH($A742,Activities!$A$2:$A$201,0))="","",INDEX(Activities!$B$2:$B$201,MATCH($A742,Activities!$A$2:$A$201,0))),""))</f>
        <v/>
      </c>
      <c r="I742" s="24" t="str">
        <f aca="false">IF($B742="","",IFERROR(IF(INDEX(Students!$C$2:$C$301,MATCH($B742,Students!$A$2:$A$301,0))="","",INDEX(Students!$C$2:$C$301,MATCH($B742,Students!$A$2:$A$301,0))),""))</f>
        <v/>
      </c>
      <c r="J742" s="24" t="str">
        <f aca="false">IF($B742="","",IFERROR(IF(INDEX(Students!$B$2:$B$301,MATCH($B742,Students!$A$2:$A$301,0))="","",INDEX(Students!$B$2:$B$301,MATCH($B742,Students!$A$2:$A$301,0))),""))</f>
        <v/>
      </c>
      <c r="K742" s="25" t="str">
        <f aca="false">IF($A742="","",IF(D742="Withdrawn",0,IF(E742&lt;&gt;"",N(E742),IFERROR(N(INDEX(Activities!$I$2:$I$201,MATCH($A742,Activities!$A$2:$A$201,0))),0))))</f>
        <v/>
      </c>
      <c r="L742" s="24" t="str">
        <f aca="false">IF(AND($A742="",$B742=""),"",IF(ISNA(MATCH($A742,Activities!$A$2:$A$201,0)),"Unknown activity",IF(ISNA(MATCH($B742,Students!$A$2:$A$301,0)),"Unknown student",IF(D742="","No status",IF(COUNTIFS($A$2:$A$1001,$A742,$B$2:$B$1001,$B742)&gt;1,"Duplicate",IF(AND(D742&lt;&gt;"Withdrawn",G742&lt;&gt;"",COUNTIFS($B$2:$B$1001,$B742,$G$2:$G$1001,G742,$D$2:$D$1001,"&lt;&gt;Withdrawn")&gt;1),"Same-day clash","OK"))))))</f>
        <v/>
      </c>
    </row>
    <row r="743" customFormat="false" ht="15" hidden="false" customHeight="false" outlineLevel="0" collapsed="false">
      <c r="E743" s="26"/>
      <c r="G743" s="23" t="str">
        <f aca="false">IF($A743="","",IFERROR(IF(INDEX(Activities!$C$2:$C$201,MATCH($A743,Activities!$A$2:$A$201,0))="","",INDEX(Activities!$C$2:$C$201,MATCH($A743,Activities!$A$2:$A$201,0))),""))</f>
        <v/>
      </c>
      <c r="H743" s="24" t="str">
        <f aca="false">IF($A743="","",IFERROR(IF(INDEX(Activities!$B$2:$B$201,MATCH($A743,Activities!$A$2:$A$201,0))="","",INDEX(Activities!$B$2:$B$201,MATCH($A743,Activities!$A$2:$A$201,0))),""))</f>
        <v/>
      </c>
      <c r="I743" s="24" t="str">
        <f aca="false">IF($B743="","",IFERROR(IF(INDEX(Students!$C$2:$C$301,MATCH($B743,Students!$A$2:$A$301,0))="","",INDEX(Students!$C$2:$C$301,MATCH($B743,Students!$A$2:$A$301,0))),""))</f>
        <v/>
      </c>
      <c r="J743" s="24" t="str">
        <f aca="false">IF($B743="","",IFERROR(IF(INDEX(Students!$B$2:$B$301,MATCH($B743,Students!$A$2:$A$301,0))="","",INDEX(Students!$B$2:$B$301,MATCH($B743,Students!$A$2:$A$301,0))),""))</f>
        <v/>
      </c>
      <c r="K743" s="25" t="str">
        <f aca="false">IF($A743="","",IF(D743="Withdrawn",0,IF(E743&lt;&gt;"",N(E743),IFERROR(N(INDEX(Activities!$I$2:$I$201,MATCH($A743,Activities!$A$2:$A$201,0))),0))))</f>
        <v/>
      </c>
      <c r="L743" s="24" t="str">
        <f aca="false">IF(AND($A743="",$B743=""),"",IF(ISNA(MATCH($A743,Activities!$A$2:$A$201,0)),"Unknown activity",IF(ISNA(MATCH($B743,Students!$A$2:$A$301,0)),"Unknown student",IF(D743="","No status",IF(COUNTIFS($A$2:$A$1001,$A743,$B$2:$B$1001,$B743)&gt;1,"Duplicate",IF(AND(D743&lt;&gt;"Withdrawn",G743&lt;&gt;"",COUNTIFS($B$2:$B$1001,$B743,$G$2:$G$1001,G743,$D$2:$D$1001,"&lt;&gt;Withdrawn")&gt;1),"Same-day clash","OK"))))))</f>
        <v/>
      </c>
    </row>
    <row r="744" customFormat="false" ht="15" hidden="false" customHeight="false" outlineLevel="0" collapsed="false">
      <c r="E744" s="26"/>
      <c r="G744" s="23" t="str">
        <f aca="false">IF($A744="","",IFERROR(IF(INDEX(Activities!$C$2:$C$201,MATCH($A744,Activities!$A$2:$A$201,0))="","",INDEX(Activities!$C$2:$C$201,MATCH($A744,Activities!$A$2:$A$201,0))),""))</f>
        <v/>
      </c>
      <c r="H744" s="24" t="str">
        <f aca="false">IF($A744="","",IFERROR(IF(INDEX(Activities!$B$2:$B$201,MATCH($A744,Activities!$A$2:$A$201,0))="","",INDEX(Activities!$B$2:$B$201,MATCH($A744,Activities!$A$2:$A$201,0))),""))</f>
        <v/>
      </c>
      <c r="I744" s="24" t="str">
        <f aca="false">IF($B744="","",IFERROR(IF(INDEX(Students!$C$2:$C$301,MATCH($B744,Students!$A$2:$A$301,0))="","",INDEX(Students!$C$2:$C$301,MATCH($B744,Students!$A$2:$A$301,0))),""))</f>
        <v/>
      </c>
      <c r="J744" s="24" t="str">
        <f aca="false">IF($B744="","",IFERROR(IF(INDEX(Students!$B$2:$B$301,MATCH($B744,Students!$A$2:$A$301,0))="","",INDEX(Students!$B$2:$B$301,MATCH($B744,Students!$A$2:$A$301,0))),""))</f>
        <v/>
      </c>
      <c r="K744" s="25" t="str">
        <f aca="false">IF($A744="","",IF(D744="Withdrawn",0,IF(E744&lt;&gt;"",N(E744),IFERROR(N(INDEX(Activities!$I$2:$I$201,MATCH($A744,Activities!$A$2:$A$201,0))),0))))</f>
        <v/>
      </c>
      <c r="L744" s="24" t="str">
        <f aca="false">IF(AND($A744="",$B744=""),"",IF(ISNA(MATCH($A744,Activities!$A$2:$A$201,0)),"Unknown activity",IF(ISNA(MATCH($B744,Students!$A$2:$A$301,0)),"Unknown student",IF(D744="","No status",IF(COUNTIFS($A$2:$A$1001,$A744,$B$2:$B$1001,$B744)&gt;1,"Duplicate",IF(AND(D744&lt;&gt;"Withdrawn",G744&lt;&gt;"",COUNTIFS($B$2:$B$1001,$B744,$G$2:$G$1001,G744,$D$2:$D$1001,"&lt;&gt;Withdrawn")&gt;1),"Same-day clash","OK"))))))</f>
        <v/>
      </c>
    </row>
    <row r="745" customFormat="false" ht="15" hidden="false" customHeight="false" outlineLevel="0" collapsed="false">
      <c r="E745" s="26"/>
      <c r="G745" s="23" t="str">
        <f aca="false">IF($A745="","",IFERROR(IF(INDEX(Activities!$C$2:$C$201,MATCH($A745,Activities!$A$2:$A$201,0))="","",INDEX(Activities!$C$2:$C$201,MATCH($A745,Activities!$A$2:$A$201,0))),""))</f>
        <v/>
      </c>
      <c r="H745" s="24" t="str">
        <f aca="false">IF($A745="","",IFERROR(IF(INDEX(Activities!$B$2:$B$201,MATCH($A745,Activities!$A$2:$A$201,0))="","",INDEX(Activities!$B$2:$B$201,MATCH($A745,Activities!$A$2:$A$201,0))),""))</f>
        <v/>
      </c>
      <c r="I745" s="24" t="str">
        <f aca="false">IF($B745="","",IFERROR(IF(INDEX(Students!$C$2:$C$301,MATCH($B745,Students!$A$2:$A$301,0))="","",INDEX(Students!$C$2:$C$301,MATCH($B745,Students!$A$2:$A$301,0))),""))</f>
        <v/>
      </c>
      <c r="J745" s="24" t="str">
        <f aca="false">IF($B745="","",IFERROR(IF(INDEX(Students!$B$2:$B$301,MATCH($B745,Students!$A$2:$A$301,0))="","",INDEX(Students!$B$2:$B$301,MATCH($B745,Students!$A$2:$A$301,0))),""))</f>
        <v/>
      </c>
      <c r="K745" s="25" t="str">
        <f aca="false">IF($A745="","",IF(D745="Withdrawn",0,IF(E745&lt;&gt;"",N(E745),IFERROR(N(INDEX(Activities!$I$2:$I$201,MATCH($A745,Activities!$A$2:$A$201,0))),0))))</f>
        <v/>
      </c>
      <c r="L745" s="24" t="str">
        <f aca="false">IF(AND($A745="",$B745=""),"",IF(ISNA(MATCH($A745,Activities!$A$2:$A$201,0)),"Unknown activity",IF(ISNA(MATCH($B745,Students!$A$2:$A$301,0)),"Unknown student",IF(D745="","No status",IF(COUNTIFS($A$2:$A$1001,$A745,$B$2:$B$1001,$B745)&gt;1,"Duplicate",IF(AND(D745&lt;&gt;"Withdrawn",G745&lt;&gt;"",COUNTIFS($B$2:$B$1001,$B745,$G$2:$G$1001,G745,$D$2:$D$1001,"&lt;&gt;Withdrawn")&gt;1),"Same-day clash","OK"))))))</f>
        <v/>
      </c>
    </row>
    <row r="746" customFormat="false" ht="15" hidden="false" customHeight="false" outlineLevel="0" collapsed="false">
      <c r="E746" s="26"/>
      <c r="G746" s="23" t="str">
        <f aca="false">IF($A746="","",IFERROR(IF(INDEX(Activities!$C$2:$C$201,MATCH($A746,Activities!$A$2:$A$201,0))="","",INDEX(Activities!$C$2:$C$201,MATCH($A746,Activities!$A$2:$A$201,0))),""))</f>
        <v/>
      </c>
      <c r="H746" s="24" t="str">
        <f aca="false">IF($A746="","",IFERROR(IF(INDEX(Activities!$B$2:$B$201,MATCH($A746,Activities!$A$2:$A$201,0))="","",INDEX(Activities!$B$2:$B$201,MATCH($A746,Activities!$A$2:$A$201,0))),""))</f>
        <v/>
      </c>
      <c r="I746" s="24" t="str">
        <f aca="false">IF($B746="","",IFERROR(IF(INDEX(Students!$C$2:$C$301,MATCH($B746,Students!$A$2:$A$301,0))="","",INDEX(Students!$C$2:$C$301,MATCH($B746,Students!$A$2:$A$301,0))),""))</f>
        <v/>
      </c>
      <c r="J746" s="24" t="str">
        <f aca="false">IF($B746="","",IFERROR(IF(INDEX(Students!$B$2:$B$301,MATCH($B746,Students!$A$2:$A$301,0))="","",INDEX(Students!$B$2:$B$301,MATCH($B746,Students!$A$2:$A$301,0))),""))</f>
        <v/>
      </c>
      <c r="K746" s="25" t="str">
        <f aca="false">IF($A746="","",IF(D746="Withdrawn",0,IF(E746&lt;&gt;"",N(E746),IFERROR(N(INDEX(Activities!$I$2:$I$201,MATCH($A746,Activities!$A$2:$A$201,0))),0))))</f>
        <v/>
      </c>
      <c r="L746" s="24" t="str">
        <f aca="false">IF(AND($A746="",$B746=""),"",IF(ISNA(MATCH($A746,Activities!$A$2:$A$201,0)),"Unknown activity",IF(ISNA(MATCH($B746,Students!$A$2:$A$301,0)),"Unknown student",IF(D746="","No status",IF(COUNTIFS($A$2:$A$1001,$A746,$B$2:$B$1001,$B746)&gt;1,"Duplicate",IF(AND(D746&lt;&gt;"Withdrawn",G746&lt;&gt;"",COUNTIFS($B$2:$B$1001,$B746,$G$2:$G$1001,G746,$D$2:$D$1001,"&lt;&gt;Withdrawn")&gt;1),"Same-day clash","OK"))))))</f>
        <v/>
      </c>
    </row>
    <row r="747" customFormat="false" ht="15" hidden="false" customHeight="false" outlineLevel="0" collapsed="false">
      <c r="E747" s="26"/>
      <c r="G747" s="23" t="str">
        <f aca="false">IF($A747="","",IFERROR(IF(INDEX(Activities!$C$2:$C$201,MATCH($A747,Activities!$A$2:$A$201,0))="","",INDEX(Activities!$C$2:$C$201,MATCH($A747,Activities!$A$2:$A$201,0))),""))</f>
        <v/>
      </c>
      <c r="H747" s="24" t="str">
        <f aca="false">IF($A747="","",IFERROR(IF(INDEX(Activities!$B$2:$B$201,MATCH($A747,Activities!$A$2:$A$201,0))="","",INDEX(Activities!$B$2:$B$201,MATCH($A747,Activities!$A$2:$A$201,0))),""))</f>
        <v/>
      </c>
      <c r="I747" s="24" t="str">
        <f aca="false">IF($B747="","",IFERROR(IF(INDEX(Students!$C$2:$C$301,MATCH($B747,Students!$A$2:$A$301,0))="","",INDEX(Students!$C$2:$C$301,MATCH($B747,Students!$A$2:$A$301,0))),""))</f>
        <v/>
      </c>
      <c r="J747" s="24" t="str">
        <f aca="false">IF($B747="","",IFERROR(IF(INDEX(Students!$B$2:$B$301,MATCH($B747,Students!$A$2:$A$301,0))="","",INDEX(Students!$B$2:$B$301,MATCH($B747,Students!$A$2:$A$301,0))),""))</f>
        <v/>
      </c>
      <c r="K747" s="25" t="str">
        <f aca="false">IF($A747="","",IF(D747="Withdrawn",0,IF(E747&lt;&gt;"",N(E747),IFERROR(N(INDEX(Activities!$I$2:$I$201,MATCH($A747,Activities!$A$2:$A$201,0))),0))))</f>
        <v/>
      </c>
      <c r="L747" s="24" t="str">
        <f aca="false">IF(AND($A747="",$B747=""),"",IF(ISNA(MATCH($A747,Activities!$A$2:$A$201,0)),"Unknown activity",IF(ISNA(MATCH($B747,Students!$A$2:$A$301,0)),"Unknown student",IF(D747="","No status",IF(COUNTIFS($A$2:$A$1001,$A747,$B$2:$B$1001,$B747)&gt;1,"Duplicate",IF(AND(D747&lt;&gt;"Withdrawn",G747&lt;&gt;"",COUNTIFS($B$2:$B$1001,$B747,$G$2:$G$1001,G747,$D$2:$D$1001,"&lt;&gt;Withdrawn")&gt;1),"Same-day clash","OK"))))))</f>
        <v/>
      </c>
    </row>
    <row r="748" customFormat="false" ht="15" hidden="false" customHeight="false" outlineLevel="0" collapsed="false">
      <c r="E748" s="26"/>
      <c r="G748" s="23" t="str">
        <f aca="false">IF($A748="","",IFERROR(IF(INDEX(Activities!$C$2:$C$201,MATCH($A748,Activities!$A$2:$A$201,0))="","",INDEX(Activities!$C$2:$C$201,MATCH($A748,Activities!$A$2:$A$201,0))),""))</f>
        <v/>
      </c>
      <c r="H748" s="24" t="str">
        <f aca="false">IF($A748="","",IFERROR(IF(INDEX(Activities!$B$2:$B$201,MATCH($A748,Activities!$A$2:$A$201,0))="","",INDEX(Activities!$B$2:$B$201,MATCH($A748,Activities!$A$2:$A$201,0))),""))</f>
        <v/>
      </c>
      <c r="I748" s="24" t="str">
        <f aca="false">IF($B748="","",IFERROR(IF(INDEX(Students!$C$2:$C$301,MATCH($B748,Students!$A$2:$A$301,0))="","",INDEX(Students!$C$2:$C$301,MATCH($B748,Students!$A$2:$A$301,0))),""))</f>
        <v/>
      </c>
      <c r="J748" s="24" t="str">
        <f aca="false">IF($B748="","",IFERROR(IF(INDEX(Students!$B$2:$B$301,MATCH($B748,Students!$A$2:$A$301,0))="","",INDEX(Students!$B$2:$B$301,MATCH($B748,Students!$A$2:$A$301,0))),""))</f>
        <v/>
      </c>
      <c r="K748" s="25" t="str">
        <f aca="false">IF($A748="","",IF(D748="Withdrawn",0,IF(E748&lt;&gt;"",N(E748),IFERROR(N(INDEX(Activities!$I$2:$I$201,MATCH($A748,Activities!$A$2:$A$201,0))),0))))</f>
        <v/>
      </c>
      <c r="L748" s="24" t="str">
        <f aca="false">IF(AND($A748="",$B748=""),"",IF(ISNA(MATCH($A748,Activities!$A$2:$A$201,0)),"Unknown activity",IF(ISNA(MATCH($B748,Students!$A$2:$A$301,0)),"Unknown student",IF(D748="","No status",IF(COUNTIFS($A$2:$A$1001,$A748,$B$2:$B$1001,$B748)&gt;1,"Duplicate",IF(AND(D748&lt;&gt;"Withdrawn",G748&lt;&gt;"",COUNTIFS($B$2:$B$1001,$B748,$G$2:$G$1001,G748,$D$2:$D$1001,"&lt;&gt;Withdrawn")&gt;1),"Same-day clash","OK"))))))</f>
        <v/>
      </c>
    </row>
    <row r="749" customFormat="false" ht="15" hidden="false" customHeight="false" outlineLevel="0" collapsed="false">
      <c r="E749" s="26"/>
      <c r="G749" s="23" t="str">
        <f aca="false">IF($A749="","",IFERROR(IF(INDEX(Activities!$C$2:$C$201,MATCH($A749,Activities!$A$2:$A$201,0))="","",INDEX(Activities!$C$2:$C$201,MATCH($A749,Activities!$A$2:$A$201,0))),""))</f>
        <v/>
      </c>
      <c r="H749" s="24" t="str">
        <f aca="false">IF($A749="","",IFERROR(IF(INDEX(Activities!$B$2:$B$201,MATCH($A749,Activities!$A$2:$A$201,0))="","",INDEX(Activities!$B$2:$B$201,MATCH($A749,Activities!$A$2:$A$201,0))),""))</f>
        <v/>
      </c>
      <c r="I749" s="24" t="str">
        <f aca="false">IF($B749="","",IFERROR(IF(INDEX(Students!$C$2:$C$301,MATCH($B749,Students!$A$2:$A$301,0))="","",INDEX(Students!$C$2:$C$301,MATCH($B749,Students!$A$2:$A$301,0))),""))</f>
        <v/>
      </c>
      <c r="J749" s="24" t="str">
        <f aca="false">IF($B749="","",IFERROR(IF(INDEX(Students!$B$2:$B$301,MATCH($B749,Students!$A$2:$A$301,0))="","",INDEX(Students!$B$2:$B$301,MATCH($B749,Students!$A$2:$A$301,0))),""))</f>
        <v/>
      </c>
      <c r="K749" s="25" t="str">
        <f aca="false">IF($A749="","",IF(D749="Withdrawn",0,IF(E749&lt;&gt;"",N(E749),IFERROR(N(INDEX(Activities!$I$2:$I$201,MATCH($A749,Activities!$A$2:$A$201,0))),0))))</f>
        <v/>
      </c>
      <c r="L749" s="24" t="str">
        <f aca="false">IF(AND($A749="",$B749=""),"",IF(ISNA(MATCH($A749,Activities!$A$2:$A$201,0)),"Unknown activity",IF(ISNA(MATCH($B749,Students!$A$2:$A$301,0)),"Unknown student",IF(D749="","No status",IF(COUNTIFS($A$2:$A$1001,$A749,$B$2:$B$1001,$B749)&gt;1,"Duplicate",IF(AND(D749&lt;&gt;"Withdrawn",G749&lt;&gt;"",COUNTIFS($B$2:$B$1001,$B749,$G$2:$G$1001,G749,$D$2:$D$1001,"&lt;&gt;Withdrawn")&gt;1),"Same-day clash","OK"))))))</f>
        <v/>
      </c>
    </row>
    <row r="750" customFormat="false" ht="15" hidden="false" customHeight="false" outlineLevel="0" collapsed="false">
      <c r="E750" s="26"/>
      <c r="G750" s="23" t="str">
        <f aca="false">IF($A750="","",IFERROR(IF(INDEX(Activities!$C$2:$C$201,MATCH($A750,Activities!$A$2:$A$201,0))="","",INDEX(Activities!$C$2:$C$201,MATCH($A750,Activities!$A$2:$A$201,0))),""))</f>
        <v/>
      </c>
      <c r="H750" s="24" t="str">
        <f aca="false">IF($A750="","",IFERROR(IF(INDEX(Activities!$B$2:$B$201,MATCH($A750,Activities!$A$2:$A$201,0))="","",INDEX(Activities!$B$2:$B$201,MATCH($A750,Activities!$A$2:$A$201,0))),""))</f>
        <v/>
      </c>
      <c r="I750" s="24" t="str">
        <f aca="false">IF($B750="","",IFERROR(IF(INDEX(Students!$C$2:$C$301,MATCH($B750,Students!$A$2:$A$301,0))="","",INDEX(Students!$C$2:$C$301,MATCH($B750,Students!$A$2:$A$301,0))),""))</f>
        <v/>
      </c>
      <c r="J750" s="24" t="str">
        <f aca="false">IF($B750="","",IFERROR(IF(INDEX(Students!$B$2:$B$301,MATCH($B750,Students!$A$2:$A$301,0))="","",INDEX(Students!$B$2:$B$301,MATCH($B750,Students!$A$2:$A$301,0))),""))</f>
        <v/>
      </c>
      <c r="K750" s="25" t="str">
        <f aca="false">IF($A750="","",IF(D750="Withdrawn",0,IF(E750&lt;&gt;"",N(E750),IFERROR(N(INDEX(Activities!$I$2:$I$201,MATCH($A750,Activities!$A$2:$A$201,0))),0))))</f>
        <v/>
      </c>
      <c r="L750" s="24" t="str">
        <f aca="false">IF(AND($A750="",$B750=""),"",IF(ISNA(MATCH($A750,Activities!$A$2:$A$201,0)),"Unknown activity",IF(ISNA(MATCH($B750,Students!$A$2:$A$301,0)),"Unknown student",IF(D750="","No status",IF(COUNTIFS($A$2:$A$1001,$A750,$B$2:$B$1001,$B750)&gt;1,"Duplicate",IF(AND(D750&lt;&gt;"Withdrawn",G750&lt;&gt;"",COUNTIFS($B$2:$B$1001,$B750,$G$2:$G$1001,G750,$D$2:$D$1001,"&lt;&gt;Withdrawn")&gt;1),"Same-day clash","OK"))))))</f>
        <v/>
      </c>
    </row>
    <row r="751" customFormat="false" ht="15" hidden="false" customHeight="false" outlineLevel="0" collapsed="false">
      <c r="E751" s="26"/>
      <c r="G751" s="23" t="str">
        <f aca="false">IF($A751="","",IFERROR(IF(INDEX(Activities!$C$2:$C$201,MATCH($A751,Activities!$A$2:$A$201,0))="","",INDEX(Activities!$C$2:$C$201,MATCH($A751,Activities!$A$2:$A$201,0))),""))</f>
        <v/>
      </c>
      <c r="H751" s="24" t="str">
        <f aca="false">IF($A751="","",IFERROR(IF(INDEX(Activities!$B$2:$B$201,MATCH($A751,Activities!$A$2:$A$201,0))="","",INDEX(Activities!$B$2:$B$201,MATCH($A751,Activities!$A$2:$A$201,0))),""))</f>
        <v/>
      </c>
      <c r="I751" s="24" t="str">
        <f aca="false">IF($B751="","",IFERROR(IF(INDEX(Students!$C$2:$C$301,MATCH($B751,Students!$A$2:$A$301,0))="","",INDEX(Students!$C$2:$C$301,MATCH($B751,Students!$A$2:$A$301,0))),""))</f>
        <v/>
      </c>
      <c r="J751" s="24" t="str">
        <f aca="false">IF($B751="","",IFERROR(IF(INDEX(Students!$B$2:$B$301,MATCH($B751,Students!$A$2:$A$301,0))="","",INDEX(Students!$B$2:$B$301,MATCH($B751,Students!$A$2:$A$301,0))),""))</f>
        <v/>
      </c>
      <c r="K751" s="25" t="str">
        <f aca="false">IF($A751="","",IF(D751="Withdrawn",0,IF(E751&lt;&gt;"",N(E751),IFERROR(N(INDEX(Activities!$I$2:$I$201,MATCH($A751,Activities!$A$2:$A$201,0))),0))))</f>
        <v/>
      </c>
      <c r="L751" s="24" t="str">
        <f aca="false">IF(AND($A751="",$B751=""),"",IF(ISNA(MATCH($A751,Activities!$A$2:$A$201,0)),"Unknown activity",IF(ISNA(MATCH($B751,Students!$A$2:$A$301,0)),"Unknown student",IF(D751="","No status",IF(COUNTIFS($A$2:$A$1001,$A751,$B$2:$B$1001,$B751)&gt;1,"Duplicate",IF(AND(D751&lt;&gt;"Withdrawn",G751&lt;&gt;"",COUNTIFS($B$2:$B$1001,$B751,$G$2:$G$1001,G751,$D$2:$D$1001,"&lt;&gt;Withdrawn")&gt;1),"Same-day clash","OK"))))))</f>
        <v/>
      </c>
    </row>
    <row r="752" customFormat="false" ht="15" hidden="false" customHeight="false" outlineLevel="0" collapsed="false">
      <c r="E752" s="26"/>
      <c r="G752" s="23" t="str">
        <f aca="false">IF($A752="","",IFERROR(IF(INDEX(Activities!$C$2:$C$201,MATCH($A752,Activities!$A$2:$A$201,0))="","",INDEX(Activities!$C$2:$C$201,MATCH($A752,Activities!$A$2:$A$201,0))),""))</f>
        <v/>
      </c>
      <c r="H752" s="24" t="str">
        <f aca="false">IF($A752="","",IFERROR(IF(INDEX(Activities!$B$2:$B$201,MATCH($A752,Activities!$A$2:$A$201,0))="","",INDEX(Activities!$B$2:$B$201,MATCH($A752,Activities!$A$2:$A$201,0))),""))</f>
        <v/>
      </c>
      <c r="I752" s="24" t="str">
        <f aca="false">IF($B752="","",IFERROR(IF(INDEX(Students!$C$2:$C$301,MATCH($B752,Students!$A$2:$A$301,0))="","",INDEX(Students!$C$2:$C$301,MATCH($B752,Students!$A$2:$A$301,0))),""))</f>
        <v/>
      </c>
      <c r="J752" s="24" t="str">
        <f aca="false">IF($B752="","",IFERROR(IF(INDEX(Students!$B$2:$B$301,MATCH($B752,Students!$A$2:$A$301,0))="","",INDEX(Students!$B$2:$B$301,MATCH($B752,Students!$A$2:$A$301,0))),""))</f>
        <v/>
      </c>
      <c r="K752" s="25" t="str">
        <f aca="false">IF($A752="","",IF(D752="Withdrawn",0,IF(E752&lt;&gt;"",N(E752),IFERROR(N(INDEX(Activities!$I$2:$I$201,MATCH($A752,Activities!$A$2:$A$201,0))),0))))</f>
        <v/>
      </c>
      <c r="L752" s="24" t="str">
        <f aca="false">IF(AND($A752="",$B752=""),"",IF(ISNA(MATCH($A752,Activities!$A$2:$A$201,0)),"Unknown activity",IF(ISNA(MATCH($B752,Students!$A$2:$A$301,0)),"Unknown student",IF(D752="","No status",IF(COUNTIFS($A$2:$A$1001,$A752,$B$2:$B$1001,$B752)&gt;1,"Duplicate",IF(AND(D752&lt;&gt;"Withdrawn",G752&lt;&gt;"",COUNTIFS($B$2:$B$1001,$B752,$G$2:$G$1001,G752,$D$2:$D$1001,"&lt;&gt;Withdrawn")&gt;1),"Same-day clash","OK"))))))</f>
        <v/>
      </c>
    </row>
    <row r="753" customFormat="false" ht="15" hidden="false" customHeight="false" outlineLevel="0" collapsed="false">
      <c r="E753" s="26"/>
      <c r="G753" s="23" t="str">
        <f aca="false">IF($A753="","",IFERROR(IF(INDEX(Activities!$C$2:$C$201,MATCH($A753,Activities!$A$2:$A$201,0))="","",INDEX(Activities!$C$2:$C$201,MATCH($A753,Activities!$A$2:$A$201,0))),""))</f>
        <v/>
      </c>
      <c r="H753" s="24" t="str">
        <f aca="false">IF($A753="","",IFERROR(IF(INDEX(Activities!$B$2:$B$201,MATCH($A753,Activities!$A$2:$A$201,0))="","",INDEX(Activities!$B$2:$B$201,MATCH($A753,Activities!$A$2:$A$201,0))),""))</f>
        <v/>
      </c>
      <c r="I753" s="24" t="str">
        <f aca="false">IF($B753="","",IFERROR(IF(INDEX(Students!$C$2:$C$301,MATCH($B753,Students!$A$2:$A$301,0))="","",INDEX(Students!$C$2:$C$301,MATCH($B753,Students!$A$2:$A$301,0))),""))</f>
        <v/>
      </c>
      <c r="J753" s="24" t="str">
        <f aca="false">IF($B753="","",IFERROR(IF(INDEX(Students!$B$2:$B$301,MATCH($B753,Students!$A$2:$A$301,0))="","",INDEX(Students!$B$2:$B$301,MATCH($B753,Students!$A$2:$A$301,0))),""))</f>
        <v/>
      </c>
      <c r="K753" s="25" t="str">
        <f aca="false">IF($A753="","",IF(D753="Withdrawn",0,IF(E753&lt;&gt;"",N(E753),IFERROR(N(INDEX(Activities!$I$2:$I$201,MATCH($A753,Activities!$A$2:$A$201,0))),0))))</f>
        <v/>
      </c>
      <c r="L753" s="24" t="str">
        <f aca="false">IF(AND($A753="",$B753=""),"",IF(ISNA(MATCH($A753,Activities!$A$2:$A$201,0)),"Unknown activity",IF(ISNA(MATCH($B753,Students!$A$2:$A$301,0)),"Unknown student",IF(D753="","No status",IF(COUNTIFS($A$2:$A$1001,$A753,$B$2:$B$1001,$B753)&gt;1,"Duplicate",IF(AND(D753&lt;&gt;"Withdrawn",G753&lt;&gt;"",COUNTIFS($B$2:$B$1001,$B753,$G$2:$G$1001,G753,$D$2:$D$1001,"&lt;&gt;Withdrawn")&gt;1),"Same-day clash","OK"))))))</f>
        <v/>
      </c>
    </row>
    <row r="754" customFormat="false" ht="15" hidden="false" customHeight="false" outlineLevel="0" collapsed="false">
      <c r="E754" s="26"/>
      <c r="G754" s="23" t="str">
        <f aca="false">IF($A754="","",IFERROR(IF(INDEX(Activities!$C$2:$C$201,MATCH($A754,Activities!$A$2:$A$201,0))="","",INDEX(Activities!$C$2:$C$201,MATCH($A754,Activities!$A$2:$A$201,0))),""))</f>
        <v/>
      </c>
      <c r="H754" s="24" t="str">
        <f aca="false">IF($A754="","",IFERROR(IF(INDEX(Activities!$B$2:$B$201,MATCH($A754,Activities!$A$2:$A$201,0))="","",INDEX(Activities!$B$2:$B$201,MATCH($A754,Activities!$A$2:$A$201,0))),""))</f>
        <v/>
      </c>
      <c r="I754" s="24" t="str">
        <f aca="false">IF($B754="","",IFERROR(IF(INDEX(Students!$C$2:$C$301,MATCH($B754,Students!$A$2:$A$301,0))="","",INDEX(Students!$C$2:$C$301,MATCH($B754,Students!$A$2:$A$301,0))),""))</f>
        <v/>
      </c>
      <c r="J754" s="24" t="str">
        <f aca="false">IF($B754="","",IFERROR(IF(INDEX(Students!$B$2:$B$301,MATCH($B754,Students!$A$2:$A$301,0))="","",INDEX(Students!$B$2:$B$301,MATCH($B754,Students!$A$2:$A$301,0))),""))</f>
        <v/>
      </c>
      <c r="K754" s="25" t="str">
        <f aca="false">IF($A754="","",IF(D754="Withdrawn",0,IF(E754&lt;&gt;"",N(E754),IFERROR(N(INDEX(Activities!$I$2:$I$201,MATCH($A754,Activities!$A$2:$A$201,0))),0))))</f>
        <v/>
      </c>
      <c r="L754" s="24" t="str">
        <f aca="false">IF(AND($A754="",$B754=""),"",IF(ISNA(MATCH($A754,Activities!$A$2:$A$201,0)),"Unknown activity",IF(ISNA(MATCH($B754,Students!$A$2:$A$301,0)),"Unknown student",IF(D754="","No status",IF(COUNTIFS($A$2:$A$1001,$A754,$B$2:$B$1001,$B754)&gt;1,"Duplicate",IF(AND(D754&lt;&gt;"Withdrawn",G754&lt;&gt;"",COUNTIFS($B$2:$B$1001,$B754,$G$2:$G$1001,G754,$D$2:$D$1001,"&lt;&gt;Withdrawn")&gt;1),"Same-day clash","OK"))))))</f>
        <v/>
      </c>
    </row>
    <row r="755" customFormat="false" ht="15" hidden="false" customHeight="false" outlineLevel="0" collapsed="false">
      <c r="E755" s="26"/>
      <c r="G755" s="23" t="str">
        <f aca="false">IF($A755="","",IFERROR(IF(INDEX(Activities!$C$2:$C$201,MATCH($A755,Activities!$A$2:$A$201,0))="","",INDEX(Activities!$C$2:$C$201,MATCH($A755,Activities!$A$2:$A$201,0))),""))</f>
        <v/>
      </c>
      <c r="H755" s="24" t="str">
        <f aca="false">IF($A755="","",IFERROR(IF(INDEX(Activities!$B$2:$B$201,MATCH($A755,Activities!$A$2:$A$201,0))="","",INDEX(Activities!$B$2:$B$201,MATCH($A755,Activities!$A$2:$A$201,0))),""))</f>
        <v/>
      </c>
      <c r="I755" s="24" t="str">
        <f aca="false">IF($B755="","",IFERROR(IF(INDEX(Students!$C$2:$C$301,MATCH($B755,Students!$A$2:$A$301,0))="","",INDEX(Students!$C$2:$C$301,MATCH($B755,Students!$A$2:$A$301,0))),""))</f>
        <v/>
      </c>
      <c r="J755" s="24" t="str">
        <f aca="false">IF($B755="","",IFERROR(IF(INDEX(Students!$B$2:$B$301,MATCH($B755,Students!$A$2:$A$301,0))="","",INDEX(Students!$B$2:$B$301,MATCH($B755,Students!$A$2:$A$301,0))),""))</f>
        <v/>
      </c>
      <c r="K755" s="25" t="str">
        <f aca="false">IF($A755="","",IF(D755="Withdrawn",0,IF(E755&lt;&gt;"",N(E755),IFERROR(N(INDEX(Activities!$I$2:$I$201,MATCH($A755,Activities!$A$2:$A$201,0))),0))))</f>
        <v/>
      </c>
      <c r="L755" s="24" t="str">
        <f aca="false">IF(AND($A755="",$B755=""),"",IF(ISNA(MATCH($A755,Activities!$A$2:$A$201,0)),"Unknown activity",IF(ISNA(MATCH($B755,Students!$A$2:$A$301,0)),"Unknown student",IF(D755="","No status",IF(COUNTIFS($A$2:$A$1001,$A755,$B$2:$B$1001,$B755)&gt;1,"Duplicate",IF(AND(D755&lt;&gt;"Withdrawn",G755&lt;&gt;"",COUNTIFS($B$2:$B$1001,$B755,$G$2:$G$1001,G755,$D$2:$D$1001,"&lt;&gt;Withdrawn")&gt;1),"Same-day clash","OK"))))))</f>
        <v/>
      </c>
    </row>
    <row r="756" customFormat="false" ht="15" hidden="false" customHeight="false" outlineLevel="0" collapsed="false">
      <c r="E756" s="26"/>
      <c r="G756" s="23" t="str">
        <f aca="false">IF($A756="","",IFERROR(IF(INDEX(Activities!$C$2:$C$201,MATCH($A756,Activities!$A$2:$A$201,0))="","",INDEX(Activities!$C$2:$C$201,MATCH($A756,Activities!$A$2:$A$201,0))),""))</f>
        <v/>
      </c>
      <c r="H756" s="24" t="str">
        <f aca="false">IF($A756="","",IFERROR(IF(INDEX(Activities!$B$2:$B$201,MATCH($A756,Activities!$A$2:$A$201,0))="","",INDEX(Activities!$B$2:$B$201,MATCH($A756,Activities!$A$2:$A$201,0))),""))</f>
        <v/>
      </c>
      <c r="I756" s="24" t="str">
        <f aca="false">IF($B756="","",IFERROR(IF(INDEX(Students!$C$2:$C$301,MATCH($B756,Students!$A$2:$A$301,0))="","",INDEX(Students!$C$2:$C$301,MATCH($B756,Students!$A$2:$A$301,0))),""))</f>
        <v/>
      </c>
      <c r="J756" s="24" t="str">
        <f aca="false">IF($B756="","",IFERROR(IF(INDEX(Students!$B$2:$B$301,MATCH($B756,Students!$A$2:$A$301,0))="","",INDEX(Students!$B$2:$B$301,MATCH($B756,Students!$A$2:$A$301,0))),""))</f>
        <v/>
      </c>
      <c r="K756" s="25" t="str">
        <f aca="false">IF($A756="","",IF(D756="Withdrawn",0,IF(E756&lt;&gt;"",N(E756),IFERROR(N(INDEX(Activities!$I$2:$I$201,MATCH($A756,Activities!$A$2:$A$201,0))),0))))</f>
        <v/>
      </c>
      <c r="L756" s="24" t="str">
        <f aca="false">IF(AND($A756="",$B756=""),"",IF(ISNA(MATCH($A756,Activities!$A$2:$A$201,0)),"Unknown activity",IF(ISNA(MATCH($B756,Students!$A$2:$A$301,0)),"Unknown student",IF(D756="","No status",IF(COUNTIFS($A$2:$A$1001,$A756,$B$2:$B$1001,$B756)&gt;1,"Duplicate",IF(AND(D756&lt;&gt;"Withdrawn",G756&lt;&gt;"",COUNTIFS($B$2:$B$1001,$B756,$G$2:$G$1001,G756,$D$2:$D$1001,"&lt;&gt;Withdrawn")&gt;1),"Same-day clash","OK"))))))</f>
        <v/>
      </c>
    </row>
    <row r="757" customFormat="false" ht="15" hidden="false" customHeight="false" outlineLevel="0" collapsed="false">
      <c r="E757" s="26"/>
      <c r="G757" s="23" t="str">
        <f aca="false">IF($A757="","",IFERROR(IF(INDEX(Activities!$C$2:$C$201,MATCH($A757,Activities!$A$2:$A$201,0))="","",INDEX(Activities!$C$2:$C$201,MATCH($A757,Activities!$A$2:$A$201,0))),""))</f>
        <v/>
      </c>
      <c r="H757" s="24" t="str">
        <f aca="false">IF($A757="","",IFERROR(IF(INDEX(Activities!$B$2:$B$201,MATCH($A757,Activities!$A$2:$A$201,0))="","",INDEX(Activities!$B$2:$B$201,MATCH($A757,Activities!$A$2:$A$201,0))),""))</f>
        <v/>
      </c>
      <c r="I757" s="24" t="str">
        <f aca="false">IF($B757="","",IFERROR(IF(INDEX(Students!$C$2:$C$301,MATCH($B757,Students!$A$2:$A$301,0))="","",INDEX(Students!$C$2:$C$301,MATCH($B757,Students!$A$2:$A$301,0))),""))</f>
        <v/>
      </c>
      <c r="J757" s="24" t="str">
        <f aca="false">IF($B757="","",IFERROR(IF(INDEX(Students!$B$2:$B$301,MATCH($B757,Students!$A$2:$A$301,0))="","",INDEX(Students!$B$2:$B$301,MATCH($B757,Students!$A$2:$A$301,0))),""))</f>
        <v/>
      </c>
      <c r="K757" s="25" t="str">
        <f aca="false">IF($A757="","",IF(D757="Withdrawn",0,IF(E757&lt;&gt;"",N(E757),IFERROR(N(INDEX(Activities!$I$2:$I$201,MATCH($A757,Activities!$A$2:$A$201,0))),0))))</f>
        <v/>
      </c>
      <c r="L757" s="24" t="str">
        <f aca="false">IF(AND($A757="",$B757=""),"",IF(ISNA(MATCH($A757,Activities!$A$2:$A$201,0)),"Unknown activity",IF(ISNA(MATCH($B757,Students!$A$2:$A$301,0)),"Unknown student",IF(D757="","No status",IF(COUNTIFS($A$2:$A$1001,$A757,$B$2:$B$1001,$B757)&gt;1,"Duplicate",IF(AND(D757&lt;&gt;"Withdrawn",G757&lt;&gt;"",COUNTIFS($B$2:$B$1001,$B757,$G$2:$G$1001,G757,$D$2:$D$1001,"&lt;&gt;Withdrawn")&gt;1),"Same-day clash","OK"))))))</f>
        <v/>
      </c>
    </row>
    <row r="758" customFormat="false" ht="15" hidden="false" customHeight="false" outlineLevel="0" collapsed="false">
      <c r="E758" s="26"/>
      <c r="G758" s="23" t="str">
        <f aca="false">IF($A758="","",IFERROR(IF(INDEX(Activities!$C$2:$C$201,MATCH($A758,Activities!$A$2:$A$201,0))="","",INDEX(Activities!$C$2:$C$201,MATCH($A758,Activities!$A$2:$A$201,0))),""))</f>
        <v/>
      </c>
      <c r="H758" s="24" t="str">
        <f aca="false">IF($A758="","",IFERROR(IF(INDEX(Activities!$B$2:$B$201,MATCH($A758,Activities!$A$2:$A$201,0))="","",INDEX(Activities!$B$2:$B$201,MATCH($A758,Activities!$A$2:$A$201,0))),""))</f>
        <v/>
      </c>
      <c r="I758" s="24" t="str">
        <f aca="false">IF($B758="","",IFERROR(IF(INDEX(Students!$C$2:$C$301,MATCH($B758,Students!$A$2:$A$301,0))="","",INDEX(Students!$C$2:$C$301,MATCH($B758,Students!$A$2:$A$301,0))),""))</f>
        <v/>
      </c>
      <c r="J758" s="24" t="str">
        <f aca="false">IF($B758="","",IFERROR(IF(INDEX(Students!$B$2:$B$301,MATCH($B758,Students!$A$2:$A$301,0))="","",INDEX(Students!$B$2:$B$301,MATCH($B758,Students!$A$2:$A$301,0))),""))</f>
        <v/>
      </c>
      <c r="K758" s="25" t="str">
        <f aca="false">IF($A758="","",IF(D758="Withdrawn",0,IF(E758&lt;&gt;"",N(E758),IFERROR(N(INDEX(Activities!$I$2:$I$201,MATCH($A758,Activities!$A$2:$A$201,0))),0))))</f>
        <v/>
      </c>
      <c r="L758" s="24" t="str">
        <f aca="false">IF(AND($A758="",$B758=""),"",IF(ISNA(MATCH($A758,Activities!$A$2:$A$201,0)),"Unknown activity",IF(ISNA(MATCH($B758,Students!$A$2:$A$301,0)),"Unknown student",IF(D758="","No status",IF(COUNTIFS($A$2:$A$1001,$A758,$B$2:$B$1001,$B758)&gt;1,"Duplicate",IF(AND(D758&lt;&gt;"Withdrawn",G758&lt;&gt;"",COUNTIFS($B$2:$B$1001,$B758,$G$2:$G$1001,G758,$D$2:$D$1001,"&lt;&gt;Withdrawn")&gt;1),"Same-day clash","OK"))))))</f>
        <v/>
      </c>
    </row>
    <row r="759" customFormat="false" ht="15" hidden="false" customHeight="false" outlineLevel="0" collapsed="false">
      <c r="E759" s="26"/>
      <c r="G759" s="23" t="str">
        <f aca="false">IF($A759="","",IFERROR(IF(INDEX(Activities!$C$2:$C$201,MATCH($A759,Activities!$A$2:$A$201,0))="","",INDEX(Activities!$C$2:$C$201,MATCH($A759,Activities!$A$2:$A$201,0))),""))</f>
        <v/>
      </c>
      <c r="H759" s="24" t="str">
        <f aca="false">IF($A759="","",IFERROR(IF(INDEX(Activities!$B$2:$B$201,MATCH($A759,Activities!$A$2:$A$201,0))="","",INDEX(Activities!$B$2:$B$201,MATCH($A759,Activities!$A$2:$A$201,0))),""))</f>
        <v/>
      </c>
      <c r="I759" s="24" t="str">
        <f aca="false">IF($B759="","",IFERROR(IF(INDEX(Students!$C$2:$C$301,MATCH($B759,Students!$A$2:$A$301,0))="","",INDEX(Students!$C$2:$C$301,MATCH($B759,Students!$A$2:$A$301,0))),""))</f>
        <v/>
      </c>
      <c r="J759" s="24" t="str">
        <f aca="false">IF($B759="","",IFERROR(IF(INDEX(Students!$B$2:$B$301,MATCH($B759,Students!$A$2:$A$301,0))="","",INDEX(Students!$B$2:$B$301,MATCH($B759,Students!$A$2:$A$301,0))),""))</f>
        <v/>
      </c>
      <c r="K759" s="25" t="str">
        <f aca="false">IF($A759="","",IF(D759="Withdrawn",0,IF(E759&lt;&gt;"",N(E759),IFERROR(N(INDEX(Activities!$I$2:$I$201,MATCH($A759,Activities!$A$2:$A$201,0))),0))))</f>
        <v/>
      </c>
      <c r="L759" s="24" t="str">
        <f aca="false">IF(AND($A759="",$B759=""),"",IF(ISNA(MATCH($A759,Activities!$A$2:$A$201,0)),"Unknown activity",IF(ISNA(MATCH($B759,Students!$A$2:$A$301,0)),"Unknown student",IF(D759="","No status",IF(COUNTIFS($A$2:$A$1001,$A759,$B$2:$B$1001,$B759)&gt;1,"Duplicate",IF(AND(D759&lt;&gt;"Withdrawn",G759&lt;&gt;"",COUNTIFS($B$2:$B$1001,$B759,$G$2:$G$1001,G759,$D$2:$D$1001,"&lt;&gt;Withdrawn")&gt;1),"Same-day clash","OK"))))))</f>
        <v/>
      </c>
    </row>
    <row r="760" customFormat="false" ht="15" hidden="false" customHeight="false" outlineLevel="0" collapsed="false">
      <c r="E760" s="26"/>
      <c r="G760" s="23" t="str">
        <f aca="false">IF($A760="","",IFERROR(IF(INDEX(Activities!$C$2:$C$201,MATCH($A760,Activities!$A$2:$A$201,0))="","",INDEX(Activities!$C$2:$C$201,MATCH($A760,Activities!$A$2:$A$201,0))),""))</f>
        <v/>
      </c>
      <c r="H760" s="24" t="str">
        <f aca="false">IF($A760="","",IFERROR(IF(INDEX(Activities!$B$2:$B$201,MATCH($A760,Activities!$A$2:$A$201,0))="","",INDEX(Activities!$B$2:$B$201,MATCH($A760,Activities!$A$2:$A$201,0))),""))</f>
        <v/>
      </c>
      <c r="I760" s="24" t="str">
        <f aca="false">IF($B760="","",IFERROR(IF(INDEX(Students!$C$2:$C$301,MATCH($B760,Students!$A$2:$A$301,0))="","",INDEX(Students!$C$2:$C$301,MATCH($B760,Students!$A$2:$A$301,0))),""))</f>
        <v/>
      </c>
      <c r="J760" s="24" t="str">
        <f aca="false">IF($B760="","",IFERROR(IF(INDEX(Students!$B$2:$B$301,MATCH($B760,Students!$A$2:$A$301,0))="","",INDEX(Students!$B$2:$B$301,MATCH($B760,Students!$A$2:$A$301,0))),""))</f>
        <v/>
      </c>
      <c r="K760" s="25" t="str">
        <f aca="false">IF($A760="","",IF(D760="Withdrawn",0,IF(E760&lt;&gt;"",N(E760),IFERROR(N(INDEX(Activities!$I$2:$I$201,MATCH($A760,Activities!$A$2:$A$201,0))),0))))</f>
        <v/>
      </c>
      <c r="L760" s="24" t="str">
        <f aca="false">IF(AND($A760="",$B760=""),"",IF(ISNA(MATCH($A760,Activities!$A$2:$A$201,0)),"Unknown activity",IF(ISNA(MATCH($B760,Students!$A$2:$A$301,0)),"Unknown student",IF(D760="","No status",IF(COUNTIFS($A$2:$A$1001,$A760,$B$2:$B$1001,$B760)&gt;1,"Duplicate",IF(AND(D760&lt;&gt;"Withdrawn",G760&lt;&gt;"",COUNTIFS($B$2:$B$1001,$B760,$G$2:$G$1001,G760,$D$2:$D$1001,"&lt;&gt;Withdrawn")&gt;1),"Same-day clash","OK"))))))</f>
        <v/>
      </c>
    </row>
    <row r="761" customFormat="false" ht="15" hidden="false" customHeight="false" outlineLevel="0" collapsed="false">
      <c r="E761" s="26"/>
      <c r="G761" s="23" t="str">
        <f aca="false">IF($A761="","",IFERROR(IF(INDEX(Activities!$C$2:$C$201,MATCH($A761,Activities!$A$2:$A$201,0))="","",INDEX(Activities!$C$2:$C$201,MATCH($A761,Activities!$A$2:$A$201,0))),""))</f>
        <v/>
      </c>
      <c r="H761" s="24" t="str">
        <f aca="false">IF($A761="","",IFERROR(IF(INDEX(Activities!$B$2:$B$201,MATCH($A761,Activities!$A$2:$A$201,0))="","",INDEX(Activities!$B$2:$B$201,MATCH($A761,Activities!$A$2:$A$201,0))),""))</f>
        <v/>
      </c>
      <c r="I761" s="24" t="str">
        <f aca="false">IF($B761="","",IFERROR(IF(INDEX(Students!$C$2:$C$301,MATCH($B761,Students!$A$2:$A$301,0))="","",INDEX(Students!$C$2:$C$301,MATCH($B761,Students!$A$2:$A$301,0))),""))</f>
        <v/>
      </c>
      <c r="J761" s="24" t="str">
        <f aca="false">IF($B761="","",IFERROR(IF(INDEX(Students!$B$2:$B$301,MATCH($B761,Students!$A$2:$A$301,0))="","",INDEX(Students!$B$2:$B$301,MATCH($B761,Students!$A$2:$A$301,0))),""))</f>
        <v/>
      </c>
      <c r="K761" s="25" t="str">
        <f aca="false">IF($A761="","",IF(D761="Withdrawn",0,IF(E761&lt;&gt;"",N(E761),IFERROR(N(INDEX(Activities!$I$2:$I$201,MATCH($A761,Activities!$A$2:$A$201,0))),0))))</f>
        <v/>
      </c>
      <c r="L761" s="24" t="str">
        <f aca="false">IF(AND($A761="",$B761=""),"",IF(ISNA(MATCH($A761,Activities!$A$2:$A$201,0)),"Unknown activity",IF(ISNA(MATCH($B761,Students!$A$2:$A$301,0)),"Unknown student",IF(D761="","No status",IF(COUNTIFS($A$2:$A$1001,$A761,$B$2:$B$1001,$B761)&gt;1,"Duplicate",IF(AND(D761&lt;&gt;"Withdrawn",G761&lt;&gt;"",COUNTIFS($B$2:$B$1001,$B761,$G$2:$G$1001,G761,$D$2:$D$1001,"&lt;&gt;Withdrawn")&gt;1),"Same-day clash","OK"))))))</f>
        <v/>
      </c>
    </row>
    <row r="762" customFormat="false" ht="15" hidden="false" customHeight="false" outlineLevel="0" collapsed="false">
      <c r="E762" s="26"/>
      <c r="G762" s="23" t="str">
        <f aca="false">IF($A762="","",IFERROR(IF(INDEX(Activities!$C$2:$C$201,MATCH($A762,Activities!$A$2:$A$201,0))="","",INDEX(Activities!$C$2:$C$201,MATCH($A762,Activities!$A$2:$A$201,0))),""))</f>
        <v/>
      </c>
      <c r="H762" s="24" t="str">
        <f aca="false">IF($A762="","",IFERROR(IF(INDEX(Activities!$B$2:$B$201,MATCH($A762,Activities!$A$2:$A$201,0))="","",INDEX(Activities!$B$2:$B$201,MATCH($A762,Activities!$A$2:$A$201,0))),""))</f>
        <v/>
      </c>
      <c r="I762" s="24" t="str">
        <f aca="false">IF($B762="","",IFERROR(IF(INDEX(Students!$C$2:$C$301,MATCH($B762,Students!$A$2:$A$301,0))="","",INDEX(Students!$C$2:$C$301,MATCH($B762,Students!$A$2:$A$301,0))),""))</f>
        <v/>
      </c>
      <c r="J762" s="24" t="str">
        <f aca="false">IF($B762="","",IFERROR(IF(INDEX(Students!$B$2:$B$301,MATCH($B762,Students!$A$2:$A$301,0))="","",INDEX(Students!$B$2:$B$301,MATCH($B762,Students!$A$2:$A$301,0))),""))</f>
        <v/>
      </c>
      <c r="K762" s="25" t="str">
        <f aca="false">IF($A762="","",IF(D762="Withdrawn",0,IF(E762&lt;&gt;"",N(E762),IFERROR(N(INDEX(Activities!$I$2:$I$201,MATCH($A762,Activities!$A$2:$A$201,0))),0))))</f>
        <v/>
      </c>
      <c r="L762" s="24" t="str">
        <f aca="false">IF(AND($A762="",$B762=""),"",IF(ISNA(MATCH($A762,Activities!$A$2:$A$201,0)),"Unknown activity",IF(ISNA(MATCH($B762,Students!$A$2:$A$301,0)),"Unknown student",IF(D762="","No status",IF(COUNTIFS($A$2:$A$1001,$A762,$B$2:$B$1001,$B762)&gt;1,"Duplicate",IF(AND(D762&lt;&gt;"Withdrawn",G762&lt;&gt;"",COUNTIFS($B$2:$B$1001,$B762,$G$2:$G$1001,G762,$D$2:$D$1001,"&lt;&gt;Withdrawn")&gt;1),"Same-day clash","OK"))))))</f>
        <v/>
      </c>
    </row>
    <row r="763" customFormat="false" ht="15" hidden="false" customHeight="false" outlineLevel="0" collapsed="false">
      <c r="E763" s="26"/>
      <c r="G763" s="23" t="str">
        <f aca="false">IF($A763="","",IFERROR(IF(INDEX(Activities!$C$2:$C$201,MATCH($A763,Activities!$A$2:$A$201,0))="","",INDEX(Activities!$C$2:$C$201,MATCH($A763,Activities!$A$2:$A$201,0))),""))</f>
        <v/>
      </c>
      <c r="H763" s="24" t="str">
        <f aca="false">IF($A763="","",IFERROR(IF(INDEX(Activities!$B$2:$B$201,MATCH($A763,Activities!$A$2:$A$201,0))="","",INDEX(Activities!$B$2:$B$201,MATCH($A763,Activities!$A$2:$A$201,0))),""))</f>
        <v/>
      </c>
      <c r="I763" s="24" t="str">
        <f aca="false">IF($B763="","",IFERROR(IF(INDEX(Students!$C$2:$C$301,MATCH($B763,Students!$A$2:$A$301,0))="","",INDEX(Students!$C$2:$C$301,MATCH($B763,Students!$A$2:$A$301,0))),""))</f>
        <v/>
      </c>
      <c r="J763" s="24" t="str">
        <f aca="false">IF($B763="","",IFERROR(IF(INDEX(Students!$B$2:$B$301,MATCH($B763,Students!$A$2:$A$301,0))="","",INDEX(Students!$B$2:$B$301,MATCH($B763,Students!$A$2:$A$301,0))),""))</f>
        <v/>
      </c>
      <c r="K763" s="25" t="str">
        <f aca="false">IF($A763="","",IF(D763="Withdrawn",0,IF(E763&lt;&gt;"",N(E763),IFERROR(N(INDEX(Activities!$I$2:$I$201,MATCH($A763,Activities!$A$2:$A$201,0))),0))))</f>
        <v/>
      </c>
      <c r="L763" s="24" t="str">
        <f aca="false">IF(AND($A763="",$B763=""),"",IF(ISNA(MATCH($A763,Activities!$A$2:$A$201,0)),"Unknown activity",IF(ISNA(MATCH($B763,Students!$A$2:$A$301,0)),"Unknown student",IF(D763="","No status",IF(COUNTIFS($A$2:$A$1001,$A763,$B$2:$B$1001,$B763)&gt;1,"Duplicate",IF(AND(D763&lt;&gt;"Withdrawn",G763&lt;&gt;"",COUNTIFS($B$2:$B$1001,$B763,$G$2:$G$1001,G763,$D$2:$D$1001,"&lt;&gt;Withdrawn")&gt;1),"Same-day clash","OK"))))))</f>
        <v/>
      </c>
    </row>
    <row r="764" customFormat="false" ht="15" hidden="false" customHeight="false" outlineLevel="0" collapsed="false">
      <c r="E764" s="26"/>
      <c r="G764" s="23" t="str">
        <f aca="false">IF($A764="","",IFERROR(IF(INDEX(Activities!$C$2:$C$201,MATCH($A764,Activities!$A$2:$A$201,0))="","",INDEX(Activities!$C$2:$C$201,MATCH($A764,Activities!$A$2:$A$201,0))),""))</f>
        <v/>
      </c>
      <c r="H764" s="24" t="str">
        <f aca="false">IF($A764="","",IFERROR(IF(INDEX(Activities!$B$2:$B$201,MATCH($A764,Activities!$A$2:$A$201,0))="","",INDEX(Activities!$B$2:$B$201,MATCH($A764,Activities!$A$2:$A$201,0))),""))</f>
        <v/>
      </c>
      <c r="I764" s="24" t="str">
        <f aca="false">IF($B764="","",IFERROR(IF(INDEX(Students!$C$2:$C$301,MATCH($B764,Students!$A$2:$A$301,0))="","",INDEX(Students!$C$2:$C$301,MATCH($B764,Students!$A$2:$A$301,0))),""))</f>
        <v/>
      </c>
      <c r="J764" s="24" t="str">
        <f aca="false">IF($B764="","",IFERROR(IF(INDEX(Students!$B$2:$B$301,MATCH($B764,Students!$A$2:$A$301,0))="","",INDEX(Students!$B$2:$B$301,MATCH($B764,Students!$A$2:$A$301,0))),""))</f>
        <v/>
      </c>
      <c r="K764" s="25" t="str">
        <f aca="false">IF($A764="","",IF(D764="Withdrawn",0,IF(E764&lt;&gt;"",N(E764),IFERROR(N(INDEX(Activities!$I$2:$I$201,MATCH($A764,Activities!$A$2:$A$201,0))),0))))</f>
        <v/>
      </c>
      <c r="L764" s="24" t="str">
        <f aca="false">IF(AND($A764="",$B764=""),"",IF(ISNA(MATCH($A764,Activities!$A$2:$A$201,0)),"Unknown activity",IF(ISNA(MATCH($B764,Students!$A$2:$A$301,0)),"Unknown student",IF(D764="","No status",IF(COUNTIFS($A$2:$A$1001,$A764,$B$2:$B$1001,$B764)&gt;1,"Duplicate",IF(AND(D764&lt;&gt;"Withdrawn",G764&lt;&gt;"",COUNTIFS($B$2:$B$1001,$B764,$G$2:$G$1001,G764,$D$2:$D$1001,"&lt;&gt;Withdrawn")&gt;1),"Same-day clash","OK"))))))</f>
        <v/>
      </c>
    </row>
    <row r="765" customFormat="false" ht="15" hidden="false" customHeight="false" outlineLevel="0" collapsed="false">
      <c r="E765" s="26"/>
      <c r="G765" s="23" t="str">
        <f aca="false">IF($A765="","",IFERROR(IF(INDEX(Activities!$C$2:$C$201,MATCH($A765,Activities!$A$2:$A$201,0))="","",INDEX(Activities!$C$2:$C$201,MATCH($A765,Activities!$A$2:$A$201,0))),""))</f>
        <v/>
      </c>
      <c r="H765" s="24" t="str">
        <f aca="false">IF($A765="","",IFERROR(IF(INDEX(Activities!$B$2:$B$201,MATCH($A765,Activities!$A$2:$A$201,0))="","",INDEX(Activities!$B$2:$B$201,MATCH($A765,Activities!$A$2:$A$201,0))),""))</f>
        <v/>
      </c>
      <c r="I765" s="24" t="str">
        <f aca="false">IF($B765="","",IFERROR(IF(INDEX(Students!$C$2:$C$301,MATCH($B765,Students!$A$2:$A$301,0))="","",INDEX(Students!$C$2:$C$301,MATCH($B765,Students!$A$2:$A$301,0))),""))</f>
        <v/>
      </c>
      <c r="J765" s="24" t="str">
        <f aca="false">IF($B765="","",IFERROR(IF(INDEX(Students!$B$2:$B$301,MATCH($B765,Students!$A$2:$A$301,0))="","",INDEX(Students!$B$2:$B$301,MATCH($B765,Students!$A$2:$A$301,0))),""))</f>
        <v/>
      </c>
      <c r="K765" s="25" t="str">
        <f aca="false">IF($A765="","",IF(D765="Withdrawn",0,IF(E765&lt;&gt;"",N(E765),IFERROR(N(INDEX(Activities!$I$2:$I$201,MATCH($A765,Activities!$A$2:$A$201,0))),0))))</f>
        <v/>
      </c>
      <c r="L765" s="24" t="str">
        <f aca="false">IF(AND($A765="",$B765=""),"",IF(ISNA(MATCH($A765,Activities!$A$2:$A$201,0)),"Unknown activity",IF(ISNA(MATCH($B765,Students!$A$2:$A$301,0)),"Unknown student",IF(D765="","No status",IF(COUNTIFS($A$2:$A$1001,$A765,$B$2:$B$1001,$B765)&gt;1,"Duplicate",IF(AND(D765&lt;&gt;"Withdrawn",G765&lt;&gt;"",COUNTIFS($B$2:$B$1001,$B765,$G$2:$G$1001,G765,$D$2:$D$1001,"&lt;&gt;Withdrawn")&gt;1),"Same-day clash","OK"))))))</f>
        <v/>
      </c>
    </row>
    <row r="766" customFormat="false" ht="15" hidden="false" customHeight="false" outlineLevel="0" collapsed="false">
      <c r="E766" s="26"/>
      <c r="G766" s="23" t="str">
        <f aca="false">IF($A766="","",IFERROR(IF(INDEX(Activities!$C$2:$C$201,MATCH($A766,Activities!$A$2:$A$201,0))="","",INDEX(Activities!$C$2:$C$201,MATCH($A766,Activities!$A$2:$A$201,0))),""))</f>
        <v/>
      </c>
      <c r="H766" s="24" t="str">
        <f aca="false">IF($A766="","",IFERROR(IF(INDEX(Activities!$B$2:$B$201,MATCH($A766,Activities!$A$2:$A$201,0))="","",INDEX(Activities!$B$2:$B$201,MATCH($A766,Activities!$A$2:$A$201,0))),""))</f>
        <v/>
      </c>
      <c r="I766" s="24" t="str">
        <f aca="false">IF($B766="","",IFERROR(IF(INDEX(Students!$C$2:$C$301,MATCH($B766,Students!$A$2:$A$301,0))="","",INDEX(Students!$C$2:$C$301,MATCH($B766,Students!$A$2:$A$301,0))),""))</f>
        <v/>
      </c>
      <c r="J766" s="24" t="str">
        <f aca="false">IF($B766="","",IFERROR(IF(INDEX(Students!$B$2:$B$301,MATCH($B766,Students!$A$2:$A$301,0))="","",INDEX(Students!$B$2:$B$301,MATCH($B766,Students!$A$2:$A$301,0))),""))</f>
        <v/>
      </c>
      <c r="K766" s="25" t="str">
        <f aca="false">IF($A766="","",IF(D766="Withdrawn",0,IF(E766&lt;&gt;"",N(E766),IFERROR(N(INDEX(Activities!$I$2:$I$201,MATCH($A766,Activities!$A$2:$A$201,0))),0))))</f>
        <v/>
      </c>
      <c r="L766" s="24" t="str">
        <f aca="false">IF(AND($A766="",$B766=""),"",IF(ISNA(MATCH($A766,Activities!$A$2:$A$201,0)),"Unknown activity",IF(ISNA(MATCH($B766,Students!$A$2:$A$301,0)),"Unknown student",IF(D766="","No status",IF(COUNTIFS($A$2:$A$1001,$A766,$B$2:$B$1001,$B766)&gt;1,"Duplicate",IF(AND(D766&lt;&gt;"Withdrawn",G766&lt;&gt;"",COUNTIFS($B$2:$B$1001,$B766,$G$2:$G$1001,G766,$D$2:$D$1001,"&lt;&gt;Withdrawn")&gt;1),"Same-day clash","OK"))))))</f>
        <v/>
      </c>
    </row>
    <row r="767" customFormat="false" ht="15" hidden="false" customHeight="false" outlineLevel="0" collapsed="false">
      <c r="E767" s="26"/>
      <c r="G767" s="23" t="str">
        <f aca="false">IF($A767="","",IFERROR(IF(INDEX(Activities!$C$2:$C$201,MATCH($A767,Activities!$A$2:$A$201,0))="","",INDEX(Activities!$C$2:$C$201,MATCH($A767,Activities!$A$2:$A$201,0))),""))</f>
        <v/>
      </c>
      <c r="H767" s="24" t="str">
        <f aca="false">IF($A767="","",IFERROR(IF(INDEX(Activities!$B$2:$B$201,MATCH($A767,Activities!$A$2:$A$201,0))="","",INDEX(Activities!$B$2:$B$201,MATCH($A767,Activities!$A$2:$A$201,0))),""))</f>
        <v/>
      </c>
      <c r="I767" s="24" t="str">
        <f aca="false">IF($B767="","",IFERROR(IF(INDEX(Students!$C$2:$C$301,MATCH($B767,Students!$A$2:$A$301,0))="","",INDEX(Students!$C$2:$C$301,MATCH($B767,Students!$A$2:$A$301,0))),""))</f>
        <v/>
      </c>
      <c r="J767" s="24" t="str">
        <f aca="false">IF($B767="","",IFERROR(IF(INDEX(Students!$B$2:$B$301,MATCH($B767,Students!$A$2:$A$301,0))="","",INDEX(Students!$B$2:$B$301,MATCH($B767,Students!$A$2:$A$301,0))),""))</f>
        <v/>
      </c>
      <c r="K767" s="25" t="str">
        <f aca="false">IF($A767="","",IF(D767="Withdrawn",0,IF(E767&lt;&gt;"",N(E767),IFERROR(N(INDEX(Activities!$I$2:$I$201,MATCH($A767,Activities!$A$2:$A$201,0))),0))))</f>
        <v/>
      </c>
      <c r="L767" s="24" t="str">
        <f aca="false">IF(AND($A767="",$B767=""),"",IF(ISNA(MATCH($A767,Activities!$A$2:$A$201,0)),"Unknown activity",IF(ISNA(MATCH($B767,Students!$A$2:$A$301,0)),"Unknown student",IF(D767="","No status",IF(COUNTIFS($A$2:$A$1001,$A767,$B$2:$B$1001,$B767)&gt;1,"Duplicate",IF(AND(D767&lt;&gt;"Withdrawn",G767&lt;&gt;"",COUNTIFS($B$2:$B$1001,$B767,$G$2:$G$1001,G767,$D$2:$D$1001,"&lt;&gt;Withdrawn")&gt;1),"Same-day clash","OK"))))))</f>
        <v/>
      </c>
    </row>
    <row r="768" customFormat="false" ht="15" hidden="false" customHeight="false" outlineLevel="0" collapsed="false">
      <c r="E768" s="26"/>
      <c r="G768" s="23" t="str">
        <f aca="false">IF($A768="","",IFERROR(IF(INDEX(Activities!$C$2:$C$201,MATCH($A768,Activities!$A$2:$A$201,0))="","",INDEX(Activities!$C$2:$C$201,MATCH($A768,Activities!$A$2:$A$201,0))),""))</f>
        <v/>
      </c>
      <c r="H768" s="24" t="str">
        <f aca="false">IF($A768="","",IFERROR(IF(INDEX(Activities!$B$2:$B$201,MATCH($A768,Activities!$A$2:$A$201,0))="","",INDEX(Activities!$B$2:$B$201,MATCH($A768,Activities!$A$2:$A$201,0))),""))</f>
        <v/>
      </c>
      <c r="I768" s="24" t="str">
        <f aca="false">IF($B768="","",IFERROR(IF(INDEX(Students!$C$2:$C$301,MATCH($B768,Students!$A$2:$A$301,0))="","",INDEX(Students!$C$2:$C$301,MATCH($B768,Students!$A$2:$A$301,0))),""))</f>
        <v/>
      </c>
      <c r="J768" s="24" t="str">
        <f aca="false">IF($B768="","",IFERROR(IF(INDEX(Students!$B$2:$B$301,MATCH($B768,Students!$A$2:$A$301,0))="","",INDEX(Students!$B$2:$B$301,MATCH($B768,Students!$A$2:$A$301,0))),""))</f>
        <v/>
      </c>
      <c r="K768" s="25" t="str">
        <f aca="false">IF($A768="","",IF(D768="Withdrawn",0,IF(E768&lt;&gt;"",N(E768),IFERROR(N(INDEX(Activities!$I$2:$I$201,MATCH($A768,Activities!$A$2:$A$201,0))),0))))</f>
        <v/>
      </c>
      <c r="L768" s="24" t="str">
        <f aca="false">IF(AND($A768="",$B768=""),"",IF(ISNA(MATCH($A768,Activities!$A$2:$A$201,0)),"Unknown activity",IF(ISNA(MATCH($B768,Students!$A$2:$A$301,0)),"Unknown student",IF(D768="","No status",IF(COUNTIFS($A$2:$A$1001,$A768,$B$2:$B$1001,$B768)&gt;1,"Duplicate",IF(AND(D768&lt;&gt;"Withdrawn",G768&lt;&gt;"",COUNTIFS($B$2:$B$1001,$B768,$G$2:$G$1001,G768,$D$2:$D$1001,"&lt;&gt;Withdrawn")&gt;1),"Same-day clash","OK"))))))</f>
        <v/>
      </c>
    </row>
    <row r="769" customFormat="false" ht="15" hidden="false" customHeight="false" outlineLevel="0" collapsed="false">
      <c r="E769" s="26"/>
      <c r="G769" s="23" t="str">
        <f aca="false">IF($A769="","",IFERROR(IF(INDEX(Activities!$C$2:$C$201,MATCH($A769,Activities!$A$2:$A$201,0))="","",INDEX(Activities!$C$2:$C$201,MATCH($A769,Activities!$A$2:$A$201,0))),""))</f>
        <v/>
      </c>
      <c r="H769" s="24" t="str">
        <f aca="false">IF($A769="","",IFERROR(IF(INDEX(Activities!$B$2:$B$201,MATCH($A769,Activities!$A$2:$A$201,0))="","",INDEX(Activities!$B$2:$B$201,MATCH($A769,Activities!$A$2:$A$201,0))),""))</f>
        <v/>
      </c>
      <c r="I769" s="24" t="str">
        <f aca="false">IF($B769="","",IFERROR(IF(INDEX(Students!$C$2:$C$301,MATCH($B769,Students!$A$2:$A$301,0))="","",INDEX(Students!$C$2:$C$301,MATCH($B769,Students!$A$2:$A$301,0))),""))</f>
        <v/>
      </c>
      <c r="J769" s="24" t="str">
        <f aca="false">IF($B769="","",IFERROR(IF(INDEX(Students!$B$2:$B$301,MATCH($B769,Students!$A$2:$A$301,0))="","",INDEX(Students!$B$2:$B$301,MATCH($B769,Students!$A$2:$A$301,0))),""))</f>
        <v/>
      </c>
      <c r="K769" s="25" t="str">
        <f aca="false">IF($A769="","",IF(D769="Withdrawn",0,IF(E769&lt;&gt;"",N(E769),IFERROR(N(INDEX(Activities!$I$2:$I$201,MATCH($A769,Activities!$A$2:$A$201,0))),0))))</f>
        <v/>
      </c>
      <c r="L769" s="24" t="str">
        <f aca="false">IF(AND($A769="",$B769=""),"",IF(ISNA(MATCH($A769,Activities!$A$2:$A$201,0)),"Unknown activity",IF(ISNA(MATCH($B769,Students!$A$2:$A$301,0)),"Unknown student",IF(D769="","No status",IF(COUNTIFS($A$2:$A$1001,$A769,$B$2:$B$1001,$B769)&gt;1,"Duplicate",IF(AND(D769&lt;&gt;"Withdrawn",G769&lt;&gt;"",COUNTIFS($B$2:$B$1001,$B769,$G$2:$G$1001,G769,$D$2:$D$1001,"&lt;&gt;Withdrawn")&gt;1),"Same-day clash","OK"))))))</f>
        <v/>
      </c>
    </row>
    <row r="770" customFormat="false" ht="15" hidden="false" customHeight="false" outlineLevel="0" collapsed="false">
      <c r="E770" s="26"/>
      <c r="G770" s="23" t="str">
        <f aca="false">IF($A770="","",IFERROR(IF(INDEX(Activities!$C$2:$C$201,MATCH($A770,Activities!$A$2:$A$201,0))="","",INDEX(Activities!$C$2:$C$201,MATCH($A770,Activities!$A$2:$A$201,0))),""))</f>
        <v/>
      </c>
      <c r="H770" s="24" t="str">
        <f aca="false">IF($A770="","",IFERROR(IF(INDEX(Activities!$B$2:$B$201,MATCH($A770,Activities!$A$2:$A$201,0))="","",INDEX(Activities!$B$2:$B$201,MATCH($A770,Activities!$A$2:$A$201,0))),""))</f>
        <v/>
      </c>
      <c r="I770" s="24" t="str">
        <f aca="false">IF($B770="","",IFERROR(IF(INDEX(Students!$C$2:$C$301,MATCH($B770,Students!$A$2:$A$301,0))="","",INDEX(Students!$C$2:$C$301,MATCH($B770,Students!$A$2:$A$301,0))),""))</f>
        <v/>
      </c>
      <c r="J770" s="24" t="str">
        <f aca="false">IF($B770="","",IFERROR(IF(INDEX(Students!$B$2:$B$301,MATCH($B770,Students!$A$2:$A$301,0))="","",INDEX(Students!$B$2:$B$301,MATCH($B770,Students!$A$2:$A$301,0))),""))</f>
        <v/>
      </c>
      <c r="K770" s="25" t="str">
        <f aca="false">IF($A770="","",IF(D770="Withdrawn",0,IF(E770&lt;&gt;"",N(E770),IFERROR(N(INDEX(Activities!$I$2:$I$201,MATCH($A770,Activities!$A$2:$A$201,0))),0))))</f>
        <v/>
      </c>
      <c r="L770" s="24" t="str">
        <f aca="false">IF(AND($A770="",$B770=""),"",IF(ISNA(MATCH($A770,Activities!$A$2:$A$201,0)),"Unknown activity",IF(ISNA(MATCH($B770,Students!$A$2:$A$301,0)),"Unknown student",IF(D770="","No status",IF(COUNTIFS($A$2:$A$1001,$A770,$B$2:$B$1001,$B770)&gt;1,"Duplicate",IF(AND(D770&lt;&gt;"Withdrawn",G770&lt;&gt;"",COUNTIFS($B$2:$B$1001,$B770,$G$2:$G$1001,G770,$D$2:$D$1001,"&lt;&gt;Withdrawn")&gt;1),"Same-day clash","OK"))))))</f>
        <v/>
      </c>
    </row>
    <row r="771" customFormat="false" ht="15" hidden="false" customHeight="false" outlineLevel="0" collapsed="false">
      <c r="E771" s="26"/>
      <c r="G771" s="23" t="str">
        <f aca="false">IF($A771="","",IFERROR(IF(INDEX(Activities!$C$2:$C$201,MATCH($A771,Activities!$A$2:$A$201,0))="","",INDEX(Activities!$C$2:$C$201,MATCH($A771,Activities!$A$2:$A$201,0))),""))</f>
        <v/>
      </c>
      <c r="H771" s="24" t="str">
        <f aca="false">IF($A771="","",IFERROR(IF(INDEX(Activities!$B$2:$B$201,MATCH($A771,Activities!$A$2:$A$201,0))="","",INDEX(Activities!$B$2:$B$201,MATCH($A771,Activities!$A$2:$A$201,0))),""))</f>
        <v/>
      </c>
      <c r="I771" s="24" t="str">
        <f aca="false">IF($B771="","",IFERROR(IF(INDEX(Students!$C$2:$C$301,MATCH($B771,Students!$A$2:$A$301,0))="","",INDEX(Students!$C$2:$C$301,MATCH($B771,Students!$A$2:$A$301,0))),""))</f>
        <v/>
      </c>
      <c r="J771" s="24" t="str">
        <f aca="false">IF($B771="","",IFERROR(IF(INDEX(Students!$B$2:$B$301,MATCH($B771,Students!$A$2:$A$301,0))="","",INDEX(Students!$B$2:$B$301,MATCH($B771,Students!$A$2:$A$301,0))),""))</f>
        <v/>
      </c>
      <c r="K771" s="25" t="str">
        <f aca="false">IF($A771="","",IF(D771="Withdrawn",0,IF(E771&lt;&gt;"",N(E771),IFERROR(N(INDEX(Activities!$I$2:$I$201,MATCH($A771,Activities!$A$2:$A$201,0))),0))))</f>
        <v/>
      </c>
      <c r="L771" s="24" t="str">
        <f aca="false">IF(AND($A771="",$B771=""),"",IF(ISNA(MATCH($A771,Activities!$A$2:$A$201,0)),"Unknown activity",IF(ISNA(MATCH($B771,Students!$A$2:$A$301,0)),"Unknown student",IF(D771="","No status",IF(COUNTIFS($A$2:$A$1001,$A771,$B$2:$B$1001,$B771)&gt;1,"Duplicate",IF(AND(D771&lt;&gt;"Withdrawn",G771&lt;&gt;"",COUNTIFS($B$2:$B$1001,$B771,$G$2:$G$1001,G771,$D$2:$D$1001,"&lt;&gt;Withdrawn")&gt;1),"Same-day clash","OK"))))))</f>
        <v/>
      </c>
    </row>
    <row r="772" customFormat="false" ht="15" hidden="false" customHeight="false" outlineLevel="0" collapsed="false">
      <c r="E772" s="26"/>
      <c r="G772" s="23" t="str">
        <f aca="false">IF($A772="","",IFERROR(IF(INDEX(Activities!$C$2:$C$201,MATCH($A772,Activities!$A$2:$A$201,0))="","",INDEX(Activities!$C$2:$C$201,MATCH($A772,Activities!$A$2:$A$201,0))),""))</f>
        <v/>
      </c>
      <c r="H772" s="24" t="str">
        <f aca="false">IF($A772="","",IFERROR(IF(INDEX(Activities!$B$2:$B$201,MATCH($A772,Activities!$A$2:$A$201,0))="","",INDEX(Activities!$B$2:$B$201,MATCH($A772,Activities!$A$2:$A$201,0))),""))</f>
        <v/>
      </c>
      <c r="I772" s="24" t="str">
        <f aca="false">IF($B772="","",IFERROR(IF(INDEX(Students!$C$2:$C$301,MATCH($B772,Students!$A$2:$A$301,0))="","",INDEX(Students!$C$2:$C$301,MATCH($B772,Students!$A$2:$A$301,0))),""))</f>
        <v/>
      </c>
      <c r="J772" s="24" t="str">
        <f aca="false">IF($B772="","",IFERROR(IF(INDEX(Students!$B$2:$B$301,MATCH($B772,Students!$A$2:$A$301,0))="","",INDEX(Students!$B$2:$B$301,MATCH($B772,Students!$A$2:$A$301,0))),""))</f>
        <v/>
      </c>
      <c r="K772" s="25" t="str">
        <f aca="false">IF($A772="","",IF(D772="Withdrawn",0,IF(E772&lt;&gt;"",N(E772),IFERROR(N(INDEX(Activities!$I$2:$I$201,MATCH($A772,Activities!$A$2:$A$201,0))),0))))</f>
        <v/>
      </c>
      <c r="L772" s="24" t="str">
        <f aca="false">IF(AND($A772="",$B772=""),"",IF(ISNA(MATCH($A772,Activities!$A$2:$A$201,0)),"Unknown activity",IF(ISNA(MATCH($B772,Students!$A$2:$A$301,0)),"Unknown student",IF(D772="","No status",IF(COUNTIFS($A$2:$A$1001,$A772,$B$2:$B$1001,$B772)&gt;1,"Duplicate",IF(AND(D772&lt;&gt;"Withdrawn",G772&lt;&gt;"",COUNTIFS($B$2:$B$1001,$B772,$G$2:$G$1001,G772,$D$2:$D$1001,"&lt;&gt;Withdrawn")&gt;1),"Same-day clash","OK"))))))</f>
        <v/>
      </c>
    </row>
    <row r="773" customFormat="false" ht="15" hidden="false" customHeight="false" outlineLevel="0" collapsed="false">
      <c r="E773" s="26"/>
      <c r="G773" s="23" t="str">
        <f aca="false">IF($A773="","",IFERROR(IF(INDEX(Activities!$C$2:$C$201,MATCH($A773,Activities!$A$2:$A$201,0))="","",INDEX(Activities!$C$2:$C$201,MATCH($A773,Activities!$A$2:$A$201,0))),""))</f>
        <v/>
      </c>
      <c r="H773" s="24" t="str">
        <f aca="false">IF($A773="","",IFERROR(IF(INDEX(Activities!$B$2:$B$201,MATCH($A773,Activities!$A$2:$A$201,0))="","",INDEX(Activities!$B$2:$B$201,MATCH($A773,Activities!$A$2:$A$201,0))),""))</f>
        <v/>
      </c>
      <c r="I773" s="24" t="str">
        <f aca="false">IF($B773="","",IFERROR(IF(INDEX(Students!$C$2:$C$301,MATCH($B773,Students!$A$2:$A$301,0))="","",INDEX(Students!$C$2:$C$301,MATCH($B773,Students!$A$2:$A$301,0))),""))</f>
        <v/>
      </c>
      <c r="J773" s="24" t="str">
        <f aca="false">IF($B773="","",IFERROR(IF(INDEX(Students!$B$2:$B$301,MATCH($B773,Students!$A$2:$A$301,0))="","",INDEX(Students!$B$2:$B$301,MATCH($B773,Students!$A$2:$A$301,0))),""))</f>
        <v/>
      </c>
      <c r="K773" s="25" t="str">
        <f aca="false">IF($A773="","",IF(D773="Withdrawn",0,IF(E773&lt;&gt;"",N(E773),IFERROR(N(INDEX(Activities!$I$2:$I$201,MATCH($A773,Activities!$A$2:$A$201,0))),0))))</f>
        <v/>
      </c>
      <c r="L773" s="24" t="str">
        <f aca="false">IF(AND($A773="",$B773=""),"",IF(ISNA(MATCH($A773,Activities!$A$2:$A$201,0)),"Unknown activity",IF(ISNA(MATCH($B773,Students!$A$2:$A$301,0)),"Unknown student",IF(D773="","No status",IF(COUNTIFS($A$2:$A$1001,$A773,$B$2:$B$1001,$B773)&gt;1,"Duplicate",IF(AND(D773&lt;&gt;"Withdrawn",G773&lt;&gt;"",COUNTIFS($B$2:$B$1001,$B773,$G$2:$G$1001,G773,$D$2:$D$1001,"&lt;&gt;Withdrawn")&gt;1),"Same-day clash","OK"))))))</f>
        <v/>
      </c>
    </row>
    <row r="774" customFormat="false" ht="15" hidden="false" customHeight="false" outlineLevel="0" collapsed="false">
      <c r="E774" s="26"/>
      <c r="G774" s="23" t="str">
        <f aca="false">IF($A774="","",IFERROR(IF(INDEX(Activities!$C$2:$C$201,MATCH($A774,Activities!$A$2:$A$201,0))="","",INDEX(Activities!$C$2:$C$201,MATCH($A774,Activities!$A$2:$A$201,0))),""))</f>
        <v/>
      </c>
      <c r="H774" s="24" t="str">
        <f aca="false">IF($A774="","",IFERROR(IF(INDEX(Activities!$B$2:$B$201,MATCH($A774,Activities!$A$2:$A$201,0))="","",INDEX(Activities!$B$2:$B$201,MATCH($A774,Activities!$A$2:$A$201,0))),""))</f>
        <v/>
      </c>
      <c r="I774" s="24" t="str">
        <f aca="false">IF($B774="","",IFERROR(IF(INDEX(Students!$C$2:$C$301,MATCH($B774,Students!$A$2:$A$301,0))="","",INDEX(Students!$C$2:$C$301,MATCH($B774,Students!$A$2:$A$301,0))),""))</f>
        <v/>
      </c>
      <c r="J774" s="24" t="str">
        <f aca="false">IF($B774="","",IFERROR(IF(INDEX(Students!$B$2:$B$301,MATCH($B774,Students!$A$2:$A$301,0))="","",INDEX(Students!$B$2:$B$301,MATCH($B774,Students!$A$2:$A$301,0))),""))</f>
        <v/>
      </c>
      <c r="K774" s="25" t="str">
        <f aca="false">IF($A774="","",IF(D774="Withdrawn",0,IF(E774&lt;&gt;"",N(E774),IFERROR(N(INDEX(Activities!$I$2:$I$201,MATCH($A774,Activities!$A$2:$A$201,0))),0))))</f>
        <v/>
      </c>
      <c r="L774" s="24" t="str">
        <f aca="false">IF(AND($A774="",$B774=""),"",IF(ISNA(MATCH($A774,Activities!$A$2:$A$201,0)),"Unknown activity",IF(ISNA(MATCH($B774,Students!$A$2:$A$301,0)),"Unknown student",IF(D774="","No status",IF(COUNTIFS($A$2:$A$1001,$A774,$B$2:$B$1001,$B774)&gt;1,"Duplicate",IF(AND(D774&lt;&gt;"Withdrawn",G774&lt;&gt;"",COUNTIFS($B$2:$B$1001,$B774,$G$2:$G$1001,G774,$D$2:$D$1001,"&lt;&gt;Withdrawn")&gt;1),"Same-day clash","OK"))))))</f>
        <v/>
      </c>
    </row>
    <row r="775" customFormat="false" ht="15" hidden="false" customHeight="false" outlineLevel="0" collapsed="false">
      <c r="E775" s="26"/>
      <c r="G775" s="23" t="str">
        <f aca="false">IF($A775="","",IFERROR(IF(INDEX(Activities!$C$2:$C$201,MATCH($A775,Activities!$A$2:$A$201,0))="","",INDEX(Activities!$C$2:$C$201,MATCH($A775,Activities!$A$2:$A$201,0))),""))</f>
        <v/>
      </c>
      <c r="H775" s="24" t="str">
        <f aca="false">IF($A775="","",IFERROR(IF(INDEX(Activities!$B$2:$B$201,MATCH($A775,Activities!$A$2:$A$201,0))="","",INDEX(Activities!$B$2:$B$201,MATCH($A775,Activities!$A$2:$A$201,0))),""))</f>
        <v/>
      </c>
      <c r="I775" s="24" t="str">
        <f aca="false">IF($B775="","",IFERROR(IF(INDEX(Students!$C$2:$C$301,MATCH($B775,Students!$A$2:$A$301,0))="","",INDEX(Students!$C$2:$C$301,MATCH($B775,Students!$A$2:$A$301,0))),""))</f>
        <v/>
      </c>
      <c r="J775" s="24" t="str">
        <f aca="false">IF($B775="","",IFERROR(IF(INDEX(Students!$B$2:$B$301,MATCH($B775,Students!$A$2:$A$301,0))="","",INDEX(Students!$B$2:$B$301,MATCH($B775,Students!$A$2:$A$301,0))),""))</f>
        <v/>
      </c>
      <c r="K775" s="25" t="str">
        <f aca="false">IF($A775="","",IF(D775="Withdrawn",0,IF(E775&lt;&gt;"",N(E775),IFERROR(N(INDEX(Activities!$I$2:$I$201,MATCH($A775,Activities!$A$2:$A$201,0))),0))))</f>
        <v/>
      </c>
      <c r="L775" s="24" t="str">
        <f aca="false">IF(AND($A775="",$B775=""),"",IF(ISNA(MATCH($A775,Activities!$A$2:$A$201,0)),"Unknown activity",IF(ISNA(MATCH($B775,Students!$A$2:$A$301,0)),"Unknown student",IF(D775="","No status",IF(COUNTIFS($A$2:$A$1001,$A775,$B$2:$B$1001,$B775)&gt;1,"Duplicate",IF(AND(D775&lt;&gt;"Withdrawn",G775&lt;&gt;"",COUNTIFS($B$2:$B$1001,$B775,$G$2:$G$1001,G775,$D$2:$D$1001,"&lt;&gt;Withdrawn")&gt;1),"Same-day clash","OK"))))))</f>
        <v/>
      </c>
    </row>
    <row r="776" customFormat="false" ht="15" hidden="false" customHeight="false" outlineLevel="0" collapsed="false">
      <c r="E776" s="26"/>
      <c r="G776" s="23" t="str">
        <f aca="false">IF($A776="","",IFERROR(IF(INDEX(Activities!$C$2:$C$201,MATCH($A776,Activities!$A$2:$A$201,0))="","",INDEX(Activities!$C$2:$C$201,MATCH($A776,Activities!$A$2:$A$201,0))),""))</f>
        <v/>
      </c>
      <c r="H776" s="24" t="str">
        <f aca="false">IF($A776="","",IFERROR(IF(INDEX(Activities!$B$2:$B$201,MATCH($A776,Activities!$A$2:$A$201,0))="","",INDEX(Activities!$B$2:$B$201,MATCH($A776,Activities!$A$2:$A$201,0))),""))</f>
        <v/>
      </c>
      <c r="I776" s="24" t="str">
        <f aca="false">IF($B776="","",IFERROR(IF(INDEX(Students!$C$2:$C$301,MATCH($B776,Students!$A$2:$A$301,0))="","",INDEX(Students!$C$2:$C$301,MATCH($B776,Students!$A$2:$A$301,0))),""))</f>
        <v/>
      </c>
      <c r="J776" s="24" t="str">
        <f aca="false">IF($B776="","",IFERROR(IF(INDEX(Students!$B$2:$B$301,MATCH($B776,Students!$A$2:$A$301,0))="","",INDEX(Students!$B$2:$B$301,MATCH($B776,Students!$A$2:$A$301,0))),""))</f>
        <v/>
      </c>
      <c r="K776" s="25" t="str">
        <f aca="false">IF($A776="","",IF(D776="Withdrawn",0,IF(E776&lt;&gt;"",N(E776),IFERROR(N(INDEX(Activities!$I$2:$I$201,MATCH($A776,Activities!$A$2:$A$201,0))),0))))</f>
        <v/>
      </c>
      <c r="L776" s="24" t="str">
        <f aca="false">IF(AND($A776="",$B776=""),"",IF(ISNA(MATCH($A776,Activities!$A$2:$A$201,0)),"Unknown activity",IF(ISNA(MATCH($B776,Students!$A$2:$A$301,0)),"Unknown student",IF(D776="","No status",IF(COUNTIFS($A$2:$A$1001,$A776,$B$2:$B$1001,$B776)&gt;1,"Duplicate",IF(AND(D776&lt;&gt;"Withdrawn",G776&lt;&gt;"",COUNTIFS($B$2:$B$1001,$B776,$G$2:$G$1001,G776,$D$2:$D$1001,"&lt;&gt;Withdrawn")&gt;1),"Same-day clash","OK"))))))</f>
        <v/>
      </c>
    </row>
    <row r="777" customFormat="false" ht="15" hidden="false" customHeight="false" outlineLevel="0" collapsed="false">
      <c r="E777" s="26"/>
      <c r="G777" s="23" t="str">
        <f aca="false">IF($A777="","",IFERROR(IF(INDEX(Activities!$C$2:$C$201,MATCH($A777,Activities!$A$2:$A$201,0))="","",INDEX(Activities!$C$2:$C$201,MATCH($A777,Activities!$A$2:$A$201,0))),""))</f>
        <v/>
      </c>
      <c r="H777" s="24" t="str">
        <f aca="false">IF($A777="","",IFERROR(IF(INDEX(Activities!$B$2:$B$201,MATCH($A777,Activities!$A$2:$A$201,0))="","",INDEX(Activities!$B$2:$B$201,MATCH($A777,Activities!$A$2:$A$201,0))),""))</f>
        <v/>
      </c>
      <c r="I777" s="24" t="str">
        <f aca="false">IF($B777="","",IFERROR(IF(INDEX(Students!$C$2:$C$301,MATCH($B777,Students!$A$2:$A$301,0))="","",INDEX(Students!$C$2:$C$301,MATCH($B777,Students!$A$2:$A$301,0))),""))</f>
        <v/>
      </c>
      <c r="J777" s="24" t="str">
        <f aca="false">IF($B777="","",IFERROR(IF(INDEX(Students!$B$2:$B$301,MATCH($B777,Students!$A$2:$A$301,0))="","",INDEX(Students!$B$2:$B$301,MATCH($B777,Students!$A$2:$A$301,0))),""))</f>
        <v/>
      </c>
      <c r="K777" s="25" t="str">
        <f aca="false">IF($A777="","",IF(D777="Withdrawn",0,IF(E777&lt;&gt;"",N(E777),IFERROR(N(INDEX(Activities!$I$2:$I$201,MATCH($A777,Activities!$A$2:$A$201,0))),0))))</f>
        <v/>
      </c>
      <c r="L777" s="24" t="str">
        <f aca="false">IF(AND($A777="",$B777=""),"",IF(ISNA(MATCH($A777,Activities!$A$2:$A$201,0)),"Unknown activity",IF(ISNA(MATCH($B777,Students!$A$2:$A$301,0)),"Unknown student",IF(D777="","No status",IF(COUNTIFS($A$2:$A$1001,$A777,$B$2:$B$1001,$B777)&gt;1,"Duplicate",IF(AND(D777&lt;&gt;"Withdrawn",G777&lt;&gt;"",COUNTIFS($B$2:$B$1001,$B777,$G$2:$G$1001,G777,$D$2:$D$1001,"&lt;&gt;Withdrawn")&gt;1),"Same-day clash","OK"))))))</f>
        <v/>
      </c>
    </row>
    <row r="778" customFormat="false" ht="15" hidden="false" customHeight="false" outlineLevel="0" collapsed="false">
      <c r="E778" s="26"/>
      <c r="G778" s="23" t="str">
        <f aca="false">IF($A778="","",IFERROR(IF(INDEX(Activities!$C$2:$C$201,MATCH($A778,Activities!$A$2:$A$201,0))="","",INDEX(Activities!$C$2:$C$201,MATCH($A778,Activities!$A$2:$A$201,0))),""))</f>
        <v/>
      </c>
      <c r="H778" s="24" t="str">
        <f aca="false">IF($A778="","",IFERROR(IF(INDEX(Activities!$B$2:$B$201,MATCH($A778,Activities!$A$2:$A$201,0))="","",INDEX(Activities!$B$2:$B$201,MATCH($A778,Activities!$A$2:$A$201,0))),""))</f>
        <v/>
      </c>
      <c r="I778" s="24" t="str">
        <f aca="false">IF($B778="","",IFERROR(IF(INDEX(Students!$C$2:$C$301,MATCH($B778,Students!$A$2:$A$301,0))="","",INDEX(Students!$C$2:$C$301,MATCH($B778,Students!$A$2:$A$301,0))),""))</f>
        <v/>
      </c>
      <c r="J778" s="24" t="str">
        <f aca="false">IF($B778="","",IFERROR(IF(INDEX(Students!$B$2:$B$301,MATCH($B778,Students!$A$2:$A$301,0))="","",INDEX(Students!$B$2:$B$301,MATCH($B778,Students!$A$2:$A$301,0))),""))</f>
        <v/>
      </c>
      <c r="K778" s="25" t="str">
        <f aca="false">IF($A778="","",IF(D778="Withdrawn",0,IF(E778&lt;&gt;"",N(E778),IFERROR(N(INDEX(Activities!$I$2:$I$201,MATCH($A778,Activities!$A$2:$A$201,0))),0))))</f>
        <v/>
      </c>
      <c r="L778" s="24" t="str">
        <f aca="false">IF(AND($A778="",$B778=""),"",IF(ISNA(MATCH($A778,Activities!$A$2:$A$201,0)),"Unknown activity",IF(ISNA(MATCH($B778,Students!$A$2:$A$301,0)),"Unknown student",IF(D778="","No status",IF(COUNTIFS($A$2:$A$1001,$A778,$B$2:$B$1001,$B778)&gt;1,"Duplicate",IF(AND(D778&lt;&gt;"Withdrawn",G778&lt;&gt;"",COUNTIFS($B$2:$B$1001,$B778,$G$2:$G$1001,G778,$D$2:$D$1001,"&lt;&gt;Withdrawn")&gt;1),"Same-day clash","OK"))))))</f>
        <v/>
      </c>
    </row>
    <row r="779" customFormat="false" ht="15" hidden="false" customHeight="false" outlineLevel="0" collapsed="false">
      <c r="E779" s="26"/>
      <c r="G779" s="23" t="str">
        <f aca="false">IF($A779="","",IFERROR(IF(INDEX(Activities!$C$2:$C$201,MATCH($A779,Activities!$A$2:$A$201,0))="","",INDEX(Activities!$C$2:$C$201,MATCH($A779,Activities!$A$2:$A$201,0))),""))</f>
        <v/>
      </c>
      <c r="H779" s="24" t="str">
        <f aca="false">IF($A779="","",IFERROR(IF(INDEX(Activities!$B$2:$B$201,MATCH($A779,Activities!$A$2:$A$201,0))="","",INDEX(Activities!$B$2:$B$201,MATCH($A779,Activities!$A$2:$A$201,0))),""))</f>
        <v/>
      </c>
      <c r="I779" s="24" t="str">
        <f aca="false">IF($B779="","",IFERROR(IF(INDEX(Students!$C$2:$C$301,MATCH($B779,Students!$A$2:$A$301,0))="","",INDEX(Students!$C$2:$C$301,MATCH($B779,Students!$A$2:$A$301,0))),""))</f>
        <v/>
      </c>
      <c r="J779" s="24" t="str">
        <f aca="false">IF($B779="","",IFERROR(IF(INDEX(Students!$B$2:$B$301,MATCH($B779,Students!$A$2:$A$301,0))="","",INDEX(Students!$B$2:$B$301,MATCH($B779,Students!$A$2:$A$301,0))),""))</f>
        <v/>
      </c>
      <c r="K779" s="25" t="str">
        <f aca="false">IF($A779="","",IF(D779="Withdrawn",0,IF(E779&lt;&gt;"",N(E779),IFERROR(N(INDEX(Activities!$I$2:$I$201,MATCH($A779,Activities!$A$2:$A$201,0))),0))))</f>
        <v/>
      </c>
      <c r="L779" s="24" t="str">
        <f aca="false">IF(AND($A779="",$B779=""),"",IF(ISNA(MATCH($A779,Activities!$A$2:$A$201,0)),"Unknown activity",IF(ISNA(MATCH($B779,Students!$A$2:$A$301,0)),"Unknown student",IF(D779="","No status",IF(COUNTIFS($A$2:$A$1001,$A779,$B$2:$B$1001,$B779)&gt;1,"Duplicate",IF(AND(D779&lt;&gt;"Withdrawn",G779&lt;&gt;"",COUNTIFS($B$2:$B$1001,$B779,$G$2:$G$1001,G779,$D$2:$D$1001,"&lt;&gt;Withdrawn")&gt;1),"Same-day clash","OK"))))))</f>
        <v/>
      </c>
    </row>
    <row r="780" customFormat="false" ht="15" hidden="false" customHeight="false" outlineLevel="0" collapsed="false">
      <c r="E780" s="26"/>
      <c r="G780" s="23" t="str">
        <f aca="false">IF($A780="","",IFERROR(IF(INDEX(Activities!$C$2:$C$201,MATCH($A780,Activities!$A$2:$A$201,0))="","",INDEX(Activities!$C$2:$C$201,MATCH($A780,Activities!$A$2:$A$201,0))),""))</f>
        <v/>
      </c>
      <c r="H780" s="24" t="str">
        <f aca="false">IF($A780="","",IFERROR(IF(INDEX(Activities!$B$2:$B$201,MATCH($A780,Activities!$A$2:$A$201,0))="","",INDEX(Activities!$B$2:$B$201,MATCH($A780,Activities!$A$2:$A$201,0))),""))</f>
        <v/>
      </c>
      <c r="I780" s="24" t="str">
        <f aca="false">IF($B780="","",IFERROR(IF(INDEX(Students!$C$2:$C$301,MATCH($B780,Students!$A$2:$A$301,0))="","",INDEX(Students!$C$2:$C$301,MATCH($B780,Students!$A$2:$A$301,0))),""))</f>
        <v/>
      </c>
      <c r="J780" s="24" t="str">
        <f aca="false">IF($B780="","",IFERROR(IF(INDEX(Students!$B$2:$B$301,MATCH($B780,Students!$A$2:$A$301,0))="","",INDEX(Students!$B$2:$B$301,MATCH($B780,Students!$A$2:$A$301,0))),""))</f>
        <v/>
      </c>
      <c r="K780" s="25" t="str">
        <f aca="false">IF($A780="","",IF(D780="Withdrawn",0,IF(E780&lt;&gt;"",N(E780),IFERROR(N(INDEX(Activities!$I$2:$I$201,MATCH($A780,Activities!$A$2:$A$201,0))),0))))</f>
        <v/>
      </c>
      <c r="L780" s="24" t="str">
        <f aca="false">IF(AND($A780="",$B780=""),"",IF(ISNA(MATCH($A780,Activities!$A$2:$A$201,0)),"Unknown activity",IF(ISNA(MATCH($B780,Students!$A$2:$A$301,0)),"Unknown student",IF(D780="","No status",IF(COUNTIFS($A$2:$A$1001,$A780,$B$2:$B$1001,$B780)&gt;1,"Duplicate",IF(AND(D780&lt;&gt;"Withdrawn",G780&lt;&gt;"",COUNTIFS($B$2:$B$1001,$B780,$G$2:$G$1001,G780,$D$2:$D$1001,"&lt;&gt;Withdrawn")&gt;1),"Same-day clash","OK"))))))</f>
        <v/>
      </c>
    </row>
    <row r="781" customFormat="false" ht="15" hidden="false" customHeight="false" outlineLevel="0" collapsed="false">
      <c r="E781" s="26"/>
      <c r="G781" s="23" t="str">
        <f aca="false">IF($A781="","",IFERROR(IF(INDEX(Activities!$C$2:$C$201,MATCH($A781,Activities!$A$2:$A$201,0))="","",INDEX(Activities!$C$2:$C$201,MATCH($A781,Activities!$A$2:$A$201,0))),""))</f>
        <v/>
      </c>
      <c r="H781" s="24" t="str">
        <f aca="false">IF($A781="","",IFERROR(IF(INDEX(Activities!$B$2:$B$201,MATCH($A781,Activities!$A$2:$A$201,0))="","",INDEX(Activities!$B$2:$B$201,MATCH($A781,Activities!$A$2:$A$201,0))),""))</f>
        <v/>
      </c>
      <c r="I781" s="24" t="str">
        <f aca="false">IF($B781="","",IFERROR(IF(INDEX(Students!$C$2:$C$301,MATCH($B781,Students!$A$2:$A$301,0))="","",INDEX(Students!$C$2:$C$301,MATCH($B781,Students!$A$2:$A$301,0))),""))</f>
        <v/>
      </c>
      <c r="J781" s="24" t="str">
        <f aca="false">IF($B781="","",IFERROR(IF(INDEX(Students!$B$2:$B$301,MATCH($B781,Students!$A$2:$A$301,0))="","",INDEX(Students!$B$2:$B$301,MATCH($B781,Students!$A$2:$A$301,0))),""))</f>
        <v/>
      </c>
      <c r="K781" s="25" t="str">
        <f aca="false">IF($A781="","",IF(D781="Withdrawn",0,IF(E781&lt;&gt;"",N(E781),IFERROR(N(INDEX(Activities!$I$2:$I$201,MATCH($A781,Activities!$A$2:$A$201,0))),0))))</f>
        <v/>
      </c>
      <c r="L781" s="24" t="str">
        <f aca="false">IF(AND($A781="",$B781=""),"",IF(ISNA(MATCH($A781,Activities!$A$2:$A$201,0)),"Unknown activity",IF(ISNA(MATCH($B781,Students!$A$2:$A$301,0)),"Unknown student",IF(D781="","No status",IF(COUNTIFS($A$2:$A$1001,$A781,$B$2:$B$1001,$B781)&gt;1,"Duplicate",IF(AND(D781&lt;&gt;"Withdrawn",G781&lt;&gt;"",COUNTIFS($B$2:$B$1001,$B781,$G$2:$G$1001,G781,$D$2:$D$1001,"&lt;&gt;Withdrawn")&gt;1),"Same-day clash","OK"))))))</f>
        <v/>
      </c>
    </row>
    <row r="782" customFormat="false" ht="15" hidden="false" customHeight="false" outlineLevel="0" collapsed="false">
      <c r="E782" s="26"/>
      <c r="G782" s="23" t="str">
        <f aca="false">IF($A782="","",IFERROR(IF(INDEX(Activities!$C$2:$C$201,MATCH($A782,Activities!$A$2:$A$201,0))="","",INDEX(Activities!$C$2:$C$201,MATCH($A782,Activities!$A$2:$A$201,0))),""))</f>
        <v/>
      </c>
      <c r="H782" s="24" t="str">
        <f aca="false">IF($A782="","",IFERROR(IF(INDEX(Activities!$B$2:$B$201,MATCH($A782,Activities!$A$2:$A$201,0))="","",INDEX(Activities!$B$2:$B$201,MATCH($A782,Activities!$A$2:$A$201,0))),""))</f>
        <v/>
      </c>
      <c r="I782" s="24" t="str">
        <f aca="false">IF($B782="","",IFERROR(IF(INDEX(Students!$C$2:$C$301,MATCH($B782,Students!$A$2:$A$301,0))="","",INDEX(Students!$C$2:$C$301,MATCH($B782,Students!$A$2:$A$301,0))),""))</f>
        <v/>
      </c>
      <c r="J782" s="24" t="str">
        <f aca="false">IF($B782="","",IFERROR(IF(INDEX(Students!$B$2:$B$301,MATCH($B782,Students!$A$2:$A$301,0))="","",INDEX(Students!$B$2:$B$301,MATCH($B782,Students!$A$2:$A$301,0))),""))</f>
        <v/>
      </c>
      <c r="K782" s="25" t="str">
        <f aca="false">IF($A782="","",IF(D782="Withdrawn",0,IF(E782&lt;&gt;"",N(E782),IFERROR(N(INDEX(Activities!$I$2:$I$201,MATCH($A782,Activities!$A$2:$A$201,0))),0))))</f>
        <v/>
      </c>
      <c r="L782" s="24" t="str">
        <f aca="false">IF(AND($A782="",$B782=""),"",IF(ISNA(MATCH($A782,Activities!$A$2:$A$201,0)),"Unknown activity",IF(ISNA(MATCH($B782,Students!$A$2:$A$301,0)),"Unknown student",IF(D782="","No status",IF(COUNTIFS($A$2:$A$1001,$A782,$B$2:$B$1001,$B782)&gt;1,"Duplicate",IF(AND(D782&lt;&gt;"Withdrawn",G782&lt;&gt;"",COUNTIFS($B$2:$B$1001,$B782,$G$2:$G$1001,G782,$D$2:$D$1001,"&lt;&gt;Withdrawn")&gt;1),"Same-day clash","OK"))))))</f>
        <v/>
      </c>
    </row>
    <row r="783" customFormat="false" ht="15" hidden="false" customHeight="false" outlineLevel="0" collapsed="false">
      <c r="E783" s="26"/>
      <c r="G783" s="23" t="str">
        <f aca="false">IF($A783="","",IFERROR(IF(INDEX(Activities!$C$2:$C$201,MATCH($A783,Activities!$A$2:$A$201,0))="","",INDEX(Activities!$C$2:$C$201,MATCH($A783,Activities!$A$2:$A$201,0))),""))</f>
        <v/>
      </c>
      <c r="H783" s="24" t="str">
        <f aca="false">IF($A783="","",IFERROR(IF(INDEX(Activities!$B$2:$B$201,MATCH($A783,Activities!$A$2:$A$201,0))="","",INDEX(Activities!$B$2:$B$201,MATCH($A783,Activities!$A$2:$A$201,0))),""))</f>
        <v/>
      </c>
      <c r="I783" s="24" t="str">
        <f aca="false">IF($B783="","",IFERROR(IF(INDEX(Students!$C$2:$C$301,MATCH($B783,Students!$A$2:$A$301,0))="","",INDEX(Students!$C$2:$C$301,MATCH($B783,Students!$A$2:$A$301,0))),""))</f>
        <v/>
      </c>
      <c r="J783" s="24" t="str">
        <f aca="false">IF($B783="","",IFERROR(IF(INDEX(Students!$B$2:$B$301,MATCH($B783,Students!$A$2:$A$301,0))="","",INDEX(Students!$B$2:$B$301,MATCH($B783,Students!$A$2:$A$301,0))),""))</f>
        <v/>
      </c>
      <c r="K783" s="25" t="str">
        <f aca="false">IF($A783="","",IF(D783="Withdrawn",0,IF(E783&lt;&gt;"",N(E783),IFERROR(N(INDEX(Activities!$I$2:$I$201,MATCH($A783,Activities!$A$2:$A$201,0))),0))))</f>
        <v/>
      </c>
      <c r="L783" s="24" t="str">
        <f aca="false">IF(AND($A783="",$B783=""),"",IF(ISNA(MATCH($A783,Activities!$A$2:$A$201,0)),"Unknown activity",IF(ISNA(MATCH($B783,Students!$A$2:$A$301,0)),"Unknown student",IF(D783="","No status",IF(COUNTIFS($A$2:$A$1001,$A783,$B$2:$B$1001,$B783)&gt;1,"Duplicate",IF(AND(D783&lt;&gt;"Withdrawn",G783&lt;&gt;"",COUNTIFS($B$2:$B$1001,$B783,$G$2:$G$1001,G783,$D$2:$D$1001,"&lt;&gt;Withdrawn")&gt;1),"Same-day clash","OK"))))))</f>
        <v/>
      </c>
    </row>
    <row r="784" customFormat="false" ht="15" hidden="false" customHeight="false" outlineLevel="0" collapsed="false">
      <c r="E784" s="26"/>
      <c r="G784" s="23" t="str">
        <f aca="false">IF($A784="","",IFERROR(IF(INDEX(Activities!$C$2:$C$201,MATCH($A784,Activities!$A$2:$A$201,0))="","",INDEX(Activities!$C$2:$C$201,MATCH($A784,Activities!$A$2:$A$201,0))),""))</f>
        <v/>
      </c>
      <c r="H784" s="24" t="str">
        <f aca="false">IF($A784="","",IFERROR(IF(INDEX(Activities!$B$2:$B$201,MATCH($A784,Activities!$A$2:$A$201,0))="","",INDEX(Activities!$B$2:$B$201,MATCH($A784,Activities!$A$2:$A$201,0))),""))</f>
        <v/>
      </c>
      <c r="I784" s="24" t="str">
        <f aca="false">IF($B784="","",IFERROR(IF(INDEX(Students!$C$2:$C$301,MATCH($B784,Students!$A$2:$A$301,0))="","",INDEX(Students!$C$2:$C$301,MATCH($B784,Students!$A$2:$A$301,0))),""))</f>
        <v/>
      </c>
      <c r="J784" s="24" t="str">
        <f aca="false">IF($B784="","",IFERROR(IF(INDEX(Students!$B$2:$B$301,MATCH($B784,Students!$A$2:$A$301,0))="","",INDEX(Students!$B$2:$B$301,MATCH($B784,Students!$A$2:$A$301,0))),""))</f>
        <v/>
      </c>
      <c r="K784" s="25" t="str">
        <f aca="false">IF($A784="","",IF(D784="Withdrawn",0,IF(E784&lt;&gt;"",N(E784),IFERROR(N(INDEX(Activities!$I$2:$I$201,MATCH($A784,Activities!$A$2:$A$201,0))),0))))</f>
        <v/>
      </c>
      <c r="L784" s="24" t="str">
        <f aca="false">IF(AND($A784="",$B784=""),"",IF(ISNA(MATCH($A784,Activities!$A$2:$A$201,0)),"Unknown activity",IF(ISNA(MATCH($B784,Students!$A$2:$A$301,0)),"Unknown student",IF(D784="","No status",IF(COUNTIFS($A$2:$A$1001,$A784,$B$2:$B$1001,$B784)&gt;1,"Duplicate",IF(AND(D784&lt;&gt;"Withdrawn",G784&lt;&gt;"",COUNTIFS($B$2:$B$1001,$B784,$G$2:$G$1001,G784,$D$2:$D$1001,"&lt;&gt;Withdrawn")&gt;1),"Same-day clash","OK"))))))</f>
        <v/>
      </c>
    </row>
    <row r="785" customFormat="false" ht="15" hidden="false" customHeight="false" outlineLevel="0" collapsed="false">
      <c r="E785" s="26"/>
      <c r="G785" s="23" t="str">
        <f aca="false">IF($A785="","",IFERROR(IF(INDEX(Activities!$C$2:$C$201,MATCH($A785,Activities!$A$2:$A$201,0))="","",INDEX(Activities!$C$2:$C$201,MATCH($A785,Activities!$A$2:$A$201,0))),""))</f>
        <v/>
      </c>
      <c r="H785" s="24" t="str">
        <f aca="false">IF($A785="","",IFERROR(IF(INDEX(Activities!$B$2:$B$201,MATCH($A785,Activities!$A$2:$A$201,0))="","",INDEX(Activities!$B$2:$B$201,MATCH($A785,Activities!$A$2:$A$201,0))),""))</f>
        <v/>
      </c>
      <c r="I785" s="24" t="str">
        <f aca="false">IF($B785="","",IFERROR(IF(INDEX(Students!$C$2:$C$301,MATCH($B785,Students!$A$2:$A$301,0))="","",INDEX(Students!$C$2:$C$301,MATCH($B785,Students!$A$2:$A$301,0))),""))</f>
        <v/>
      </c>
      <c r="J785" s="24" t="str">
        <f aca="false">IF($B785="","",IFERROR(IF(INDEX(Students!$B$2:$B$301,MATCH($B785,Students!$A$2:$A$301,0))="","",INDEX(Students!$B$2:$B$301,MATCH($B785,Students!$A$2:$A$301,0))),""))</f>
        <v/>
      </c>
      <c r="K785" s="25" t="str">
        <f aca="false">IF($A785="","",IF(D785="Withdrawn",0,IF(E785&lt;&gt;"",N(E785),IFERROR(N(INDEX(Activities!$I$2:$I$201,MATCH($A785,Activities!$A$2:$A$201,0))),0))))</f>
        <v/>
      </c>
      <c r="L785" s="24" t="str">
        <f aca="false">IF(AND($A785="",$B785=""),"",IF(ISNA(MATCH($A785,Activities!$A$2:$A$201,0)),"Unknown activity",IF(ISNA(MATCH($B785,Students!$A$2:$A$301,0)),"Unknown student",IF(D785="","No status",IF(COUNTIFS($A$2:$A$1001,$A785,$B$2:$B$1001,$B785)&gt;1,"Duplicate",IF(AND(D785&lt;&gt;"Withdrawn",G785&lt;&gt;"",COUNTIFS($B$2:$B$1001,$B785,$G$2:$G$1001,G785,$D$2:$D$1001,"&lt;&gt;Withdrawn")&gt;1),"Same-day clash","OK"))))))</f>
        <v/>
      </c>
    </row>
    <row r="786" customFormat="false" ht="15" hidden="false" customHeight="false" outlineLevel="0" collapsed="false">
      <c r="E786" s="26"/>
      <c r="G786" s="23" t="str">
        <f aca="false">IF($A786="","",IFERROR(IF(INDEX(Activities!$C$2:$C$201,MATCH($A786,Activities!$A$2:$A$201,0))="","",INDEX(Activities!$C$2:$C$201,MATCH($A786,Activities!$A$2:$A$201,0))),""))</f>
        <v/>
      </c>
      <c r="H786" s="24" t="str">
        <f aca="false">IF($A786="","",IFERROR(IF(INDEX(Activities!$B$2:$B$201,MATCH($A786,Activities!$A$2:$A$201,0))="","",INDEX(Activities!$B$2:$B$201,MATCH($A786,Activities!$A$2:$A$201,0))),""))</f>
        <v/>
      </c>
      <c r="I786" s="24" t="str">
        <f aca="false">IF($B786="","",IFERROR(IF(INDEX(Students!$C$2:$C$301,MATCH($B786,Students!$A$2:$A$301,0))="","",INDEX(Students!$C$2:$C$301,MATCH($B786,Students!$A$2:$A$301,0))),""))</f>
        <v/>
      </c>
      <c r="J786" s="24" t="str">
        <f aca="false">IF($B786="","",IFERROR(IF(INDEX(Students!$B$2:$B$301,MATCH($B786,Students!$A$2:$A$301,0))="","",INDEX(Students!$B$2:$B$301,MATCH($B786,Students!$A$2:$A$301,0))),""))</f>
        <v/>
      </c>
      <c r="K786" s="25" t="str">
        <f aca="false">IF($A786="","",IF(D786="Withdrawn",0,IF(E786&lt;&gt;"",N(E786),IFERROR(N(INDEX(Activities!$I$2:$I$201,MATCH($A786,Activities!$A$2:$A$201,0))),0))))</f>
        <v/>
      </c>
      <c r="L786" s="24" t="str">
        <f aca="false">IF(AND($A786="",$B786=""),"",IF(ISNA(MATCH($A786,Activities!$A$2:$A$201,0)),"Unknown activity",IF(ISNA(MATCH($B786,Students!$A$2:$A$301,0)),"Unknown student",IF(D786="","No status",IF(COUNTIFS($A$2:$A$1001,$A786,$B$2:$B$1001,$B786)&gt;1,"Duplicate",IF(AND(D786&lt;&gt;"Withdrawn",G786&lt;&gt;"",COUNTIFS($B$2:$B$1001,$B786,$G$2:$G$1001,G786,$D$2:$D$1001,"&lt;&gt;Withdrawn")&gt;1),"Same-day clash","OK"))))))</f>
        <v/>
      </c>
    </row>
    <row r="787" customFormat="false" ht="15" hidden="false" customHeight="false" outlineLevel="0" collapsed="false">
      <c r="E787" s="26"/>
      <c r="G787" s="23" t="str">
        <f aca="false">IF($A787="","",IFERROR(IF(INDEX(Activities!$C$2:$C$201,MATCH($A787,Activities!$A$2:$A$201,0))="","",INDEX(Activities!$C$2:$C$201,MATCH($A787,Activities!$A$2:$A$201,0))),""))</f>
        <v/>
      </c>
      <c r="H787" s="24" t="str">
        <f aca="false">IF($A787="","",IFERROR(IF(INDEX(Activities!$B$2:$B$201,MATCH($A787,Activities!$A$2:$A$201,0))="","",INDEX(Activities!$B$2:$B$201,MATCH($A787,Activities!$A$2:$A$201,0))),""))</f>
        <v/>
      </c>
      <c r="I787" s="24" t="str">
        <f aca="false">IF($B787="","",IFERROR(IF(INDEX(Students!$C$2:$C$301,MATCH($B787,Students!$A$2:$A$301,0))="","",INDEX(Students!$C$2:$C$301,MATCH($B787,Students!$A$2:$A$301,0))),""))</f>
        <v/>
      </c>
      <c r="J787" s="24" t="str">
        <f aca="false">IF($B787="","",IFERROR(IF(INDEX(Students!$B$2:$B$301,MATCH($B787,Students!$A$2:$A$301,0))="","",INDEX(Students!$B$2:$B$301,MATCH($B787,Students!$A$2:$A$301,0))),""))</f>
        <v/>
      </c>
      <c r="K787" s="25" t="str">
        <f aca="false">IF($A787="","",IF(D787="Withdrawn",0,IF(E787&lt;&gt;"",N(E787),IFERROR(N(INDEX(Activities!$I$2:$I$201,MATCH($A787,Activities!$A$2:$A$201,0))),0))))</f>
        <v/>
      </c>
      <c r="L787" s="24" t="str">
        <f aca="false">IF(AND($A787="",$B787=""),"",IF(ISNA(MATCH($A787,Activities!$A$2:$A$201,0)),"Unknown activity",IF(ISNA(MATCH($B787,Students!$A$2:$A$301,0)),"Unknown student",IF(D787="","No status",IF(COUNTIFS($A$2:$A$1001,$A787,$B$2:$B$1001,$B787)&gt;1,"Duplicate",IF(AND(D787&lt;&gt;"Withdrawn",G787&lt;&gt;"",COUNTIFS($B$2:$B$1001,$B787,$G$2:$G$1001,G787,$D$2:$D$1001,"&lt;&gt;Withdrawn")&gt;1),"Same-day clash","OK"))))))</f>
        <v/>
      </c>
    </row>
    <row r="788" customFormat="false" ht="15" hidden="false" customHeight="false" outlineLevel="0" collapsed="false">
      <c r="E788" s="26"/>
      <c r="G788" s="23" t="str">
        <f aca="false">IF($A788="","",IFERROR(IF(INDEX(Activities!$C$2:$C$201,MATCH($A788,Activities!$A$2:$A$201,0))="","",INDEX(Activities!$C$2:$C$201,MATCH($A788,Activities!$A$2:$A$201,0))),""))</f>
        <v/>
      </c>
      <c r="H788" s="24" t="str">
        <f aca="false">IF($A788="","",IFERROR(IF(INDEX(Activities!$B$2:$B$201,MATCH($A788,Activities!$A$2:$A$201,0))="","",INDEX(Activities!$B$2:$B$201,MATCH($A788,Activities!$A$2:$A$201,0))),""))</f>
        <v/>
      </c>
      <c r="I788" s="24" t="str">
        <f aca="false">IF($B788="","",IFERROR(IF(INDEX(Students!$C$2:$C$301,MATCH($B788,Students!$A$2:$A$301,0))="","",INDEX(Students!$C$2:$C$301,MATCH($B788,Students!$A$2:$A$301,0))),""))</f>
        <v/>
      </c>
      <c r="J788" s="24" t="str">
        <f aca="false">IF($B788="","",IFERROR(IF(INDEX(Students!$B$2:$B$301,MATCH($B788,Students!$A$2:$A$301,0))="","",INDEX(Students!$B$2:$B$301,MATCH($B788,Students!$A$2:$A$301,0))),""))</f>
        <v/>
      </c>
      <c r="K788" s="25" t="str">
        <f aca="false">IF($A788="","",IF(D788="Withdrawn",0,IF(E788&lt;&gt;"",N(E788),IFERROR(N(INDEX(Activities!$I$2:$I$201,MATCH($A788,Activities!$A$2:$A$201,0))),0))))</f>
        <v/>
      </c>
      <c r="L788" s="24" t="str">
        <f aca="false">IF(AND($A788="",$B788=""),"",IF(ISNA(MATCH($A788,Activities!$A$2:$A$201,0)),"Unknown activity",IF(ISNA(MATCH($B788,Students!$A$2:$A$301,0)),"Unknown student",IF(D788="","No status",IF(COUNTIFS($A$2:$A$1001,$A788,$B$2:$B$1001,$B788)&gt;1,"Duplicate",IF(AND(D788&lt;&gt;"Withdrawn",G788&lt;&gt;"",COUNTIFS($B$2:$B$1001,$B788,$G$2:$G$1001,G788,$D$2:$D$1001,"&lt;&gt;Withdrawn")&gt;1),"Same-day clash","OK"))))))</f>
        <v/>
      </c>
    </row>
    <row r="789" customFormat="false" ht="15" hidden="false" customHeight="false" outlineLevel="0" collapsed="false">
      <c r="E789" s="26"/>
      <c r="G789" s="23" t="str">
        <f aca="false">IF($A789="","",IFERROR(IF(INDEX(Activities!$C$2:$C$201,MATCH($A789,Activities!$A$2:$A$201,0))="","",INDEX(Activities!$C$2:$C$201,MATCH($A789,Activities!$A$2:$A$201,0))),""))</f>
        <v/>
      </c>
      <c r="H789" s="24" t="str">
        <f aca="false">IF($A789="","",IFERROR(IF(INDEX(Activities!$B$2:$B$201,MATCH($A789,Activities!$A$2:$A$201,0))="","",INDEX(Activities!$B$2:$B$201,MATCH($A789,Activities!$A$2:$A$201,0))),""))</f>
        <v/>
      </c>
      <c r="I789" s="24" t="str">
        <f aca="false">IF($B789="","",IFERROR(IF(INDEX(Students!$C$2:$C$301,MATCH($B789,Students!$A$2:$A$301,0))="","",INDEX(Students!$C$2:$C$301,MATCH($B789,Students!$A$2:$A$301,0))),""))</f>
        <v/>
      </c>
      <c r="J789" s="24" t="str">
        <f aca="false">IF($B789="","",IFERROR(IF(INDEX(Students!$B$2:$B$301,MATCH($B789,Students!$A$2:$A$301,0))="","",INDEX(Students!$B$2:$B$301,MATCH($B789,Students!$A$2:$A$301,0))),""))</f>
        <v/>
      </c>
      <c r="K789" s="25" t="str">
        <f aca="false">IF($A789="","",IF(D789="Withdrawn",0,IF(E789&lt;&gt;"",N(E789),IFERROR(N(INDEX(Activities!$I$2:$I$201,MATCH($A789,Activities!$A$2:$A$201,0))),0))))</f>
        <v/>
      </c>
      <c r="L789" s="24" t="str">
        <f aca="false">IF(AND($A789="",$B789=""),"",IF(ISNA(MATCH($A789,Activities!$A$2:$A$201,0)),"Unknown activity",IF(ISNA(MATCH($B789,Students!$A$2:$A$301,0)),"Unknown student",IF(D789="","No status",IF(COUNTIFS($A$2:$A$1001,$A789,$B$2:$B$1001,$B789)&gt;1,"Duplicate",IF(AND(D789&lt;&gt;"Withdrawn",G789&lt;&gt;"",COUNTIFS($B$2:$B$1001,$B789,$G$2:$G$1001,G789,$D$2:$D$1001,"&lt;&gt;Withdrawn")&gt;1),"Same-day clash","OK"))))))</f>
        <v/>
      </c>
    </row>
    <row r="790" customFormat="false" ht="15" hidden="false" customHeight="false" outlineLevel="0" collapsed="false">
      <c r="E790" s="26"/>
      <c r="G790" s="23" t="str">
        <f aca="false">IF($A790="","",IFERROR(IF(INDEX(Activities!$C$2:$C$201,MATCH($A790,Activities!$A$2:$A$201,0))="","",INDEX(Activities!$C$2:$C$201,MATCH($A790,Activities!$A$2:$A$201,0))),""))</f>
        <v/>
      </c>
      <c r="H790" s="24" t="str">
        <f aca="false">IF($A790="","",IFERROR(IF(INDEX(Activities!$B$2:$B$201,MATCH($A790,Activities!$A$2:$A$201,0))="","",INDEX(Activities!$B$2:$B$201,MATCH($A790,Activities!$A$2:$A$201,0))),""))</f>
        <v/>
      </c>
      <c r="I790" s="24" t="str">
        <f aca="false">IF($B790="","",IFERROR(IF(INDEX(Students!$C$2:$C$301,MATCH($B790,Students!$A$2:$A$301,0))="","",INDEX(Students!$C$2:$C$301,MATCH($B790,Students!$A$2:$A$301,0))),""))</f>
        <v/>
      </c>
      <c r="J790" s="24" t="str">
        <f aca="false">IF($B790="","",IFERROR(IF(INDEX(Students!$B$2:$B$301,MATCH($B790,Students!$A$2:$A$301,0))="","",INDEX(Students!$B$2:$B$301,MATCH($B790,Students!$A$2:$A$301,0))),""))</f>
        <v/>
      </c>
      <c r="K790" s="25" t="str">
        <f aca="false">IF($A790="","",IF(D790="Withdrawn",0,IF(E790&lt;&gt;"",N(E790),IFERROR(N(INDEX(Activities!$I$2:$I$201,MATCH($A790,Activities!$A$2:$A$201,0))),0))))</f>
        <v/>
      </c>
      <c r="L790" s="24" t="str">
        <f aca="false">IF(AND($A790="",$B790=""),"",IF(ISNA(MATCH($A790,Activities!$A$2:$A$201,0)),"Unknown activity",IF(ISNA(MATCH($B790,Students!$A$2:$A$301,0)),"Unknown student",IF(D790="","No status",IF(COUNTIFS($A$2:$A$1001,$A790,$B$2:$B$1001,$B790)&gt;1,"Duplicate",IF(AND(D790&lt;&gt;"Withdrawn",G790&lt;&gt;"",COUNTIFS($B$2:$B$1001,$B790,$G$2:$G$1001,G790,$D$2:$D$1001,"&lt;&gt;Withdrawn")&gt;1),"Same-day clash","OK"))))))</f>
        <v/>
      </c>
    </row>
    <row r="791" customFormat="false" ht="15" hidden="false" customHeight="false" outlineLevel="0" collapsed="false">
      <c r="E791" s="26"/>
      <c r="G791" s="23" t="str">
        <f aca="false">IF($A791="","",IFERROR(IF(INDEX(Activities!$C$2:$C$201,MATCH($A791,Activities!$A$2:$A$201,0))="","",INDEX(Activities!$C$2:$C$201,MATCH($A791,Activities!$A$2:$A$201,0))),""))</f>
        <v/>
      </c>
      <c r="H791" s="24" t="str">
        <f aca="false">IF($A791="","",IFERROR(IF(INDEX(Activities!$B$2:$B$201,MATCH($A791,Activities!$A$2:$A$201,0))="","",INDEX(Activities!$B$2:$B$201,MATCH($A791,Activities!$A$2:$A$201,0))),""))</f>
        <v/>
      </c>
      <c r="I791" s="24" t="str">
        <f aca="false">IF($B791="","",IFERROR(IF(INDEX(Students!$C$2:$C$301,MATCH($B791,Students!$A$2:$A$301,0))="","",INDEX(Students!$C$2:$C$301,MATCH($B791,Students!$A$2:$A$301,0))),""))</f>
        <v/>
      </c>
      <c r="J791" s="24" t="str">
        <f aca="false">IF($B791="","",IFERROR(IF(INDEX(Students!$B$2:$B$301,MATCH($B791,Students!$A$2:$A$301,0))="","",INDEX(Students!$B$2:$B$301,MATCH($B791,Students!$A$2:$A$301,0))),""))</f>
        <v/>
      </c>
      <c r="K791" s="25" t="str">
        <f aca="false">IF($A791="","",IF(D791="Withdrawn",0,IF(E791&lt;&gt;"",N(E791),IFERROR(N(INDEX(Activities!$I$2:$I$201,MATCH($A791,Activities!$A$2:$A$201,0))),0))))</f>
        <v/>
      </c>
      <c r="L791" s="24" t="str">
        <f aca="false">IF(AND($A791="",$B791=""),"",IF(ISNA(MATCH($A791,Activities!$A$2:$A$201,0)),"Unknown activity",IF(ISNA(MATCH($B791,Students!$A$2:$A$301,0)),"Unknown student",IF(D791="","No status",IF(COUNTIFS($A$2:$A$1001,$A791,$B$2:$B$1001,$B791)&gt;1,"Duplicate",IF(AND(D791&lt;&gt;"Withdrawn",G791&lt;&gt;"",COUNTIFS($B$2:$B$1001,$B791,$G$2:$G$1001,G791,$D$2:$D$1001,"&lt;&gt;Withdrawn")&gt;1),"Same-day clash","OK"))))))</f>
        <v/>
      </c>
    </row>
    <row r="792" customFormat="false" ht="15" hidden="false" customHeight="false" outlineLevel="0" collapsed="false">
      <c r="E792" s="26"/>
      <c r="G792" s="23" t="str">
        <f aca="false">IF($A792="","",IFERROR(IF(INDEX(Activities!$C$2:$C$201,MATCH($A792,Activities!$A$2:$A$201,0))="","",INDEX(Activities!$C$2:$C$201,MATCH($A792,Activities!$A$2:$A$201,0))),""))</f>
        <v/>
      </c>
      <c r="H792" s="24" t="str">
        <f aca="false">IF($A792="","",IFERROR(IF(INDEX(Activities!$B$2:$B$201,MATCH($A792,Activities!$A$2:$A$201,0))="","",INDEX(Activities!$B$2:$B$201,MATCH($A792,Activities!$A$2:$A$201,0))),""))</f>
        <v/>
      </c>
      <c r="I792" s="24" t="str">
        <f aca="false">IF($B792="","",IFERROR(IF(INDEX(Students!$C$2:$C$301,MATCH($B792,Students!$A$2:$A$301,0))="","",INDEX(Students!$C$2:$C$301,MATCH($B792,Students!$A$2:$A$301,0))),""))</f>
        <v/>
      </c>
      <c r="J792" s="24" t="str">
        <f aca="false">IF($B792="","",IFERROR(IF(INDEX(Students!$B$2:$B$301,MATCH($B792,Students!$A$2:$A$301,0))="","",INDEX(Students!$B$2:$B$301,MATCH($B792,Students!$A$2:$A$301,0))),""))</f>
        <v/>
      </c>
      <c r="K792" s="25" t="str">
        <f aca="false">IF($A792="","",IF(D792="Withdrawn",0,IF(E792&lt;&gt;"",N(E792),IFERROR(N(INDEX(Activities!$I$2:$I$201,MATCH($A792,Activities!$A$2:$A$201,0))),0))))</f>
        <v/>
      </c>
      <c r="L792" s="24" t="str">
        <f aca="false">IF(AND($A792="",$B792=""),"",IF(ISNA(MATCH($A792,Activities!$A$2:$A$201,0)),"Unknown activity",IF(ISNA(MATCH($B792,Students!$A$2:$A$301,0)),"Unknown student",IF(D792="","No status",IF(COUNTIFS($A$2:$A$1001,$A792,$B$2:$B$1001,$B792)&gt;1,"Duplicate",IF(AND(D792&lt;&gt;"Withdrawn",G792&lt;&gt;"",COUNTIFS($B$2:$B$1001,$B792,$G$2:$G$1001,G792,$D$2:$D$1001,"&lt;&gt;Withdrawn")&gt;1),"Same-day clash","OK"))))))</f>
        <v/>
      </c>
    </row>
    <row r="793" customFormat="false" ht="15" hidden="false" customHeight="false" outlineLevel="0" collapsed="false">
      <c r="E793" s="26"/>
      <c r="G793" s="23" t="str">
        <f aca="false">IF($A793="","",IFERROR(IF(INDEX(Activities!$C$2:$C$201,MATCH($A793,Activities!$A$2:$A$201,0))="","",INDEX(Activities!$C$2:$C$201,MATCH($A793,Activities!$A$2:$A$201,0))),""))</f>
        <v/>
      </c>
      <c r="H793" s="24" t="str">
        <f aca="false">IF($A793="","",IFERROR(IF(INDEX(Activities!$B$2:$B$201,MATCH($A793,Activities!$A$2:$A$201,0))="","",INDEX(Activities!$B$2:$B$201,MATCH($A793,Activities!$A$2:$A$201,0))),""))</f>
        <v/>
      </c>
      <c r="I793" s="24" t="str">
        <f aca="false">IF($B793="","",IFERROR(IF(INDEX(Students!$C$2:$C$301,MATCH($B793,Students!$A$2:$A$301,0))="","",INDEX(Students!$C$2:$C$301,MATCH($B793,Students!$A$2:$A$301,0))),""))</f>
        <v/>
      </c>
      <c r="J793" s="24" t="str">
        <f aca="false">IF($B793="","",IFERROR(IF(INDEX(Students!$B$2:$B$301,MATCH($B793,Students!$A$2:$A$301,0))="","",INDEX(Students!$B$2:$B$301,MATCH($B793,Students!$A$2:$A$301,0))),""))</f>
        <v/>
      </c>
      <c r="K793" s="25" t="str">
        <f aca="false">IF($A793="","",IF(D793="Withdrawn",0,IF(E793&lt;&gt;"",N(E793),IFERROR(N(INDEX(Activities!$I$2:$I$201,MATCH($A793,Activities!$A$2:$A$201,0))),0))))</f>
        <v/>
      </c>
      <c r="L793" s="24" t="str">
        <f aca="false">IF(AND($A793="",$B793=""),"",IF(ISNA(MATCH($A793,Activities!$A$2:$A$201,0)),"Unknown activity",IF(ISNA(MATCH($B793,Students!$A$2:$A$301,0)),"Unknown student",IF(D793="","No status",IF(COUNTIFS($A$2:$A$1001,$A793,$B$2:$B$1001,$B793)&gt;1,"Duplicate",IF(AND(D793&lt;&gt;"Withdrawn",G793&lt;&gt;"",COUNTIFS($B$2:$B$1001,$B793,$G$2:$G$1001,G793,$D$2:$D$1001,"&lt;&gt;Withdrawn")&gt;1),"Same-day clash","OK"))))))</f>
        <v/>
      </c>
    </row>
    <row r="794" customFormat="false" ht="15" hidden="false" customHeight="false" outlineLevel="0" collapsed="false">
      <c r="E794" s="26"/>
      <c r="G794" s="23" t="str">
        <f aca="false">IF($A794="","",IFERROR(IF(INDEX(Activities!$C$2:$C$201,MATCH($A794,Activities!$A$2:$A$201,0))="","",INDEX(Activities!$C$2:$C$201,MATCH($A794,Activities!$A$2:$A$201,0))),""))</f>
        <v/>
      </c>
      <c r="H794" s="24" t="str">
        <f aca="false">IF($A794="","",IFERROR(IF(INDEX(Activities!$B$2:$B$201,MATCH($A794,Activities!$A$2:$A$201,0))="","",INDEX(Activities!$B$2:$B$201,MATCH($A794,Activities!$A$2:$A$201,0))),""))</f>
        <v/>
      </c>
      <c r="I794" s="24" t="str">
        <f aca="false">IF($B794="","",IFERROR(IF(INDEX(Students!$C$2:$C$301,MATCH($B794,Students!$A$2:$A$301,0))="","",INDEX(Students!$C$2:$C$301,MATCH($B794,Students!$A$2:$A$301,0))),""))</f>
        <v/>
      </c>
      <c r="J794" s="24" t="str">
        <f aca="false">IF($B794="","",IFERROR(IF(INDEX(Students!$B$2:$B$301,MATCH($B794,Students!$A$2:$A$301,0))="","",INDEX(Students!$B$2:$B$301,MATCH($B794,Students!$A$2:$A$301,0))),""))</f>
        <v/>
      </c>
      <c r="K794" s="25" t="str">
        <f aca="false">IF($A794="","",IF(D794="Withdrawn",0,IF(E794&lt;&gt;"",N(E794),IFERROR(N(INDEX(Activities!$I$2:$I$201,MATCH($A794,Activities!$A$2:$A$201,0))),0))))</f>
        <v/>
      </c>
      <c r="L794" s="24" t="str">
        <f aca="false">IF(AND($A794="",$B794=""),"",IF(ISNA(MATCH($A794,Activities!$A$2:$A$201,0)),"Unknown activity",IF(ISNA(MATCH($B794,Students!$A$2:$A$301,0)),"Unknown student",IF(D794="","No status",IF(COUNTIFS($A$2:$A$1001,$A794,$B$2:$B$1001,$B794)&gt;1,"Duplicate",IF(AND(D794&lt;&gt;"Withdrawn",G794&lt;&gt;"",COUNTIFS($B$2:$B$1001,$B794,$G$2:$G$1001,G794,$D$2:$D$1001,"&lt;&gt;Withdrawn")&gt;1),"Same-day clash","OK"))))))</f>
        <v/>
      </c>
    </row>
    <row r="795" customFormat="false" ht="15" hidden="false" customHeight="false" outlineLevel="0" collapsed="false">
      <c r="E795" s="26"/>
      <c r="G795" s="23" t="str">
        <f aca="false">IF($A795="","",IFERROR(IF(INDEX(Activities!$C$2:$C$201,MATCH($A795,Activities!$A$2:$A$201,0))="","",INDEX(Activities!$C$2:$C$201,MATCH($A795,Activities!$A$2:$A$201,0))),""))</f>
        <v/>
      </c>
      <c r="H795" s="24" t="str">
        <f aca="false">IF($A795="","",IFERROR(IF(INDEX(Activities!$B$2:$B$201,MATCH($A795,Activities!$A$2:$A$201,0))="","",INDEX(Activities!$B$2:$B$201,MATCH($A795,Activities!$A$2:$A$201,0))),""))</f>
        <v/>
      </c>
      <c r="I795" s="24" t="str">
        <f aca="false">IF($B795="","",IFERROR(IF(INDEX(Students!$C$2:$C$301,MATCH($B795,Students!$A$2:$A$301,0))="","",INDEX(Students!$C$2:$C$301,MATCH($B795,Students!$A$2:$A$301,0))),""))</f>
        <v/>
      </c>
      <c r="J795" s="24" t="str">
        <f aca="false">IF($B795="","",IFERROR(IF(INDEX(Students!$B$2:$B$301,MATCH($B795,Students!$A$2:$A$301,0))="","",INDEX(Students!$B$2:$B$301,MATCH($B795,Students!$A$2:$A$301,0))),""))</f>
        <v/>
      </c>
      <c r="K795" s="25" t="str">
        <f aca="false">IF($A795="","",IF(D795="Withdrawn",0,IF(E795&lt;&gt;"",N(E795),IFERROR(N(INDEX(Activities!$I$2:$I$201,MATCH($A795,Activities!$A$2:$A$201,0))),0))))</f>
        <v/>
      </c>
      <c r="L795" s="24" t="str">
        <f aca="false">IF(AND($A795="",$B795=""),"",IF(ISNA(MATCH($A795,Activities!$A$2:$A$201,0)),"Unknown activity",IF(ISNA(MATCH($B795,Students!$A$2:$A$301,0)),"Unknown student",IF(D795="","No status",IF(COUNTIFS($A$2:$A$1001,$A795,$B$2:$B$1001,$B795)&gt;1,"Duplicate",IF(AND(D795&lt;&gt;"Withdrawn",G795&lt;&gt;"",COUNTIFS($B$2:$B$1001,$B795,$G$2:$G$1001,G795,$D$2:$D$1001,"&lt;&gt;Withdrawn")&gt;1),"Same-day clash","OK"))))))</f>
        <v/>
      </c>
    </row>
    <row r="796" customFormat="false" ht="15" hidden="false" customHeight="false" outlineLevel="0" collapsed="false">
      <c r="E796" s="26"/>
      <c r="G796" s="23" t="str">
        <f aca="false">IF($A796="","",IFERROR(IF(INDEX(Activities!$C$2:$C$201,MATCH($A796,Activities!$A$2:$A$201,0))="","",INDEX(Activities!$C$2:$C$201,MATCH($A796,Activities!$A$2:$A$201,0))),""))</f>
        <v/>
      </c>
      <c r="H796" s="24" t="str">
        <f aca="false">IF($A796="","",IFERROR(IF(INDEX(Activities!$B$2:$B$201,MATCH($A796,Activities!$A$2:$A$201,0))="","",INDEX(Activities!$B$2:$B$201,MATCH($A796,Activities!$A$2:$A$201,0))),""))</f>
        <v/>
      </c>
      <c r="I796" s="24" t="str">
        <f aca="false">IF($B796="","",IFERROR(IF(INDEX(Students!$C$2:$C$301,MATCH($B796,Students!$A$2:$A$301,0))="","",INDEX(Students!$C$2:$C$301,MATCH($B796,Students!$A$2:$A$301,0))),""))</f>
        <v/>
      </c>
      <c r="J796" s="24" t="str">
        <f aca="false">IF($B796="","",IFERROR(IF(INDEX(Students!$B$2:$B$301,MATCH($B796,Students!$A$2:$A$301,0))="","",INDEX(Students!$B$2:$B$301,MATCH($B796,Students!$A$2:$A$301,0))),""))</f>
        <v/>
      </c>
      <c r="K796" s="25" t="str">
        <f aca="false">IF($A796="","",IF(D796="Withdrawn",0,IF(E796&lt;&gt;"",N(E796),IFERROR(N(INDEX(Activities!$I$2:$I$201,MATCH($A796,Activities!$A$2:$A$201,0))),0))))</f>
        <v/>
      </c>
      <c r="L796" s="24" t="str">
        <f aca="false">IF(AND($A796="",$B796=""),"",IF(ISNA(MATCH($A796,Activities!$A$2:$A$201,0)),"Unknown activity",IF(ISNA(MATCH($B796,Students!$A$2:$A$301,0)),"Unknown student",IF(D796="","No status",IF(COUNTIFS($A$2:$A$1001,$A796,$B$2:$B$1001,$B796)&gt;1,"Duplicate",IF(AND(D796&lt;&gt;"Withdrawn",G796&lt;&gt;"",COUNTIFS($B$2:$B$1001,$B796,$G$2:$G$1001,G796,$D$2:$D$1001,"&lt;&gt;Withdrawn")&gt;1),"Same-day clash","OK"))))))</f>
        <v/>
      </c>
    </row>
    <row r="797" customFormat="false" ht="15" hidden="false" customHeight="false" outlineLevel="0" collapsed="false">
      <c r="E797" s="26"/>
      <c r="G797" s="23" t="str">
        <f aca="false">IF($A797="","",IFERROR(IF(INDEX(Activities!$C$2:$C$201,MATCH($A797,Activities!$A$2:$A$201,0))="","",INDEX(Activities!$C$2:$C$201,MATCH($A797,Activities!$A$2:$A$201,0))),""))</f>
        <v/>
      </c>
      <c r="H797" s="24" t="str">
        <f aca="false">IF($A797="","",IFERROR(IF(INDEX(Activities!$B$2:$B$201,MATCH($A797,Activities!$A$2:$A$201,0))="","",INDEX(Activities!$B$2:$B$201,MATCH($A797,Activities!$A$2:$A$201,0))),""))</f>
        <v/>
      </c>
      <c r="I797" s="24" t="str">
        <f aca="false">IF($B797="","",IFERROR(IF(INDEX(Students!$C$2:$C$301,MATCH($B797,Students!$A$2:$A$301,0))="","",INDEX(Students!$C$2:$C$301,MATCH($B797,Students!$A$2:$A$301,0))),""))</f>
        <v/>
      </c>
      <c r="J797" s="24" t="str">
        <f aca="false">IF($B797="","",IFERROR(IF(INDEX(Students!$B$2:$B$301,MATCH($B797,Students!$A$2:$A$301,0))="","",INDEX(Students!$B$2:$B$301,MATCH($B797,Students!$A$2:$A$301,0))),""))</f>
        <v/>
      </c>
      <c r="K797" s="25" t="str">
        <f aca="false">IF($A797="","",IF(D797="Withdrawn",0,IF(E797&lt;&gt;"",N(E797),IFERROR(N(INDEX(Activities!$I$2:$I$201,MATCH($A797,Activities!$A$2:$A$201,0))),0))))</f>
        <v/>
      </c>
      <c r="L797" s="24" t="str">
        <f aca="false">IF(AND($A797="",$B797=""),"",IF(ISNA(MATCH($A797,Activities!$A$2:$A$201,0)),"Unknown activity",IF(ISNA(MATCH($B797,Students!$A$2:$A$301,0)),"Unknown student",IF(D797="","No status",IF(COUNTIFS($A$2:$A$1001,$A797,$B$2:$B$1001,$B797)&gt;1,"Duplicate",IF(AND(D797&lt;&gt;"Withdrawn",G797&lt;&gt;"",COUNTIFS($B$2:$B$1001,$B797,$G$2:$G$1001,G797,$D$2:$D$1001,"&lt;&gt;Withdrawn")&gt;1),"Same-day clash","OK"))))))</f>
        <v/>
      </c>
    </row>
    <row r="798" customFormat="false" ht="15" hidden="false" customHeight="false" outlineLevel="0" collapsed="false">
      <c r="E798" s="26"/>
      <c r="G798" s="23" t="str">
        <f aca="false">IF($A798="","",IFERROR(IF(INDEX(Activities!$C$2:$C$201,MATCH($A798,Activities!$A$2:$A$201,0))="","",INDEX(Activities!$C$2:$C$201,MATCH($A798,Activities!$A$2:$A$201,0))),""))</f>
        <v/>
      </c>
      <c r="H798" s="24" t="str">
        <f aca="false">IF($A798="","",IFERROR(IF(INDEX(Activities!$B$2:$B$201,MATCH($A798,Activities!$A$2:$A$201,0))="","",INDEX(Activities!$B$2:$B$201,MATCH($A798,Activities!$A$2:$A$201,0))),""))</f>
        <v/>
      </c>
      <c r="I798" s="24" t="str">
        <f aca="false">IF($B798="","",IFERROR(IF(INDEX(Students!$C$2:$C$301,MATCH($B798,Students!$A$2:$A$301,0))="","",INDEX(Students!$C$2:$C$301,MATCH($B798,Students!$A$2:$A$301,0))),""))</f>
        <v/>
      </c>
      <c r="J798" s="24" t="str">
        <f aca="false">IF($B798="","",IFERROR(IF(INDEX(Students!$B$2:$B$301,MATCH($B798,Students!$A$2:$A$301,0))="","",INDEX(Students!$B$2:$B$301,MATCH($B798,Students!$A$2:$A$301,0))),""))</f>
        <v/>
      </c>
      <c r="K798" s="25" t="str">
        <f aca="false">IF($A798="","",IF(D798="Withdrawn",0,IF(E798&lt;&gt;"",N(E798),IFERROR(N(INDEX(Activities!$I$2:$I$201,MATCH($A798,Activities!$A$2:$A$201,0))),0))))</f>
        <v/>
      </c>
      <c r="L798" s="24" t="str">
        <f aca="false">IF(AND($A798="",$B798=""),"",IF(ISNA(MATCH($A798,Activities!$A$2:$A$201,0)),"Unknown activity",IF(ISNA(MATCH($B798,Students!$A$2:$A$301,0)),"Unknown student",IF(D798="","No status",IF(COUNTIFS($A$2:$A$1001,$A798,$B$2:$B$1001,$B798)&gt;1,"Duplicate",IF(AND(D798&lt;&gt;"Withdrawn",G798&lt;&gt;"",COUNTIFS($B$2:$B$1001,$B798,$G$2:$G$1001,G798,$D$2:$D$1001,"&lt;&gt;Withdrawn")&gt;1),"Same-day clash","OK"))))))</f>
        <v/>
      </c>
    </row>
    <row r="799" customFormat="false" ht="15" hidden="false" customHeight="false" outlineLevel="0" collapsed="false">
      <c r="E799" s="26"/>
      <c r="G799" s="23" t="str">
        <f aca="false">IF($A799="","",IFERROR(IF(INDEX(Activities!$C$2:$C$201,MATCH($A799,Activities!$A$2:$A$201,0))="","",INDEX(Activities!$C$2:$C$201,MATCH($A799,Activities!$A$2:$A$201,0))),""))</f>
        <v/>
      </c>
      <c r="H799" s="24" t="str">
        <f aca="false">IF($A799="","",IFERROR(IF(INDEX(Activities!$B$2:$B$201,MATCH($A799,Activities!$A$2:$A$201,0))="","",INDEX(Activities!$B$2:$B$201,MATCH($A799,Activities!$A$2:$A$201,0))),""))</f>
        <v/>
      </c>
      <c r="I799" s="24" t="str">
        <f aca="false">IF($B799="","",IFERROR(IF(INDEX(Students!$C$2:$C$301,MATCH($B799,Students!$A$2:$A$301,0))="","",INDEX(Students!$C$2:$C$301,MATCH($B799,Students!$A$2:$A$301,0))),""))</f>
        <v/>
      </c>
      <c r="J799" s="24" t="str">
        <f aca="false">IF($B799="","",IFERROR(IF(INDEX(Students!$B$2:$B$301,MATCH($B799,Students!$A$2:$A$301,0))="","",INDEX(Students!$B$2:$B$301,MATCH($B799,Students!$A$2:$A$301,0))),""))</f>
        <v/>
      </c>
      <c r="K799" s="25" t="str">
        <f aca="false">IF($A799="","",IF(D799="Withdrawn",0,IF(E799&lt;&gt;"",N(E799),IFERROR(N(INDEX(Activities!$I$2:$I$201,MATCH($A799,Activities!$A$2:$A$201,0))),0))))</f>
        <v/>
      </c>
      <c r="L799" s="24" t="str">
        <f aca="false">IF(AND($A799="",$B799=""),"",IF(ISNA(MATCH($A799,Activities!$A$2:$A$201,0)),"Unknown activity",IF(ISNA(MATCH($B799,Students!$A$2:$A$301,0)),"Unknown student",IF(D799="","No status",IF(COUNTIFS($A$2:$A$1001,$A799,$B$2:$B$1001,$B799)&gt;1,"Duplicate",IF(AND(D799&lt;&gt;"Withdrawn",G799&lt;&gt;"",COUNTIFS($B$2:$B$1001,$B799,$G$2:$G$1001,G799,$D$2:$D$1001,"&lt;&gt;Withdrawn")&gt;1),"Same-day clash","OK"))))))</f>
        <v/>
      </c>
    </row>
    <row r="800" customFormat="false" ht="15" hidden="false" customHeight="false" outlineLevel="0" collapsed="false">
      <c r="E800" s="26"/>
      <c r="G800" s="23" t="str">
        <f aca="false">IF($A800="","",IFERROR(IF(INDEX(Activities!$C$2:$C$201,MATCH($A800,Activities!$A$2:$A$201,0))="","",INDEX(Activities!$C$2:$C$201,MATCH($A800,Activities!$A$2:$A$201,0))),""))</f>
        <v/>
      </c>
      <c r="H800" s="24" t="str">
        <f aca="false">IF($A800="","",IFERROR(IF(INDEX(Activities!$B$2:$B$201,MATCH($A800,Activities!$A$2:$A$201,0))="","",INDEX(Activities!$B$2:$B$201,MATCH($A800,Activities!$A$2:$A$201,0))),""))</f>
        <v/>
      </c>
      <c r="I800" s="24" t="str">
        <f aca="false">IF($B800="","",IFERROR(IF(INDEX(Students!$C$2:$C$301,MATCH($B800,Students!$A$2:$A$301,0))="","",INDEX(Students!$C$2:$C$301,MATCH($B800,Students!$A$2:$A$301,0))),""))</f>
        <v/>
      </c>
      <c r="J800" s="24" t="str">
        <f aca="false">IF($B800="","",IFERROR(IF(INDEX(Students!$B$2:$B$301,MATCH($B800,Students!$A$2:$A$301,0))="","",INDEX(Students!$B$2:$B$301,MATCH($B800,Students!$A$2:$A$301,0))),""))</f>
        <v/>
      </c>
      <c r="K800" s="25" t="str">
        <f aca="false">IF($A800="","",IF(D800="Withdrawn",0,IF(E800&lt;&gt;"",N(E800),IFERROR(N(INDEX(Activities!$I$2:$I$201,MATCH($A800,Activities!$A$2:$A$201,0))),0))))</f>
        <v/>
      </c>
      <c r="L800" s="24" t="str">
        <f aca="false">IF(AND($A800="",$B800=""),"",IF(ISNA(MATCH($A800,Activities!$A$2:$A$201,0)),"Unknown activity",IF(ISNA(MATCH($B800,Students!$A$2:$A$301,0)),"Unknown student",IF(D800="","No status",IF(COUNTIFS($A$2:$A$1001,$A800,$B$2:$B$1001,$B800)&gt;1,"Duplicate",IF(AND(D800&lt;&gt;"Withdrawn",G800&lt;&gt;"",COUNTIFS($B$2:$B$1001,$B800,$G$2:$G$1001,G800,$D$2:$D$1001,"&lt;&gt;Withdrawn")&gt;1),"Same-day clash","OK"))))))</f>
        <v/>
      </c>
    </row>
    <row r="801" customFormat="false" ht="15" hidden="false" customHeight="false" outlineLevel="0" collapsed="false">
      <c r="E801" s="26"/>
      <c r="G801" s="23" t="str">
        <f aca="false">IF($A801="","",IFERROR(IF(INDEX(Activities!$C$2:$C$201,MATCH($A801,Activities!$A$2:$A$201,0))="","",INDEX(Activities!$C$2:$C$201,MATCH($A801,Activities!$A$2:$A$201,0))),""))</f>
        <v/>
      </c>
      <c r="H801" s="24" t="str">
        <f aca="false">IF($A801="","",IFERROR(IF(INDEX(Activities!$B$2:$B$201,MATCH($A801,Activities!$A$2:$A$201,0))="","",INDEX(Activities!$B$2:$B$201,MATCH($A801,Activities!$A$2:$A$201,0))),""))</f>
        <v/>
      </c>
      <c r="I801" s="24" t="str">
        <f aca="false">IF($B801="","",IFERROR(IF(INDEX(Students!$C$2:$C$301,MATCH($B801,Students!$A$2:$A$301,0))="","",INDEX(Students!$C$2:$C$301,MATCH($B801,Students!$A$2:$A$301,0))),""))</f>
        <v/>
      </c>
      <c r="J801" s="24" t="str">
        <f aca="false">IF($B801="","",IFERROR(IF(INDEX(Students!$B$2:$B$301,MATCH($B801,Students!$A$2:$A$301,0))="","",INDEX(Students!$B$2:$B$301,MATCH($B801,Students!$A$2:$A$301,0))),""))</f>
        <v/>
      </c>
      <c r="K801" s="25" t="str">
        <f aca="false">IF($A801="","",IF(D801="Withdrawn",0,IF(E801&lt;&gt;"",N(E801),IFERROR(N(INDEX(Activities!$I$2:$I$201,MATCH($A801,Activities!$A$2:$A$201,0))),0))))</f>
        <v/>
      </c>
      <c r="L801" s="24" t="str">
        <f aca="false">IF(AND($A801="",$B801=""),"",IF(ISNA(MATCH($A801,Activities!$A$2:$A$201,0)),"Unknown activity",IF(ISNA(MATCH($B801,Students!$A$2:$A$301,0)),"Unknown student",IF(D801="","No status",IF(COUNTIFS($A$2:$A$1001,$A801,$B$2:$B$1001,$B801)&gt;1,"Duplicate",IF(AND(D801&lt;&gt;"Withdrawn",G801&lt;&gt;"",COUNTIFS($B$2:$B$1001,$B801,$G$2:$G$1001,G801,$D$2:$D$1001,"&lt;&gt;Withdrawn")&gt;1),"Same-day clash","OK"))))))</f>
        <v/>
      </c>
    </row>
    <row r="802" customFormat="false" ht="15" hidden="false" customHeight="false" outlineLevel="0" collapsed="false">
      <c r="E802" s="26"/>
      <c r="G802" s="23" t="str">
        <f aca="false">IF($A802="","",IFERROR(IF(INDEX(Activities!$C$2:$C$201,MATCH($A802,Activities!$A$2:$A$201,0))="","",INDEX(Activities!$C$2:$C$201,MATCH($A802,Activities!$A$2:$A$201,0))),""))</f>
        <v/>
      </c>
      <c r="H802" s="24" t="str">
        <f aca="false">IF($A802="","",IFERROR(IF(INDEX(Activities!$B$2:$B$201,MATCH($A802,Activities!$A$2:$A$201,0))="","",INDEX(Activities!$B$2:$B$201,MATCH($A802,Activities!$A$2:$A$201,0))),""))</f>
        <v/>
      </c>
      <c r="I802" s="24" t="str">
        <f aca="false">IF($B802="","",IFERROR(IF(INDEX(Students!$C$2:$C$301,MATCH($B802,Students!$A$2:$A$301,0))="","",INDEX(Students!$C$2:$C$301,MATCH($B802,Students!$A$2:$A$301,0))),""))</f>
        <v/>
      </c>
      <c r="J802" s="24" t="str">
        <f aca="false">IF($B802="","",IFERROR(IF(INDEX(Students!$B$2:$B$301,MATCH($B802,Students!$A$2:$A$301,0))="","",INDEX(Students!$B$2:$B$301,MATCH($B802,Students!$A$2:$A$301,0))),""))</f>
        <v/>
      </c>
      <c r="K802" s="25" t="str">
        <f aca="false">IF($A802="","",IF(D802="Withdrawn",0,IF(E802&lt;&gt;"",N(E802),IFERROR(N(INDEX(Activities!$I$2:$I$201,MATCH($A802,Activities!$A$2:$A$201,0))),0))))</f>
        <v/>
      </c>
      <c r="L802" s="24" t="str">
        <f aca="false">IF(AND($A802="",$B802=""),"",IF(ISNA(MATCH($A802,Activities!$A$2:$A$201,0)),"Unknown activity",IF(ISNA(MATCH($B802,Students!$A$2:$A$301,0)),"Unknown student",IF(D802="","No status",IF(COUNTIFS($A$2:$A$1001,$A802,$B$2:$B$1001,$B802)&gt;1,"Duplicate",IF(AND(D802&lt;&gt;"Withdrawn",G802&lt;&gt;"",COUNTIFS($B$2:$B$1001,$B802,$G$2:$G$1001,G802,$D$2:$D$1001,"&lt;&gt;Withdrawn")&gt;1),"Same-day clash","OK"))))))</f>
        <v/>
      </c>
    </row>
    <row r="803" customFormat="false" ht="15" hidden="false" customHeight="false" outlineLevel="0" collapsed="false">
      <c r="E803" s="26"/>
      <c r="G803" s="23" t="str">
        <f aca="false">IF($A803="","",IFERROR(IF(INDEX(Activities!$C$2:$C$201,MATCH($A803,Activities!$A$2:$A$201,0))="","",INDEX(Activities!$C$2:$C$201,MATCH($A803,Activities!$A$2:$A$201,0))),""))</f>
        <v/>
      </c>
      <c r="H803" s="24" t="str">
        <f aca="false">IF($A803="","",IFERROR(IF(INDEX(Activities!$B$2:$B$201,MATCH($A803,Activities!$A$2:$A$201,0))="","",INDEX(Activities!$B$2:$B$201,MATCH($A803,Activities!$A$2:$A$201,0))),""))</f>
        <v/>
      </c>
      <c r="I803" s="24" t="str">
        <f aca="false">IF($B803="","",IFERROR(IF(INDEX(Students!$C$2:$C$301,MATCH($B803,Students!$A$2:$A$301,0))="","",INDEX(Students!$C$2:$C$301,MATCH($B803,Students!$A$2:$A$301,0))),""))</f>
        <v/>
      </c>
      <c r="J803" s="24" t="str">
        <f aca="false">IF($B803="","",IFERROR(IF(INDEX(Students!$B$2:$B$301,MATCH($B803,Students!$A$2:$A$301,0))="","",INDEX(Students!$B$2:$B$301,MATCH($B803,Students!$A$2:$A$301,0))),""))</f>
        <v/>
      </c>
      <c r="K803" s="25" t="str">
        <f aca="false">IF($A803="","",IF(D803="Withdrawn",0,IF(E803&lt;&gt;"",N(E803),IFERROR(N(INDEX(Activities!$I$2:$I$201,MATCH($A803,Activities!$A$2:$A$201,0))),0))))</f>
        <v/>
      </c>
      <c r="L803" s="24" t="str">
        <f aca="false">IF(AND($A803="",$B803=""),"",IF(ISNA(MATCH($A803,Activities!$A$2:$A$201,0)),"Unknown activity",IF(ISNA(MATCH($B803,Students!$A$2:$A$301,0)),"Unknown student",IF(D803="","No status",IF(COUNTIFS($A$2:$A$1001,$A803,$B$2:$B$1001,$B803)&gt;1,"Duplicate",IF(AND(D803&lt;&gt;"Withdrawn",G803&lt;&gt;"",COUNTIFS($B$2:$B$1001,$B803,$G$2:$G$1001,G803,$D$2:$D$1001,"&lt;&gt;Withdrawn")&gt;1),"Same-day clash","OK"))))))</f>
        <v/>
      </c>
    </row>
    <row r="804" customFormat="false" ht="15" hidden="false" customHeight="false" outlineLevel="0" collapsed="false">
      <c r="E804" s="26"/>
      <c r="G804" s="23" t="str">
        <f aca="false">IF($A804="","",IFERROR(IF(INDEX(Activities!$C$2:$C$201,MATCH($A804,Activities!$A$2:$A$201,0))="","",INDEX(Activities!$C$2:$C$201,MATCH($A804,Activities!$A$2:$A$201,0))),""))</f>
        <v/>
      </c>
      <c r="H804" s="24" t="str">
        <f aca="false">IF($A804="","",IFERROR(IF(INDEX(Activities!$B$2:$B$201,MATCH($A804,Activities!$A$2:$A$201,0))="","",INDEX(Activities!$B$2:$B$201,MATCH($A804,Activities!$A$2:$A$201,0))),""))</f>
        <v/>
      </c>
      <c r="I804" s="24" t="str">
        <f aca="false">IF($B804="","",IFERROR(IF(INDEX(Students!$C$2:$C$301,MATCH($B804,Students!$A$2:$A$301,0))="","",INDEX(Students!$C$2:$C$301,MATCH($B804,Students!$A$2:$A$301,0))),""))</f>
        <v/>
      </c>
      <c r="J804" s="24" t="str">
        <f aca="false">IF($B804="","",IFERROR(IF(INDEX(Students!$B$2:$B$301,MATCH($B804,Students!$A$2:$A$301,0))="","",INDEX(Students!$B$2:$B$301,MATCH($B804,Students!$A$2:$A$301,0))),""))</f>
        <v/>
      </c>
      <c r="K804" s="25" t="str">
        <f aca="false">IF($A804="","",IF(D804="Withdrawn",0,IF(E804&lt;&gt;"",N(E804),IFERROR(N(INDEX(Activities!$I$2:$I$201,MATCH($A804,Activities!$A$2:$A$201,0))),0))))</f>
        <v/>
      </c>
      <c r="L804" s="24" t="str">
        <f aca="false">IF(AND($A804="",$B804=""),"",IF(ISNA(MATCH($A804,Activities!$A$2:$A$201,0)),"Unknown activity",IF(ISNA(MATCH($B804,Students!$A$2:$A$301,0)),"Unknown student",IF(D804="","No status",IF(COUNTIFS($A$2:$A$1001,$A804,$B$2:$B$1001,$B804)&gt;1,"Duplicate",IF(AND(D804&lt;&gt;"Withdrawn",G804&lt;&gt;"",COUNTIFS($B$2:$B$1001,$B804,$G$2:$G$1001,G804,$D$2:$D$1001,"&lt;&gt;Withdrawn")&gt;1),"Same-day clash","OK"))))))</f>
        <v/>
      </c>
    </row>
    <row r="805" customFormat="false" ht="15" hidden="false" customHeight="false" outlineLevel="0" collapsed="false">
      <c r="E805" s="26"/>
      <c r="G805" s="23" t="str">
        <f aca="false">IF($A805="","",IFERROR(IF(INDEX(Activities!$C$2:$C$201,MATCH($A805,Activities!$A$2:$A$201,0))="","",INDEX(Activities!$C$2:$C$201,MATCH($A805,Activities!$A$2:$A$201,0))),""))</f>
        <v/>
      </c>
      <c r="H805" s="24" t="str">
        <f aca="false">IF($A805="","",IFERROR(IF(INDEX(Activities!$B$2:$B$201,MATCH($A805,Activities!$A$2:$A$201,0))="","",INDEX(Activities!$B$2:$B$201,MATCH($A805,Activities!$A$2:$A$201,0))),""))</f>
        <v/>
      </c>
      <c r="I805" s="24" t="str">
        <f aca="false">IF($B805="","",IFERROR(IF(INDEX(Students!$C$2:$C$301,MATCH($B805,Students!$A$2:$A$301,0))="","",INDEX(Students!$C$2:$C$301,MATCH($B805,Students!$A$2:$A$301,0))),""))</f>
        <v/>
      </c>
      <c r="J805" s="24" t="str">
        <f aca="false">IF($B805="","",IFERROR(IF(INDEX(Students!$B$2:$B$301,MATCH($B805,Students!$A$2:$A$301,0))="","",INDEX(Students!$B$2:$B$301,MATCH($B805,Students!$A$2:$A$301,0))),""))</f>
        <v/>
      </c>
      <c r="K805" s="25" t="str">
        <f aca="false">IF($A805="","",IF(D805="Withdrawn",0,IF(E805&lt;&gt;"",N(E805),IFERROR(N(INDEX(Activities!$I$2:$I$201,MATCH($A805,Activities!$A$2:$A$201,0))),0))))</f>
        <v/>
      </c>
      <c r="L805" s="24" t="str">
        <f aca="false">IF(AND($A805="",$B805=""),"",IF(ISNA(MATCH($A805,Activities!$A$2:$A$201,0)),"Unknown activity",IF(ISNA(MATCH($B805,Students!$A$2:$A$301,0)),"Unknown student",IF(D805="","No status",IF(COUNTIFS($A$2:$A$1001,$A805,$B$2:$B$1001,$B805)&gt;1,"Duplicate",IF(AND(D805&lt;&gt;"Withdrawn",G805&lt;&gt;"",COUNTIFS($B$2:$B$1001,$B805,$G$2:$G$1001,G805,$D$2:$D$1001,"&lt;&gt;Withdrawn")&gt;1),"Same-day clash","OK"))))))</f>
        <v/>
      </c>
    </row>
    <row r="806" customFormat="false" ht="15" hidden="false" customHeight="false" outlineLevel="0" collapsed="false">
      <c r="E806" s="26"/>
      <c r="G806" s="23" t="str">
        <f aca="false">IF($A806="","",IFERROR(IF(INDEX(Activities!$C$2:$C$201,MATCH($A806,Activities!$A$2:$A$201,0))="","",INDEX(Activities!$C$2:$C$201,MATCH($A806,Activities!$A$2:$A$201,0))),""))</f>
        <v/>
      </c>
      <c r="H806" s="24" t="str">
        <f aca="false">IF($A806="","",IFERROR(IF(INDEX(Activities!$B$2:$B$201,MATCH($A806,Activities!$A$2:$A$201,0))="","",INDEX(Activities!$B$2:$B$201,MATCH($A806,Activities!$A$2:$A$201,0))),""))</f>
        <v/>
      </c>
      <c r="I806" s="24" t="str">
        <f aca="false">IF($B806="","",IFERROR(IF(INDEX(Students!$C$2:$C$301,MATCH($B806,Students!$A$2:$A$301,0))="","",INDEX(Students!$C$2:$C$301,MATCH($B806,Students!$A$2:$A$301,0))),""))</f>
        <v/>
      </c>
      <c r="J806" s="24" t="str">
        <f aca="false">IF($B806="","",IFERROR(IF(INDEX(Students!$B$2:$B$301,MATCH($B806,Students!$A$2:$A$301,0))="","",INDEX(Students!$B$2:$B$301,MATCH($B806,Students!$A$2:$A$301,0))),""))</f>
        <v/>
      </c>
      <c r="K806" s="25" t="str">
        <f aca="false">IF($A806="","",IF(D806="Withdrawn",0,IF(E806&lt;&gt;"",N(E806),IFERROR(N(INDEX(Activities!$I$2:$I$201,MATCH($A806,Activities!$A$2:$A$201,0))),0))))</f>
        <v/>
      </c>
      <c r="L806" s="24" t="str">
        <f aca="false">IF(AND($A806="",$B806=""),"",IF(ISNA(MATCH($A806,Activities!$A$2:$A$201,0)),"Unknown activity",IF(ISNA(MATCH($B806,Students!$A$2:$A$301,0)),"Unknown student",IF(D806="","No status",IF(COUNTIFS($A$2:$A$1001,$A806,$B$2:$B$1001,$B806)&gt;1,"Duplicate",IF(AND(D806&lt;&gt;"Withdrawn",G806&lt;&gt;"",COUNTIFS($B$2:$B$1001,$B806,$G$2:$G$1001,G806,$D$2:$D$1001,"&lt;&gt;Withdrawn")&gt;1),"Same-day clash","OK"))))))</f>
        <v/>
      </c>
    </row>
    <row r="807" customFormat="false" ht="15" hidden="false" customHeight="false" outlineLevel="0" collapsed="false">
      <c r="E807" s="26"/>
      <c r="G807" s="23" t="str">
        <f aca="false">IF($A807="","",IFERROR(IF(INDEX(Activities!$C$2:$C$201,MATCH($A807,Activities!$A$2:$A$201,0))="","",INDEX(Activities!$C$2:$C$201,MATCH($A807,Activities!$A$2:$A$201,0))),""))</f>
        <v/>
      </c>
      <c r="H807" s="24" t="str">
        <f aca="false">IF($A807="","",IFERROR(IF(INDEX(Activities!$B$2:$B$201,MATCH($A807,Activities!$A$2:$A$201,0))="","",INDEX(Activities!$B$2:$B$201,MATCH($A807,Activities!$A$2:$A$201,0))),""))</f>
        <v/>
      </c>
      <c r="I807" s="24" t="str">
        <f aca="false">IF($B807="","",IFERROR(IF(INDEX(Students!$C$2:$C$301,MATCH($B807,Students!$A$2:$A$301,0))="","",INDEX(Students!$C$2:$C$301,MATCH($B807,Students!$A$2:$A$301,0))),""))</f>
        <v/>
      </c>
      <c r="J807" s="24" t="str">
        <f aca="false">IF($B807="","",IFERROR(IF(INDEX(Students!$B$2:$B$301,MATCH($B807,Students!$A$2:$A$301,0))="","",INDEX(Students!$B$2:$B$301,MATCH($B807,Students!$A$2:$A$301,0))),""))</f>
        <v/>
      </c>
      <c r="K807" s="25" t="str">
        <f aca="false">IF($A807="","",IF(D807="Withdrawn",0,IF(E807&lt;&gt;"",N(E807),IFERROR(N(INDEX(Activities!$I$2:$I$201,MATCH($A807,Activities!$A$2:$A$201,0))),0))))</f>
        <v/>
      </c>
      <c r="L807" s="24" t="str">
        <f aca="false">IF(AND($A807="",$B807=""),"",IF(ISNA(MATCH($A807,Activities!$A$2:$A$201,0)),"Unknown activity",IF(ISNA(MATCH($B807,Students!$A$2:$A$301,0)),"Unknown student",IF(D807="","No status",IF(COUNTIFS($A$2:$A$1001,$A807,$B$2:$B$1001,$B807)&gt;1,"Duplicate",IF(AND(D807&lt;&gt;"Withdrawn",G807&lt;&gt;"",COUNTIFS($B$2:$B$1001,$B807,$G$2:$G$1001,G807,$D$2:$D$1001,"&lt;&gt;Withdrawn")&gt;1),"Same-day clash","OK"))))))</f>
        <v/>
      </c>
    </row>
    <row r="808" customFormat="false" ht="15" hidden="false" customHeight="false" outlineLevel="0" collapsed="false">
      <c r="E808" s="26"/>
      <c r="G808" s="23" t="str">
        <f aca="false">IF($A808="","",IFERROR(IF(INDEX(Activities!$C$2:$C$201,MATCH($A808,Activities!$A$2:$A$201,0))="","",INDEX(Activities!$C$2:$C$201,MATCH($A808,Activities!$A$2:$A$201,0))),""))</f>
        <v/>
      </c>
      <c r="H808" s="24" t="str">
        <f aca="false">IF($A808="","",IFERROR(IF(INDEX(Activities!$B$2:$B$201,MATCH($A808,Activities!$A$2:$A$201,0))="","",INDEX(Activities!$B$2:$B$201,MATCH($A808,Activities!$A$2:$A$201,0))),""))</f>
        <v/>
      </c>
      <c r="I808" s="24" t="str">
        <f aca="false">IF($B808="","",IFERROR(IF(INDEX(Students!$C$2:$C$301,MATCH($B808,Students!$A$2:$A$301,0))="","",INDEX(Students!$C$2:$C$301,MATCH($B808,Students!$A$2:$A$301,0))),""))</f>
        <v/>
      </c>
      <c r="J808" s="24" t="str">
        <f aca="false">IF($B808="","",IFERROR(IF(INDEX(Students!$B$2:$B$301,MATCH($B808,Students!$A$2:$A$301,0))="","",INDEX(Students!$B$2:$B$301,MATCH($B808,Students!$A$2:$A$301,0))),""))</f>
        <v/>
      </c>
      <c r="K808" s="25" t="str">
        <f aca="false">IF($A808="","",IF(D808="Withdrawn",0,IF(E808&lt;&gt;"",N(E808),IFERROR(N(INDEX(Activities!$I$2:$I$201,MATCH($A808,Activities!$A$2:$A$201,0))),0))))</f>
        <v/>
      </c>
      <c r="L808" s="24" t="str">
        <f aca="false">IF(AND($A808="",$B808=""),"",IF(ISNA(MATCH($A808,Activities!$A$2:$A$201,0)),"Unknown activity",IF(ISNA(MATCH($B808,Students!$A$2:$A$301,0)),"Unknown student",IF(D808="","No status",IF(COUNTIFS($A$2:$A$1001,$A808,$B$2:$B$1001,$B808)&gt;1,"Duplicate",IF(AND(D808&lt;&gt;"Withdrawn",G808&lt;&gt;"",COUNTIFS($B$2:$B$1001,$B808,$G$2:$G$1001,G808,$D$2:$D$1001,"&lt;&gt;Withdrawn")&gt;1),"Same-day clash","OK"))))))</f>
        <v/>
      </c>
    </row>
    <row r="809" customFormat="false" ht="15" hidden="false" customHeight="false" outlineLevel="0" collapsed="false">
      <c r="E809" s="26"/>
      <c r="G809" s="23" t="str">
        <f aca="false">IF($A809="","",IFERROR(IF(INDEX(Activities!$C$2:$C$201,MATCH($A809,Activities!$A$2:$A$201,0))="","",INDEX(Activities!$C$2:$C$201,MATCH($A809,Activities!$A$2:$A$201,0))),""))</f>
        <v/>
      </c>
      <c r="H809" s="24" t="str">
        <f aca="false">IF($A809="","",IFERROR(IF(INDEX(Activities!$B$2:$B$201,MATCH($A809,Activities!$A$2:$A$201,0))="","",INDEX(Activities!$B$2:$B$201,MATCH($A809,Activities!$A$2:$A$201,0))),""))</f>
        <v/>
      </c>
      <c r="I809" s="24" t="str">
        <f aca="false">IF($B809="","",IFERROR(IF(INDEX(Students!$C$2:$C$301,MATCH($B809,Students!$A$2:$A$301,0))="","",INDEX(Students!$C$2:$C$301,MATCH($B809,Students!$A$2:$A$301,0))),""))</f>
        <v/>
      </c>
      <c r="J809" s="24" t="str">
        <f aca="false">IF($B809="","",IFERROR(IF(INDEX(Students!$B$2:$B$301,MATCH($B809,Students!$A$2:$A$301,0))="","",INDEX(Students!$B$2:$B$301,MATCH($B809,Students!$A$2:$A$301,0))),""))</f>
        <v/>
      </c>
      <c r="K809" s="25" t="str">
        <f aca="false">IF($A809="","",IF(D809="Withdrawn",0,IF(E809&lt;&gt;"",N(E809),IFERROR(N(INDEX(Activities!$I$2:$I$201,MATCH($A809,Activities!$A$2:$A$201,0))),0))))</f>
        <v/>
      </c>
      <c r="L809" s="24" t="str">
        <f aca="false">IF(AND($A809="",$B809=""),"",IF(ISNA(MATCH($A809,Activities!$A$2:$A$201,0)),"Unknown activity",IF(ISNA(MATCH($B809,Students!$A$2:$A$301,0)),"Unknown student",IF(D809="","No status",IF(COUNTIFS($A$2:$A$1001,$A809,$B$2:$B$1001,$B809)&gt;1,"Duplicate",IF(AND(D809&lt;&gt;"Withdrawn",G809&lt;&gt;"",COUNTIFS($B$2:$B$1001,$B809,$G$2:$G$1001,G809,$D$2:$D$1001,"&lt;&gt;Withdrawn")&gt;1),"Same-day clash","OK"))))))</f>
        <v/>
      </c>
    </row>
    <row r="810" customFormat="false" ht="15" hidden="false" customHeight="false" outlineLevel="0" collapsed="false">
      <c r="E810" s="26"/>
      <c r="G810" s="23" t="str">
        <f aca="false">IF($A810="","",IFERROR(IF(INDEX(Activities!$C$2:$C$201,MATCH($A810,Activities!$A$2:$A$201,0))="","",INDEX(Activities!$C$2:$C$201,MATCH($A810,Activities!$A$2:$A$201,0))),""))</f>
        <v/>
      </c>
      <c r="H810" s="24" t="str">
        <f aca="false">IF($A810="","",IFERROR(IF(INDEX(Activities!$B$2:$B$201,MATCH($A810,Activities!$A$2:$A$201,0))="","",INDEX(Activities!$B$2:$B$201,MATCH($A810,Activities!$A$2:$A$201,0))),""))</f>
        <v/>
      </c>
      <c r="I810" s="24" t="str">
        <f aca="false">IF($B810="","",IFERROR(IF(INDEX(Students!$C$2:$C$301,MATCH($B810,Students!$A$2:$A$301,0))="","",INDEX(Students!$C$2:$C$301,MATCH($B810,Students!$A$2:$A$301,0))),""))</f>
        <v/>
      </c>
      <c r="J810" s="24" t="str">
        <f aca="false">IF($B810="","",IFERROR(IF(INDEX(Students!$B$2:$B$301,MATCH($B810,Students!$A$2:$A$301,0))="","",INDEX(Students!$B$2:$B$301,MATCH($B810,Students!$A$2:$A$301,0))),""))</f>
        <v/>
      </c>
      <c r="K810" s="25" t="str">
        <f aca="false">IF($A810="","",IF(D810="Withdrawn",0,IF(E810&lt;&gt;"",N(E810),IFERROR(N(INDEX(Activities!$I$2:$I$201,MATCH($A810,Activities!$A$2:$A$201,0))),0))))</f>
        <v/>
      </c>
      <c r="L810" s="24" t="str">
        <f aca="false">IF(AND($A810="",$B810=""),"",IF(ISNA(MATCH($A810,Activities!$A$2:$A$201,0)),"Unknown activity",IF(ISNA(MATCH($B810,Students!$A$2:$A$301,0)),"Unknown student",IF(D810="","No status",IF(COUNTIFS($A$2:$A$1001,$A810,$B$2:$B$1001,$B810)&gt;1,"Duplicate",IF(AND(D810&lt;&gt;"Withdrawn",G810&lt;&gt;"",COUNTIFS($B$2:$B$1001,$B810,$G$2:$G$1001,G810,$D$2:$D$1001,"&lt;&gt;Withdrawn")&gt;1),"Same-day clash","OK"))))))</f>
        <v/>
      </c>
    </row>
    <row r="811" customFormat="false" ht="15" hidden="false" customHeight="false" outlineLevel="0" collapsed="false">
      <c r="E811" s="26"/>
      <c r="G811" s="23" t="str">
        <f aca="false">IF($A811="","",IFERROR(IF(INDEX(Activities!$C$2:$C$201,MATCH($A811,Activities!$A$2:$A$201,0))="","",INDEX(Activities!$C$2:$C$201,MATCH($A811,Activities!$A$2:$A$201,0))),""))</f>
        <v/>
      </c>
      <c r="H811" s="24" t="str">
        <f aca="false">IF($A811="","",IFERROR(IF(INDEX(Activities!$B$2:$B$201,MATCH($A811,Activities!$A$2:$A$201,0))="","",INDEX(Activities!$B$2:$B$201,MATCH($A811,Activities!$A$2:$A$201,0))),""))</f>
        <v/>
      </c>
      <c r="I811" s="24" t="str">
        <f aca="false">IF($B811="","",IFERROR(IF(INDEX(Students!$C$2:$C$301,MATCH($B811,Students!$A$2:$A$301,0))="","",INDEX(Students!$C$2:$C$301,MATCH($B811,Students!$A$2:$A$301,0))),""))</f>
        <v/>
      </c>
      <c r="J811" s="24" t="str">
        <f aca="false">IF($B811="","",IFERROR(IF(INDEX(Students!$B$2:$B$301,MATCH($B811,Students!$A$2:$A$301,0))="","",INDEX(Students!$B$2:$B$301,MATCH($B811,Students!$A$2:$A$301,0))),""))</f>
        <v/>
      </c>
      <c r="K811" s="25" t="str">
        <f aca="false">IF($A811="","",IF(D811="Withdrawn",0,IF(E811&lt;&gt;"",N(E811),IFERROR(N(INDEX(Activities!$I$2:$I$201,MATCH($A811,Activities!$A$2:$A$201,0))),0))))</f>
        <v/>
      </c>
      <c r="L811" s="24" t="str">
        <f aca="false">IF(AND($A811="",$B811=""),"",IF(ISNA(MATCH($A811,Activities!$A$2:$A$201,0)),"Unknown activity",IF(ISNA(MATCH($B811,Students!$A$2:$A$301,0)),"Unknown student",IF(D811="","No status",IF(COUNTIFS($A$2:$A$1001,$A811,$B$2:$B$1001,$B811)&gt;1,"Duplicate",IF(AND(D811&lt;&gt;"Withdrawn",G811&lt;&gt;"",COUNTIFS($B$2:$B$1001,$B811,$G$2:$G$1001,G811,$D$2:$D$1001,"&lt;&gt;Withdrawn")&gt;1),"Same-day clash","OK"))))))</f>
        <v/>
      </c>
    </row>
    <row r="812" customFormat="false" ht="15" hidden="false" customHeight="false" outlineLevel="0" collapsed="false">
      <c r="E812" s="26"/>
      <c r="G812" s="23" t="str">
        <f aca="false">IF($A812="","",IFERROR(IF(INDEX(Activities!$C$2:$C$201,MATCH($A812,Activities!$A$2:$A$201,0))="","",INDEX(Activities!$C$2:$C$201,MATCH($A812,Activities!$A$2:$A$201,0))),""))</f>
        <v/>
      </c>
      <c r="H812" s="24" t="str">
        <f aca="false">IF($A812="","",IFERROR(IF(INDEX(Activities!$B$2:$B$201,MATCH($A812,Activities!$A$2:$A$201,0))="","",INDEX(Activities!$B$2:$B$201,MATCH($A812,Activities!$A$2:$A$201,0))),""))</f>
        <v/>
      </c>
      <c r="I812" s="24" t="str">
        <f aca="false">IF($B812="","",IFERROR(IF(INDEX(Students!$C$2:$C$301,MATCH($B812,Students!$A$2:$A$301,0))="","",INDEX(Students!$C$2:$C$301,MATCH($B812,Students!$A$2:$A$301,0))),""))</f>
        <v/>
      </c>
      <c r="J812" s="24" t="str">
        <f aca="false">IF($B812="","",IFERROR(IF(INDEX(Students!$B$2:$B$301,MATCH($B812,Students!$A$2:$A$301,0))="","",INDEX(Students!$B$2:$B$301,MATCH($B812,Students!$A$2:$A$301,0))),""))</f>
        <v/>
      </c>
      <c r="K812" s="25" t="str">
        <f aca="false">IF($A812="","",IF(D812="Withdrawn",0,IF(E812&lt;&gt;"",N(E812),IFERROR(N(INDEX(Activities!$I$2:$I$201,MATCH($A812,Activities!$A$2:$A$201,0))),0))))</f>
        <v/>
      </c>
      <c r="L812" s="24" t="str">
        <f aca="false">IF(AND($A812="",$B812=""),"",IF(ISNA(MATCH($A812,Activities!$A$2:$A$201,0)),"Unknown activity",IF(ISNA(MATCH($B812,Students!$A$2:$A$301,0)),"Unknown student",IF(D812="","No status",IF(COUNTIFS($A$2:$A$1001,$A812,$B$2:$B$1001,$B812)&gt;1,"Duplicate",IF(AND(D812&lt;&gt;"Withdrawn",G812&lt;&gt;"",COUNTIFS($B$2:$B$1001,$B812,$G$2:$G$1001,G812,$D$2:$D$1001,"&lt;&gt;Withdrawn")&gt;1),"Same-day clash","OK"))))))</f>
        <v/>
      </c>
    </row>
    <row r="813" customFormat="false" ht="15" hidden="false" customHeight="false" outlineLevel="0" collapsed="false">
      <c r="E813" s="26"/>
      <c r="G813" s="23" t="str">
        <f aca="false">IF($A813="","",IFERROR(IF(INDEX(Activities!$C$2:$C$201,MATCH($A813,Activities!$A$2:$A$201,0))="","",INDEX(Activities!$C$2:$C$201,MATCH($A813,Activities!$A$2:$A$201,0))),""))</f>
        <v/>
      </c>
      <c r="H813" s="24" t="str">
        <f aca="false">IF($A813="","",IFERROR(IF(INDEX(Activities!$B$2:$B$201,MATCH($A813,Activities!$A$2:$A$201,0))="","",INDEX(Activities!$B$2:$B$201,MATCH($A813,Activities!$A$2:$A$201,0))),""))</f>
        <v/>
      </c>
      <c r="I813" s="24" t="str">
        <f aca="false">IF($B813="","",IFERROR(IF(INDEX(Students!$C$2:$C$301,MATCH($B813,Students!$A$2:$A$301,0))="","",INDEX(Students!$C$2:$C$301,MATCH($B813,Students!$A$2:$A$301,0))),""))</f>
        <v/>
      </c>
      <c r="J813" s="24" t="str">
        <f aca="false">IF($B813="","",IFERROR(IF(INDEX(Students!$B$2:$B$301,MATCH($B813,Students!$A$2:$A$301,0))="","",INDEX(Students!$B$2:$B$301,MATCH($B813,Students!$A$2:$A$301,0))),""))</f>
        <v/>
      </c>
      <c r="K813" s="25" t="str">
        <f aca="false">IF($A813="","",IF(D813="Withdrawn",0,IF(E813&lt;&gt;"",N(E813),IFERROR(N(INDEX(Activities!$I$2:$I$201,MATCH($A813,Activities!$A$2:$A$201,0))),0))))</f>
        <v/>
      </c>
      <c r="L813" s="24" t="str">
        <f aca="false">IF(AND($A813="",$B813=""),"",IF(ISNA(MATCH($A813,Activities!$A$2:$A$201,0)),"Unknown activity",IF(ISNA(MATCH($B813,Students!$A$2:$A$301,0)),"Unknown student",IF(D813="","No status",IF(COUNTIFS($A$2:$A$1001,$A813,$B$2:$B$1001,$B813)&gt;1,"Duplicate",IF(AND(D813&lt;&gt;"Withdrawn",G813&lt;&gt;"",COUNTIFS($B$2:$B$1001,$B813,$G$2:$G$1001,G813,$D$2:$D$1001,"&lt;&gt;Withdrawn")&gt;1),"Same-day clash","OK"))))))</f>
        <v/>
      </c>
    </row>
    <row r="814" customFormat="false" ht="15" hidden="false" customHeight="false" outlineLevel="0" collapsed="false">
      <c r="E814" s="26"/>
      <c r="G814" s="23" t="str">
        <f aca="false">IF($A814="","",IFERROR(IF(INDEX(Activities!$C$2:$C$201,MATCH($A814,Activities!$A$2:$A$201,0))="","",INDEX(Activities!$C$2:$C$201,MATCH($A814,Activities!$A$2:$A$201,0))),""))</f>
        <v/>
      </c>
      <c r="H814" s="24" t="str">
        <f aca="false">IF($A814="","",IFERROR(IF(INDEX(Activities!$B$2:$B$201,MATCH($A814,Activities!$A$2:$A$201,0))="","",INDEX(Activities!$B$2:$B$201,MATCH($A814,Activities!$A$2:$A$201,0))),""))</f>
        <v/>
      </c>
      <c r="I814" s="24" t="str">
        <f aca="false">IF($B814="","",IFERROR(IF(INDEX(Students!$C$2:$C$301,MATCH($B814,Students!$A$2:$A$301,0))="","",INDEX(Students!$C$2:$C$301,MATCH($B814,Students!$A$2:$A$301,0))),""))</f>
        <v/>
      </c>
      <c r="J814" s="24" t="str">
        <f aca="false">IF($B814="","",IFERROR(IF(INDEX(Students!$B$2:$B$301,MATCH($B814,Students!$A$2:$A$301,0))="","",INDEX(Students!$B$2:$B$301,MATCH($B814,Students!$A$2:$A$301,0))),""))</f>
        <v/>
      </c>
      <c r="K814" s="25" t="str">
        <f aca="false">IF($A814="","",IF(D814="Withdrawn",0,IF(E814&lt;&gt;"",N(E814),IFERROR(N(INDEX(Activities!$I$2:$I$201,MATCH($A814,Activities!$A$2:$A$201,0))),0))))</f>
        <v/>
      </c>
      <c r="L814" s="24" t="str">
        <f aca="false">IF(AND($A814="",$B814=""),"",IF(ISNA(MATCH($A814,Activities!$A$2:$A$201,0)),"Unknown activity",IF(ISNA(MATCH($B814,Students!$A$2:$A$301,0)),"Unknown student",IF(D814="","No status",IF(COUNTIFS($A$2:$A$1001,$A814,$B$2:$B$1001,$B814)&gt;1,"Duplicate",IF(AND(D814&lt;&gt;"Withdrawn",G814&lt;&gt;"",COUNTIFS($B$2:$B$1001,$B814,$G$2:$G$1001,G814,$D$2:$D$1001,"&lt;&gt;Withdrawn")&gt;1),"Same-day clash","OK"))))))</f>
        <v/>
      </c>
    </row>
    <row r="815" customFormat="false" ht="15" hidden="false" customHeight="false" outlineLevel="0" collapsed="false">
      <c r="E815" s="26"/>
      <c r="G815" s="23" t="str">
        <f aca="false">IF($A815="","",IFERROR(IF(INDEX(Activities!$C$2:$C$201,MATCH($A815,Activities!$A$2:$A$201,0))="","",INDEX(Activities!$C$2:$C$201,MATCH($A815,Activities!$A$2:$A$201,0))),""))</f>
        <v/>
      </c>
      <c r="H815" s="24" t="str">
        <f aca="false">IF($A815="","",IFERROR(IF(INDEX(Activities!$B$2:$B$201,MATCH($A815,Activities!$A$2:$A$201,0))="","",INDEX(Activities!$B$2:$B$201,MATCH($A815,Activities!$A$2:$A$201,0))),""))</f>
        <v/>
      </c>
      <c r="I815" s="24" t="str">
        <f aca="false">IF($B815="","",IFERROR(IF(INDEX(Students!$C$2:$C$301,MATCH($B815,Students!$A$2:$A$301,0))="","",INDEX(Students!$C$2:$C$301,MATCH($B815,Students!$A$2:$A$301,0))),""))</f>
        <v/>
      </c>
      <c r="J815" s="24" t="str">
        <f aca="false">IF($B815="","",IFERROR(IF(INDEX(Students!$B$2:$B$301,MATCH($B815,Students!$A$2:$A$301,0))="","",INDEX(Students!$B$2:$B$301,MATCH($B815,Students!$A$2:$A$301,0))),""))</f>
        <v/>
      </c>
      <c r="K815" s="25" t="str">
        <f aca="false">IF($A815="","",IF(D815="Withdrawn",0,IF(E815&lt;&gt;"",N(E815),IFERROR(N(INDEX(Activities!$I$2:$I$201,MATCH($A815,Activities!$A$2:$A$201,0))),0))))</f>
        <v/>
      </c>
      <c r="L815" s="24" t="str">
        <f aca="false">IF(AND($A815="",$B815=""),"",IF(ISNA(MATCH($A815,Activities!$A$2:$A$201,0)),"Unknown activity",IF(ISNA(MATCH($B815,Students!$A$2:$A$301,0)),"Unknown student",IF(D815="","No status",IF(COUNTIFS($A$2:$A$1001,$A815,$B$2:$B$1001,$B815)&gt;1,"Duplicate",IF(AND(D815&lt;&gt;"Withdrawn",G815&lt;&gt;"",COUNTIFS($B$2:$B$1001,$B815,$G$2:$G$1001,G815,$D$2:$D$1001,"&lt;&gt;Withdrawn")&gt;1),"Same-day clash","OK"))))))</f>
        <v/>
      </c>
    </row>
    <row r="816" customFormat="false" ht="15" hidden="false" customHeight="false" outlineLevel="0" collapsed="false">
      <c r="E816" s="26"/>
      <c r="G816" s="23" t="str">
        <f aca="false">IF($A816="","",IFERROR(IF(INDEX(Activities!$C$2:$C$201,MATCH($A816,Activities!$A$2:$A$201,0))="","",INDEX(Activities!$C$2:$C$201,MATCH($A816,Activities!$A$2:$A$201,0))),""))</f>
        <v/>
      </c>
      <c r="H816" s="24" t="str">
        <f aca="false">IF($A816="","",IFERROR(IF(INDEX(Activities!$B$2:$B$201,MATCH($A816,Activities!$A$2:$A$201,0))="","",INDEX(Activities!$B$2:$B$201,MATCH($A816,Activities!$A$2:$A$201,0))),""))</f>
        <v/>
      </c>
      <c r="I816" s="24" t="str">
        <f aca="false">IF($B816="","",IFERROR(IF(INDEX(Students!$C$2:$C$301,MATCH($B816,Students!$A$2:$A$301,0))="","",INDEX(Students!$C$2:$C$301,MATCH($B816,Students!$A$2:$A$301,0))),""))</f>
        <v/>
      </c>
      <c r="J816" s="24" t="str">
        <f aca="false">IF($B816="","",IFERROR(IF(INDEX(Students!$B$2:$B$301,MATCH($B816,Students!$A$2:$A$301,0))="","",INDEX(Students!$B$2:$B$301,MATCH($B816,Students!$A$2:$A$301,0))),""))</f>
        <v/>
      </c>
      <c r="K816" s="25" t="str">
        <f aca="false">IF($A816="","",IF(D816="Withdrawn",0,IF(E816&lt;&gt;"",N(E816),IFERROR(N(INDEX(Activities!$I$2:$I$201,MATCH($A816,Activities!$A$2:$A$201,0))),0))))</f>
        <v/>
      </c>
      <c r="L816" s="24" t="str">
        <f aca="false">IF(AND($A816="",$B816=""),"",IF(ISNA(MATCH($A816,Activities!$A$2:$A$201,0)),"Unknown activity",IF(ISNA(MATCH($B816,Students!$A$2:$A$301,0)),"Unknown student",IF(D816="","No status",IF(COUNTIFS($A$2:$A$1001,$A816,$B$2:$B$1001,$B816)&gt;1,"Duplicate",IF(AND(D816&lt;&gt;"Withdrawn",G816&lt;&gt;"",COUNTIFS($B$2:$B$1001,$B816,$G$2:$G$1001,G816,$D$2:$D$1001,"&lt;&gt;Withdrawn")&gt;1),"Same-day clash","OK"))))))</f>
        <v/>
      </c>
    </row>
    <row r="817" customFormat="false" ht="15" hidden="false" customHeight="false" outlineLevel="0" collapsed="false">
      <c r="E817" s="26"/>
      <c r="G817" s="23" t="str">
        <f aca="false">IF($A817="","",IFERROR(IF(INDEX(Activities!$C$2:$C$201,MATCH($A817,Activities!$A$2:$A$201,0))="","",INDEX(Activities!$C$2:$C$201,MATCH($A817,Activities!$A$2:$A$201,0))),""))</f>
        <v/>
      </c>
      <c r="H817" s="24" t="str">
        <f aca="false">IF($A817="","",IFERROR(IF(INDEX(Activities!$B$2:$B$201,MATCH($A817,Activities!$A$2:$A$201,0))="","",INDEX(Activities!$B$2:$B$201,MATCH($A817,Activities!$A$2:$A$201,0))),""))</f>
        <v/>
      </c>
      <c r="I817" s="24" t="str">
        <f aca="false">IF($B817="","",IFERROR(IF(INDEX(Students!$C$2:$C$301,MATCH($B817,Students!$A$2:$A$301,0))="","",INDEX(Students!$C$2:$C$301,MATCH($B817,Students!$A$2:$A$301,0))),""))</f>
        <v/>
      </c>
      <c r="J817" s="24" t="str">
        <f aca="false">IF($B817="","",IFERROR(IF(INDEX(Students!$B$2:$B$301,MATCH($B817,Students!$A$2:$A$301,0))="","",INDEX(Students!$B$2:$B$301,MATCH($B817,Students!$A$2:$A$301,0))),""))</f>
        <v/>
      </c>
      <c r="K817" s="25" t="str">
        <f aca="false">IF($A817="","",IF(D817="Withdrawn",0,IF(E817&lt;&gt;"",N(E817),IFERROR(N(INDEX(Activities!$I$2:$I$201,MATCH($A817,Activities!$A$2:$A$201,0))),0))))</f>
        <v/>
      </c>
      <c r="L817" s="24" t="str">
        <f aca="false">IF(AND($A817="",$B817=""),"",IF(ISNA(MATCH($A817,Activities!$A$2:$A$201,0)),"Unknown activity",IF(ISNA(MATCH($B817,Students!$A$2:$A$301,0)),"Unknown student",IF(D817="","No status",IF(COUNTIFS($A$2:$A$1001,$A817,$B$2:$B$1001,$B817)&gt;1,"Duplicate",IF(AND(D817&lt;&gt;"Withdrawn",G817&lt;&gt;"",COUNTIFS($B$2:$B$1001,$B817,$G$2:$G$1001,G817,$D$2:$D$1001,"&lt;&gt;Withdrawn")&gt;1),"Same-day clash","OK"))))))</f>
        <v/>
      </c>
    </row>
    <row r="818" customFormat="false" ht="15" hidden="false" customHeight="false" outlineLevel="0" collapsed="false">
      <c r="E818" s="26"/>
      <c r="G818" s="23" t="str">
        <f aca="false">IF($A818="","",IFERROR(IF(INDEX(Activities!$C$2:$C$201,MATCH($A818,Activities!$A$2:$A$201,0))="","",INDEX(Activities!$C$2:$C$201,MATCH($A818,Activities!$A$2:$A$201,0))),""))</f>
        <v/>
      </c>
      <c r="H818" s="24" t="str">
        <f aca="false">IF($A818="","",IFERROR(IF(INDEX(Activities!$B$2:$B$201,MATCH($A818,Activities!$A$2:$A$201,0))="","",INDEX(Activities!$B$2:$B$201,MATCH($A818,Activities!$A$2:$A$201,0))),""))</f>
        <v/>
      </c>
      <c r="I818" s="24" t="str">
        <f aca="false">IF($B818="","",IFERROR(IF(INDEX(Students!$C$2:$C$301,MATCH($B818,Students!$A$2:$A$301,0))="","",INDEX(Students!$C$2:$C$301,MATCH($B818,Students!$A$2:$A$301,0))),""))</f>
        <v/>
      </c>
      <c r="J818" s="24" t="str">
        <f aca="false">IF($B818="","",IFERROR(IF(INDEX(Students!$B$2:$B$301,MATCH($B818,Students!$A$2:$A$301,0))="","",INDEX(Students!$B$2:$B$301,MATCH($B818,Students!$A$2:$A$301,0))),""))</f>
        <v/>
      </c>
      <c r="K818" s="25" t="str">
        <f aca="false">IF($A818="","",IF(D818="Withdrawn",0,IF(E818&lt;&gt;"",N(E818),IFERROR(N(INDEX(Activities!$I$2:$I$201,MATCH($A818,Activities!$A$2:$A$201,0))),0))))</f>
        <v/>
      </c>
      <c r="L818" s="24" t="str">
        <f aca="false">IF(AND($A818="",$B818=""),"",IF(ISNA(MATCH($A818,Activities!$A$2:$A$201,0)),"Unknown activity",IF(ISNA(MATCH($B818,Students!$A$2:$A$301,0)),"Unknown student",IF(D818="","No status",IF(COUNTIFS($A$2:$A$1001,$A818,$B$2:$B$1001,$B818)&gt;1,"Duplicate",IF(AND(D818&lt;&gt;"Withdrawn",G818&lt;&gt;"",COUNTIFS($B$2:$B$1001,$B818,$G$2:$G$1001,G818,$D$2:$D$1001,"&lt;&gt;Withdrawn")&gt;1),"Same-day clash","OK"))))))</f>
        <v/>
      </c>
    </row>
    <row r="819" customFormat="false" ht="15" hidden="false" customHeight="false" outlineLevel="0" collapsed="false">
      <c r="E819" s="26"/>
      <c r="G819" s="23" t="str">
        <f aca="false">IF($A819="","",IFERROR(IF(INDEX(Activities!$C$2:$C$201,MATCH($A819,Activities!$A$2:$A$201,0))="","",INDEX(Activities!$C$2:$C$201,MATCH($A819,Activities!$A$2:$A$201,0))),""))</f>
        <v/>
      </c>
      <c r="H819" s="24" t="str">
        <f aca="false">IF($A819="","",IFERROR(IF(INDEX(Activities!$B$2:$B$201,MATCH($A819,Activities!$A$2:$A$201,0))="","",INDEX(Activities!$B$2:$B$201,MATCH($A819,Activities!$A$2:$A$201,0))),""))</f>
        <v/>
      </c>
      <c r="I819" s="24" t="str">
        <f aca="false">IF($B819="","",IFERROR(IF(INDEX(Students!$C$2:$C$301,MATCH($B819,Students!$A$2:$A$301,0))="","",INDEX(Students!$C$2:$C$301,MATCH($B819,Students!$A$2:$A$301,0))),""))</f>
        <v/>
      </c>
      <c r="J819" s="24" t="str">
        <f aca="false">IF($B819="","",IFERROR(IF(INDEX(Students!$B$2:$B$301,MATCH($B819,Students!$A$2:$A$301,0))="","",INDEX(Students!$B$2:$B$301,MATCH($B819,Students!$A$2:$A$301,0))),""))</f>
        <v/>
      </c>
      <c r="K819" s="25" t="str">
        <f aca="false">IF($A819="","",IF(D819="Withdrawn",0,IF(E819&lt;&gt;"",N(E819),IFERROR(N(INDEX(Activities!$I$2:$I$201,MATCH($A819,Activities!$A$2:$A$201,0))),0))))</f>
        <v/>
      </c>
      <c r="L819" s="24" t="str">
        <f aca="false">IF(AND($A819="",$B819=""),"",IF(ISNA(MATCH($A819,Activities!$A$2:$A$201,0)),"Unknown activity",IF(ISNA(MATCH($B819,Students!$A$2:$A$301,0)),"Unknown student",IF(D819="","No status",IF(COUNTIFS($A$2:$A$1001,$A819,$B$2:$B$1001,$B819)&gt;1,"Duplicate",IF(AND(D819&lt;&gt;"Withdrawn",G819&lt;&gt;"",COUNTIFS($B$2:$B$1001,$B819,$G$2:$G$1001,G819,$D$2:$D$1001,"&lt;&gt;Withdrawn")&gt;1),"Same-day clash","OK"))))))</f>
        <v/>
      </c>
    </row>
    <row r="820" customFormat="false" ht="15" hidden="false" customHeight="false" outlineLevel="0" collapsed="false">
      <c r="E820" s="26"/>
      <c r="G820" s="23" t="str">
        <f aca="false">IF($A820="","",IFERROR(IF(INDEX(Activities!$C$2:$C$201,MATCH($A820,Activities!$A$2:$A$201,0))="","",INDEX(Activities!$C$2:$C$201,MATCH($A820,Activities!$A$2:$A$201,0))),""))</f>
        <v/>
      </c>
      <c r="H820" s="24" t="str">
        <f aca="false">IF($A820="","",IFERROR(IF(INDEX(Activities!$B$2:$B$201,MATCH($A820,Activities!$A$2:$A$201,0))="","",INDEX(Activities!$B$2:$B$201,MATCH($A820,Activities!$A$2:$A$201,0))),""))</f>
        <v/>
      </c>
      <c r="I820" s="24" t="str">
        <f aca="false">IF($B820="","",IFERROR(IF(INDEX(Students!$C$2:$C$301,MATCH($B820,Students!$A$2:$A$301,0))="","",INDEX(Students!$C$2:$C$301,MATCH($B820,Students!$A$2:$A$301,0))),""))</f>
        <v/>
      </c>
      <c r="J820" s="24" t="str">
        <f aca="false">IF($B820="","",IFERROR(IF(INDEX(Students!$B$2:$B$301,MATCH($B820,Students!$A$2:$A$301,0))="","",INDEX(Students!$B$2:$B$301,MATCH($B820,Students!$A$2:$A$301,0))),""))</f>
        <v/>
      </c>
      <c r="K820" s="25" t="str">
        <f aca="false">IF($A820="","",IF(D820="Withdrawn",0,IF(E820&lt;&gt;"",N(E820),IFERROR(N(INDEX(Activities!$I$2:$I$201,MATCH($A820,Activities!$A$2:$A$201,0))),0))))</f>
        <v/>
      </c>
      <c r="L820" s="24" t="str">
        <f aca="false">IF(AND($A820="",$B820=""),"",IF(ISNA(MATCH($A820,Activities!$A$2:$A$201,0)),"Unknown activity",IF(ISNA(MATCH($B820,Students!$A$2:$A$301,0)),"Unknown student",IF(D820="","No status",IF(COUNTIFS($A$2:$A$1001,$A820,$B$2:$B$1001,$B820)&gt;1,"Duplicate",IF(AND(D820&lt;&gt;"Withdrawn",G820&lt;&gt;"",COUNTIFS($B$2:$B$1001,$B820,$G$2:$G$1001,G820,$D$2:$D$1001,"&lt;&gt;Withdrawn")&gt;1),"Same-day clash","OK"))))))</f>
        <v/>
      </c>
    </row>
    <row r="821" customFormat="false" ht="15" hidden="false" customHeight="false" outlineLevel="0" collapsed="false">
      <c r="E821" s="26"/>
      <c r="G821" s="23" t="str">
        <f aca="false">IF($A821="","",IFERROR(IF(INDEX(Activities!$C$2:$C$201,MATCH($A821,Activities!$A$2:$A$201,0))="","",INDEX(Activities!$C$2:$C$201,MATCH($A821,Activities!$A$2:$A$201,0))),""))</f>
        <v/>
      </c>
      <c r="H821" s="24" t="str">
        <f aca="false">IF($A821="","",IFERROR(IF(INDEX(Activities!$B$2:$B$201,MATCH($A821,Activities!$A$2:$A$201,0))="","",INDEX(Activities!$B$2:$B$201,MATCH($A821,Activities!$A$2:$A$201,0))),""))</f>
        <v/>
      </c>
      <c r="I821" s="24" t="str">
        <f aca="false">IF($B821="","",IFERROR(IF(INDEX(Students!$C$2:$C$301,MATCH($B821,Students!$A$2:$A$301,0))="","",INDEX(Students!$C$2:$C$301,MATCH($B821,Students!$A$2:$A$301,0))),""))</f>
        <v/>
      </c>
      <c r="J821" s="24" t="str">
        <f aca="false">IF($B821="","",IFERROR(IF(INDEX(Students!$B$2:$B$301,MATCH($B821,Students!$A$2:$A$301,0))="","",INDEX(Students!$B$2:$B$301,MATCH($B821,Students!$A$2:$A$301,0))),""))</f>
        <v/>
      </c>
      <c r="K821" s="25" t="str">
        <f aca="false">IF($A821="","",IF(D821="Withdrawn",0,IF(E821&lt;&gt;"",N(E821),IFERROR(N(INDEX(Activities!$I$2:$I$201,MATCH($A821,Activities!$A$2:$A$201,0))),0))))</f>
        <v/>
      </c>
      <c r="L821" s="24" t="str">
        <f aca="false">IF(AND($A821="",$B821=""),"",IF(ISNA(MATCH($A821,Activities!$A$2:$A$201,0)),"Unknown activity",IF(ISNA(MATCH($B821,Students!$A$2:$A$301,0)),"Unknown student",IF(D821="","No status",IF(COUNTIFS($A$2:$A$1001,$A821,$B$2:$B$1001,$B821)&gt;1,"Duplicate",IF(AND(D821&lt;&gt;"Withdrawn",G821&lt;&gt;"",COUNTIFS($B$2:$B$1001,$B821,$G$2:$G$1001,G821,$D$2:$D$1001,"&lt;&gt;Withdrawn")&gt;1),"Same-day clash","OK"))))))</f>
        <v/>
      </c>
    </row>
    <row r="822" customFormat="false" ht="15" hidden="false" customHeight="false" outlineLevel="0" collapsed="false">
      <c r="E822" s="26"/>
      <c r="G822" s="23" t="str">
        <f aca="false">IF($A822="","",IFERROR(IF(INDEX(Activities!$C$2:$C$201,MATCH($A822,Activities!$A$2:$A$201,0))="","",INDEX(Activities!$C$2:$C$201,MATCH($A822,Activities!$A$2:$A$201,0))),""))</f>
        <v/>
      </c>
      <c r="H822" s="24" t="str">
        <f aca="false">IF($A822="","",IFERROR(IF(INDEX(Activities!$B$2:$B$201,MATCH($A822,Activities!$A$2:$A$201,0))="","",INDEX(Activities!$B$2:$B$201,MATCH($A822,Activities!$A$2:$A$201,0))),""))</f>
        <v/>
      </c>
      <c r="I822" s="24" t="str">
        <f aca="false">IF($B822="","",IFERROR(IF(INDEX(Students!$C$2:$C$301,MATCH($B822,Students!$A$2:$A$301,0))="","",INDEX(Students!$C$2:$C$301,MATCH($B822,Students!$A$2:$A$301,0))),""))</f>
        <v/>
      </c>
      <c r="J822" s="24" t="str">
        <f aca="false">IF($B822="","",IFERROR(IF(INDEX(Students!$B$2:$B$301,MATCH($B822,Students!$A$2:$A$301,0))="","",INDEX(Students!$B$2:$B$301,MATCH($B822,Students!$A$2:$A$301,0))),""))</f>
        <v/>
      </c>
      <c r="K822" s="25" t="str">
        <f aca="false">IF($A822="","",IF(D822="Withdrawn",0,IF(E822&lt;&gt;"",N(E822),IFERROR(N(INDEX(Activities!$I$2:$I$201,MATCH($A822,Activities!$A$2:$A$201,0))),0))))</f>
        <v/>
      </c>
      <c r="L822" s="24" t="str">
        <f aca="false">IF(AND($A822="",$B822=""),"",IF(ISNA(MATCH($A822,Activities!$A$2:$A$201,0)),"Unknown activity",IF(ISNA(MATCH($B822,Students!$A$2:$A$301,0)),"Unknown student",IF(D822="","No status",IF(COUNTIFS($A$2:$A$1001,$A822,$B$2:$B$1001,$B822)&gt;1,"Duplicate",IF(AND(D822&lt;&gt;"Withdrawn",G822&lt;&gt;"",COUNTIFS($B$2:$B$1001,$B822,$G$2:$G$1001,G822,$D$2:$D$1001,"&lt;&gt;Withdrawn")&gt;1),"Same-day clash","OK"))))))</f>
        <v/>
      </c>
    </row>
    <row r="823" customFormat="false" ht="15" hidden="false" customHeight="false" outlineLevel="0" collapsed="false">
      <c r="E823" s="26"/>
      <c r="G823" s="23" t="str">
        <f aca="false">IF($A823="","",IFERROR(IF(INDEX(Activities!$C$2:$C$201,MATCH($A823,Activities!$A$2:$A$201,0))="","",INDEX(Activities!$C$2:$C$201,MATCH($A823,Activities!$A$2:$A$201,0))),""))</f>
        <v/>
      </c>
      <c r="H823" s="24" t="str">
        <f aca="false">IF($A823="","",IFERROR(IF(INDEX(Activities!$B$2:$B$201,MATCH($A823,Activities!$A$2:$A$201,0))="","",INDEX(Activities!$B$2:$B$201,MATCH($A823,Activities!$A$2:$A$201,0))),""))</f>
        <v/>
      </c>
      <c r="I823" s="24" t="str">
        <f aca="false">IF($B823="","",IFERROR(IF(INDEX(Students!$C$2:$C$301,MATCH($B823,Students!$A$2:$A$301,0))="","",INDEX(Students!$C$2:$C$301,MATCH($B823,Students!$A$2:$A$301,0))),""))</f>
        <v/>
      </c>
      <c r="J823" s="24" t="str">
        <f aca="false">IF($B823="","",IFERROR(IF(INDEX(Students!$B$2:$B$301,MATCH($B823,Students!$A$2:$A$301,0))="","",INDEX(Students!$B$2:$B$301,MATCH($B823,Students!$A$2:$A$301,0))),""))</f>
        <v/>
      </c>
      <c r="K823" s="25" t="str">
        <f aca="false">IF($A823="","",IF(D823="Withdrawn",0,IF(E823&lt;&gt;"",N(E823),IFERROR(N(INDEX(Activities!$I$2:$I$201,MATCH($A823,Activities!$A$2:$A$201,0))),0))))</f>
        <v/>
      </c>
      <c r="L823" s="24" t="str">
        <f aca="false">IF(AND($A823="",$B823=""),"",IF(ISNA(MATCH($A823,Activities!$A$2:$A$201,0)),"Unknown activity",IF(ISNA(MATCH($B823,Students!$A$2:$A$301,0)),"Unknown student",IF(D823="","No status",IF(COUNTIFS($A$2:$A$1001,$A823,$B$2:$B$1001,$B823)&gt;1,"Duplicate",IF(AND(D823&lt;&gt;"Withdrawn",G823&lt;&gt;"",COUNTIFS($B$2:$B$1001,$B823,$G$2:$G$1001,G823,$D$2:$D$1001,"&lt;&gt;Withdrawn")&gt;1),"Same-day clash","OK"))))))</f>
        <v/>
      </c>
    </row>
    <row r="824" customFormat="false" ht="15" hidden="false" customHeight="false" outlineLevel="0" collapsed="false">
      <c r="E824" s="26"/>
      <c r="G824" s="23" t="str">
        <f aca="false">IF($A824="","",IFERROR(IF(INDEX(Activities!$C$2:$C$201,MATCH($A824,Activities!$A$2:$A$201,0))="","",INDEX(Activities!$C$2:$C$201,MATCH($A824,Activities!$A$2:$A$201,0))),""))</f>
        <v/>
      </c>
      <c r="H824" s="24" t="str">
        <f aca="false">IF($A824="","",IFERROR(IF(INDEX(Activities!$B$2:$B$201,MATCH($A824,Activities!$A$2:$A$201,0))="","",INDEX(Activities!$B$2:$B$201,MATCH($A824,Activities!$A$2:$A$201,0))),""))</f>
        <v/>
      </c>
      <c r="I824" s="24" t="str">
        <f aca="false">IF($B824="","",IFERROR(IF(INDEX(Students!$C$2:$C$301,MATCH($B824,Students!$A$2:$A$301,0))="","",INDEX(Students!$C$2:$C$301,MATCH($B824,Students!$A$2:$A$301,0))),""))</f>
        <v/>
      </c>
      <c r="J824" s="24" t="str">
        <f aca="false">IF($B824="","",IFERROR(IF(INDEX(Students!$B$2:$B$301,MATCH($B824,Students!$A$2:$A$301,0))="","",INDEX(Students!$B$2:$B$301,MATCH($B824,Students!$A$2:$A$301,0))),""))</f>
        <v/>
      </c>
      <c r="K824" s="25" t="str">
        <f aca="false">IF($A824="","",IF(D824="Withdrawn",0,IF(E824&lt;&gt;"",N(E824),IFERROR(N(INDEX(Activities!$I$2:$I$201,MATCH($A824,Activities!$A$2:$A$201,0))),0))))</f>
        <v/>
      </c>
      <c r="L824" s="24" t="str">
        <f aca="false">IF(AND($A824="",$B824=""),"",IF(ISNA(MATCH($A824,Activities!$A$2:$A$201,0)),"Unknown activity",IF(ISNA(MATCH($B824,Students!$A$2:$A$301,0)),"Unknown student",IF(D824="","No status",IF(COUNTIFS($A$2:$A$1001,$A824,$B$2:$B$1001,$B824)&gt;1,"Duplicate",IF(AND(D824&lt;&gt;"Withdrawn",G824&lt;&gt;"",COUNTIFS($B$2:$B$1001,$B824,$G$2:$G$1001,G824,$D$2:$D$1001,"&lt;&gt;Withdrawn")&gt;1),"Same-day clash","OK"))))))</f>
        <v/>
      </c>
    </row>
    <row r="825" customFormat="false" ht="15" hidden="false" customHeight="false" outlineLevel="0" collapsed="false">
      <c r="E825" s="26"/>
      <c r="G825" s="23" t="str">
        <f aca="false">IF($A825="","",IFERROR(IF(INDEX(Activities!$C$2:$C$201,MATCH($A825,Activities!$A$2:$A$201,0))="","",INDEX(Activities!$C$2:$C$201,MATCH($A825,Activities!$A$2:$A$201,0))),""))</f>
        <v/>
      </c>
      <c r="H825" s="24" t="str">
        <f aca="false">IF($A825="","",IFERROR(IF(INDEX(Activities!$B$2:$B$201,MATCH($A825,Activities!$A$2:$A$201,0))="","",INDEX(Activities!$B$2:$B$201,MATCH($A825,Activities!$A$2:$A$201,0))),""))</f>
        <v/>
      </c>
      <c r="I825" s="24" t="str">
        <f aca="false">IF($B825="","",IFERROR(IF(INDEX(Students!$C$2:$C$301,MATCH($B825,Students!$A$2:$A$301,0))="","",INDEX(Students!$C$2:$C$301,MATCH($B825,Students!$A$2:$A$301,0))),""))</f>
        <v/>
      </c>
      <c r="J825" s="24" t="str">
        <f aca="false">IF($B825="","",IFERROR(IF(INDEX(Students!$B$2:$B$301,MATCH($B825,Students!$A$2:$A$301,0))="","",INDEX(Students!$B$2:$B$301,MATCH($B825,Students!$A$2:$A$301,0))),""))</f>
        <v/>
      </c>
      <c r="K825" s="25" t="str">
        <f aca="false">IF($A825="","",IF(D825="Withdrawn",0,IF(E825&lt;&gt;"",N(E825),IFERROR(N(INDEX(Activities!$I$2:$I$201,MATCH($A825,Activities!$A$2:$A$201,0))),0))))</f>
        <v/>
      </c>
      <c r="L825" s="24" t="str">
        <f aca="false">IF(AND($A825="",$B825=""),"",IF(ISNA(MATCH($A825,Activities!$A$2:$A$201,0)),"Unknown activity",IF(ISNA(MATCH($B825,Students!$A$2:$A$301,0)),"Unknown student",IF(D825="","No status",IF(COUNTIFS($A$2:$A$1001,$A825,$B$2:$B$1001,$B825)&gt;1,"Duplicate",IF(AND(D825&lt;&gt;"Withdrawn",G825&lt;&gt;"",COUNTIFS($B$2:$B$1001,$B825,$G$2:$G$1001,G825,$D$2:$D$1001,"&lt;&gt;Withdrawn")&gt;1),"Same-day clash","OK"))))))</f>
        <v/>
      </c>
    </row>
    <row r="826" customFormat="false" ht="15" hidden="false" customHeight="false" outlineLevel="0" collapsed="false">
      <c r="E826" s="26"/>
      <c r="G826" s="23" t="str">
        <f aca="false">IF($A826="","",IFERROR(IF(INDEX(Activities!$C$2:$C$201,MATCH($A826,Activities!$A$2:$A$201,0))="","",INDEX(Activities!$C$2:$C$201,MATCH($A826,Activities!$A$2:$A$201,0))),""))</f>
        <v/>
      </c>
      <c r="H826" s="24" t="str">
        <f aca="false">IF($A826="","",IFERROR(IF(INDEX(Activities!$B$2:$B$201,MATCH($A826,Activities!$A$2:$A$201,0))="","",INDEX(Activities!$B$2:$B$201,MATCH($A826,Activities!$A$2:$A$201,0))),""))</f>
        <v/>
      </c>
      <c r="I826" s="24" t="str">
        <f aca="false">IF($B826="","",IFERROR(IF(INDEX(Students!$C$2:$C$301,MATCH($B826,Students!$A$2:$A$301,0))="","",INDEX(Students!$C$2:$C$301,MATCH($B826,Students!$A$2:$A$301,0))),""))</f>
        <v/>
      </c>
      <c r="J826" s="24" t="str">
        <f aca="false">IF($B826="","",IFERROR(IF(INDEX(Students!$B$2:$B$301,MATCH($B826,Students!$A$2:$A$301,0))="","",INDEX(Students!$B$2:$B$301,MATCH($B826,Students!$A$2:$A$301,0))),""))</f>
        <v/>
      </c>
      <c r="K826" s="25" t="str">
        <f aca="false">IF($A826="","",IF(D826="Withdrawn",0,IF(E826&lt;&gt;"",N(E826),IFERROR(N(INDEX(Activities!$I$2:$I$201,MATCH($A826,Activities!$A$2:$A$201,0))),0))))</f>
        <v/>
      </c>
      <c r="L826" s="24" t="str">
        <f aca="false">IF(AND($A826="",$B826=""),"",IF(ISNA(MATCH($A826,Activities!$A$2:$A$201,0)),"Unknown activity",IF(ISNA(MATCH($B826,Students!$A$2:$A$301,0)),"Unknown student",IF(D826="","No status",IF(COUNTIFS($A$2:$A$1001,$A826,$B$2:$B$1001,$B826)&gt;1,"Duplicate",IF(AND(D826&lt;&gt;"Withdrawn",G826&lt;&gt;"",COUNTIFS($B$2:$B$1001,$B826,$G$2:$G$1001,G826,$D$2:$D$1001,"&lt;&gt;Withdrawn")&gt;1),"Same-day clash","OK"))))))</f>
        <v/>
      </c>
    </row>
    <row r="827" customFormat="false" ht="15" hidden="false" customHeight="false" outlineLevel="0" collapsed="false">
      <c r="E827" s="26"/>
      <c r="G827" s="23" t="str">
        <f aca="false">IF($A827="","",IFERROR(IF(INDEX(Activities!$C$2:$C$201,MATCH($A827,Activities!$A$2:$A$201,0))="","",INDEX(Activities!$C$2:$C$201,MATCH($A827,Activities!$A$2:$A$201,0))),""))</f>
        <v/>
      </c>
      <c r="H827" s="24" t="str">
        <f aca="false">IF($A827="","",IFERROR(IF(INDEX(Activities!$B$2:$B$201,MATCH($A827,Activities!$A$2:$A$201,0))="","",INDEX(Activities!$B$2:$B$201,MATCH($A827,Activities!$A$2:$A$201,0))),""))</f>
        <v/>
      </c>
      <c r="I827" s="24" t="str">
        <f aca="false">IF($B827="","",IFERROR(IF(INDEX(Students!$C$2:$C$301,MATCH($B827,Students!$A$2:$A$301,0))="","",INDEX(Students!$C$2:$C$301,MATCH($B827,Students!$A$2:$A$301,0))),""))</f>
        <v/>
      </c>
      <c r="J827" s="24" t="str">
        <f aca="false">IF($B827="","",IFERROR(IF(INDEX(Students!$B$2:$B$301,MATCH($B827,Students!$A$2:$A$301,0))="","",INDEX(Students!$B$2:$B$301,MATCH($B827,Students!$A$2:$A$301,0))),""))</f>
        <v/>
      </c>
      <c r="K827" s="25" t="str">
        <f aca="false">IF($A827="","",IF(D827="Withdrawn",0,IF(E827&lt;&gt;"",N(E827),IFERROR(N(INDEX(Activities!$I$2:$I$201,MATCH($A827,Activities!$A$2:$A$201,0))),0))))</f>
        <v/>
      </c>
      <c r="L827" s="24" t="str">
        <f aca="false">IF(AND($A827="",$B827=""),"",IF(ISNA(MATCH($A827,Activities!$A$2:$A$201,0)),"Unknown activity",IF(ISNA(MATCH($B827,Students!$A$2:$A$301,0)),"Unknown student",IF(D827="","No status",IF(COUNTIFS($A$2:$A$1001,$A827,$B$2:$B$1001,$B827)&gt;1,"Duplicate",IF(AND(D827&lt;&gt;"Withdrawn",G827&lt;&gt;"",COUNTIFS($B$2:$B$1001,$B827,$G$2:$G$1001,G827,$D$2:$D$1001,"&lt;&gt;Withdrawn")&gt;1),"Same-day clash","OK"))))))</f>
        <v/>
      </c>
    </row>
    <row r="828" customFormat="false" ht="15" hidden="false" customHeight="false" outlineLevel="0" collapsed="false">
      <c r="E828" s="26"/>
      <c r="G828" s="23" t="str">
        <f aca="false">IF($A828="","",IFERROR(IF(INDEX(Activities!$C$2:$C$201,MATCH($A828,Activities!$A$2:$A$201,0))="","",INDEX(Activities!$C$2:$C$201,MATCH($A828,Activities!$A$2:$A$201,0))),""))</f>
        <v/>
      </c>
      <c r="H828" s="24" t="str">
        <f aca="false">IF($A828="","",IFERROR(IF(INDEX(Activities!$B$2:$B$201,MATCH($A828,Activities!$A$2:$A$201,0))="","",INDEX(Activities!$B$2:$B$201,MATCH($A828,Activities!$A$2:$A$201,0))),""))</f>
        <v/>
      </c>
      <c r="I828" s="24" t="str">
        <f aca="false">IF($B828="","",IFERROR(IF(INDEX(Students!$C$2:$C$301,MATCH($B828,Students!$A$2:$A$301,0))="","",INDEX(Students!$C$2:$C$301,MATCH($B828,Students!$A$2:$A$301,0))),""))</f>
        <v/>
      </c>
      <c r="J828" s="24" t="str">
        <f aca="false">IF($B828="","",IFERROR(IF(INDEX(Students!$B$2:$B$301,MATCH($B828,Students!$A$2:$A$301,0))="","",INDEX(Students!$B$2:$B$301,MATCH($B828,Students!$A$2:$A$301,0))),""))</f>
        <v/>
      </c>
      <c r="K828" s="25" t="str">
        <f aca="false">IF($A828="","",IF(D828="Withdrawn",0,IF(E828&lt;&gt;"",N(E828),IFERROR(N(INDEX(Activities!$I$2:$I$201,MATCH($A828,Activities!$A$2:$A$201,0))),0))))</f>
        <v/>
      </c>
      <c r="L828" s="24" t="str">
        <f aca="false">IF(AND($A828="",$B828=""),"",IF(ISNA(MATCH($A828,Activities!$A$2:$A$201,0)),"Unknown activity",IF(ISNA(MATCH($B828,Students!$A$2:$A$301,0)),"Unknown student",IF(D828="","No status",IF(COUNTIFS($A$2:$A$1001,$A828,$B$2:$B$1001,$B828)&gt;1,"Duplicate",IF(AND(D828&lt;&gt;"Withdrawn",G828&lt;&gt;"",COUNTIFS($B$2:$B$1001,$B828,$G$2:$G$1001,G828,$D$2:$D$1001,"&lt;&gt;Withdrawn")&gt;1),"Same-day clash","OK"))))))</f>
        <v/>
      </c>
    </row>
    <row r="829" customFormat="false" ht="15" hidden="false" customHeight="false" outlineLevel="0" collapsed="false">
      <c r="E829" s="26"/>
      <c r="G829" s="23" t="str">
        <f aca="false">IF($A829="","",IFERROR(IF(INDEX(Activities!$C$2:$C$201,MATCH($A829,Activities!$A$2:$A$201,0))="","",INDEX(Activities!$C$2:$C$201,MATCH($A829,Activities!$A$2:$A$201,0))),""))</f>
        <v/>
      </c>
      <c r="H829" s="24" t="str">
        <f aca="false">IF($A829="","",IFERROR(IF(INDEX(Activities!$B$2:$B$201,MATCH($A829,Activities!$A$2:$A$201,0))="","",INDEX(Activities!$B$2:$B$201,MATCH($A829,Activities!$A$2:$A$201,0))),""))</f>
        <v/>
      </c>
      <c r="I829" s="24" t="str">
        <f aca="false">IF($B829="","",IFERROR(IF(INDEX(Students!$C$2:$C$301,MATCH($B829,Students!$A$2:$A$301,0))="","",INDEX(Students!$C$2:$C$301,MATCH($B829,Students!$A$2:$A$301,0))),""))</f>
        <v/>
      </c>
      <c r="J829" s="24" t="str">
        <f aca="false">IF($B829="","",IFERROR(IF(INDEX(Students!$B$2:$B$301,MATCH($B829,Students!$A$2:$A$301,0))="","",INDEX(Students!$B$2:$B$301,MATCH($B829,Students!$A$2:$A$301,0))),""))</f>
        <v/>
      </c>
      <c r="K829" s="25" t="str">
        <f aca="false">IF($A829="","",IF(D829="Withdrawn",0,IF(E829&lt;&gt;"",N(E829),IFERROR(N(INDEX(Activities!$I$2:$I$201,MATCH($A829,Activities!$A$2:$A$201,0))),0))))</f>
        <v/>
      </c>
      <c r="L829" s="24" t="str">
        <f aca="false">IF(AND($A829="",$B829=""),"",IF(ISNA(MATCH($A829,Activities!$A$2:$A$201,0)),"Unknown activity",IF(ISNA(MATCH($B829,Students!$A$2:$A$301,0)),"Unknown student",IF(D829="","No status",IF(COUNTIFS($A$2:$A$1001,$A829,$B$2:$B$1001,$B829)&gt;1,"Duplicate",IF(AND(D829&lt;&gt;"Withdrawn",G829&lt;&gt;"",COUNTIFS($B$2:$B$1001,$B829,$G$2:$G$1001,G829,$D$2:$D$1001,"&lt;&gt;Withdrawn")&gt;1),"Same-day clash","OK"))))))</f>
        <v/>
      </c>
    </row>
    <row r="830" customFormat="false" ht="15" hidden="false" customHeight="false" outlineLevel="0" collapsed="false">
      <c r="E830" s="26"/>
      <c r="G830" s="23" t="str">
        <f aca="false">IF($A830="","",IFERROR(IF(INDEX(Activities!$C$2:$C$201,MATCH($A830,Activities!$A$2:$A$201,0))="","",INDEX(Activities!$C$2:$C$201,MATCH($A830,Activities!$A$2:$A$201,0))),""))</f>
        <v/>
      </c>
      <c r="H830" s="24" t="str">
        <f aca="false">IF($A830="","",IFERROR(IF(INDEX(Activities!$B$2:$B$201,MATCH($A830,Activities!$A$2:$A$201,0))="","",INDEX(Activities!$B$2:$B$201,MATCH($A830,Activities!$A$2:$A$201,0))),""))</f>
        <v/>
      </c>
      <c r="I830" s="24" t="str">
        <f aca="false">IF($B830="","",IFERROR(IF(INDEX(Students!$C$2:$C$301,MATCH($B830,Students!$A$2:$A$301,0))="","",INDEX(Students!$C$2:$C$301,MATCH($B830,Students!$A$2:$A$301,0))),""))</f>
        <v/>
      </c>
      <c r="J830" s="24" t="str">
        <f aca="false">IF($B830="","",IFERROR(IF(INDEX(Students!$B$2:$B$301,MATCH($B830,Students!$A$2:$A$301,0))="","",INDEX(Students!$B$2:$B$301,MATCH($B830,Students!$A$2:$A$301,0))),""))</f>
        <v/>
      </c>
      <c r="K830" s="25" t="str">
        <f aca="false">IF($A830="","",IF(D830="Withdrawn",0,IF(E830&lt;&gt;"",N(E830),IFERROR(N(INDEX(Activities!$I$2:$I$201,MATCH($A830,Activities!$A$2:$A$201,0))),0))))</f>
        <v/>
      </c>
      <c r="L830" s="24" t="str">
        <f aca="false">IF(AND($A830="",$B830=""),"",IF(ISNA(MATCH($A830,Activities!$A$2:$A$201,0)),"Unknown activity",IF(ISNA(MATCH($B830,Students!$A$2:$A$301,0)),"Unknown student",IF(D830="","No status",IF(COUNTIFS($A$2:$A$1001,$A830,$B$2:$B$1001,$B830)&gt;1,"Duplicate",IF(AND(D830&lt;&gt;"Withdrawn",G830&lt;&gt;"",COUNTIFS($B$2:$B$1001,$B830,$G$2:$G$1001,G830,$D$2:$D$1001,"&lt;&gt;Withdrawn")&gt;1),"Same-day clash","OK"))))))</f>
        <v/>
      </c>
    </row>
    <row r="831" customFormat="false" ht="15" hidden="false" customHeight="false" outlineLevel="0" collapsed="false">
      <c r="E831" s="26"/>
      <c r="G831" s="23" t="str">
        <f aca="false">IF($A831="","",IFERROR(IF(INDEX(Activities!$C$2:$C$201,MATCH($A831,Activities!$A$2:$A$201,0))="","",INDEX(Activities!$C$2:$C$201,MATCH($A831,Activities!$A$2:$A$201,0))),""))</f>
        <v/>
      </c>
      <c r="H831" s="24" t="str">
        <f aca="false">IF($A831="","",IFERROR(IF(INDEX(Activities!$B$2:$B$201,MATCH($A831,Activities!$A$2:$A$201,0))="","",INDEX(Activities!$B$2:$B$201,MATCH($A831,Activities!$A$2:$A$201,0))),""))</f>
        <v/>
      </c>
      <c r="I831" s="24" t="str">
        <f aca="false">IF($B831="","",IFERROR(IF(INDEX(Students!$C$2:$C$301,MATCH($B831,Students!$A$2:$A$301,0))="","",INDEX(Students!$C$2:$C$301,MATCH($B831,Students!$A$2:$A$301,0))),""))</f>
        <v/>
      </c>
      <c r="J831" s="24" t="str">
        <f aca="false">IF($B831="","",IFERROR(IF(INDEX(Students!$B$2:$B$301,MATCH($B831,Students!$A$2:$A$301,0))="","",INDEX(Students!$B$2:$B$301,MATCH($B831,Students!$A$2:$A$301,0))),""))</f>
        <v/>
      </c>
      <c r="K831" s="25" t="str">
        <f aca="false">IF($A831="","",IF(D831="Withdrawn",0,IF(E831&lt;&gt;"",N(E831),IFERROR(N(INDEX(Activities!$I$2:$I$201,MATCH($A831,Activities!$A$2:$A$201,0))),0))))</f>
        <v/>
      </c>
      <c r="L831" s="24" t="str">
        <f aca="false">IF(AND($A831="",$B831=""),"",IF(ISNA(MATCH($A831,Activities!$A$2:$A$201,0)),"Unknown activity",IF(ISNA(MATCH($B831,Students!$A$2:$A$301,0)),"Unknown student",IF(D831="","No status",IF(COUNTIFS($A$2:$A$1001,$A831,$B$2:$B$1001,$B831)&gt;1,"Duplicate",IF(AND(D831&lt;&gt;"Withdrawn",G831&lt;&gt;"",COUNTIFS($B$2:$B$1001,$B831,$G$2:$G$1001,G831,$D$2:$D$1001,"&lt;&gt;Withdrawn")&gt;1),"Same-day clash","OK"))))))</f>
        <v/>
      </c>
    </row>
    <row r="832" customFormat="false" ht="15" hidden="false" customHeight="false" outlineLevel="0" collapsed="false">
      <c r="E832" s="26"/>
      <c r="G832" s="23" t="str">
        <f aca="false">IF($A832="","",IFERROR(IF(INDEX(Activities!$C$2:$C$201,MATCH($A832,Activities!$A$2:$A$201,0))="","",INDEX(Activities!$C$2:$C$201,MATCH($A832,Activities!$A$2:$A$201,0))),""))</f>
        <v/>
      </c>
      <c r="H832" s="24" t="str">
        <f aca="false">IF($A832="","",IFERROR(IF(INDEX(Activities!$B$2:$B$201,MATCH($A832,Activities!$A$2:$A$201,0))="","",INDEX(Activities!$B$2:$B$201,MATCH($A832,Activities!$A$2:$A$201,0))),""))</f>
        <v/>
      </c>
      <c r="I832" s="24" t="str">
        <f aca="false">IF($B832="","",IFERROR(IF(INDEX(Students!$C$2:$C$301,MATCH($B832,Students!$A$2:$A$301,0))="","",INDEX(Students!$C$2:$C$301,MATCH($B832,Students!$A$2:$A$301,0))),""))</f>
        <v/>
      </c>
      <c r="J832" s="24" t="str">
        <f aca="false">IF($B832="","",IFERROR(IF(INDEX(Students!$B$2:$B$301,MATCH($B832,Students!$A$2:$A$301,0))="","",INDEX(Students!$B$2:$B$301,MATCH($B832,Students!$A$2:$A$301,0))),""))</f>
        <v/>
      </c>
      <c r="K832" s="25" t="str">
        <f aca="false">IF($A832="","",IF(D832="Withdrawn",0,IF(E832&lt;&gt;"",N(E832),IFERROR(N(INDEX(Activities!$I$2:$I$201,MATCH($A832,Activities!$A$2:$A$201,0))),0))))</f>
        <v/>
      </c>
      <c r="L832" s="24" t="str">
        <f aca="false">IF(AND($A832="",$B832=""),"",IF(ISNA(MATCH($A832,Activities!$A$2:$A$201,0)),"Unknown activity",IF(ISNA(MATCH($B832,Students!$A$2:$A$301,0)),"Unknown student",IF(D832="","No status",IF(COUNTIFS($A$2:$A$1001,$A832,$B$2:$B$1001,$B832)&gt;1,"Duplicate",IF(AND(D832&lt;&gt;"Withdrawn",G832&lt;&gt;"",COUNTIFS($B$2:$B$1001,$B832,$G$2:$G$1001,G832,$D$2:$D$1001,"&lt;&gt;Withdrawn")&gt;1),"Same-day clash","OK"))))))</f>
        <v/>
      </c>
    </row>
    <row r="833" customFormat="false" ht="15" hidden="false" customHeight="false" outlineLevel="0" collapsed="false">
      <c r="E833" s="26"/>
      <c r="G833" s="23" t="str">
        <f aca="false">IF($A833="","",IFERROR(IF(INDEX(Activities!$C$2:$C$201,MATCH($A833,Activities!$A$2:$A$201,0))="","",INDEX(Activities!$C$2:$C$201,MATCH($A833,Activities!$A$2:$A$201,0))),""))</f>
        <v/>
      </c>
      <c r="H833" s="24" t="str">
        <f aca="false">IF($A833="","",IFERROR(IF(INDEX(Activities!$B$2:$B$201,MATCH($A833,Activities!$A$2:$A$201,0))="","",INDEX(Activities!$B$2:$B$201,MATCH($A833,Activities!$A$2:$A$201,0))),""))</f>
        <v/>
      </c>
      <c r="I833" s="24" t="str">
        <f aca="false">IF($B833="","",IFERROR(IF(INDEX(Students!$C$2:$C$301,MATCH($B833,Students!$A$2:$A$301,0))="","",INDEX(Students!$C$2:$C$301,MATCH($B833,Students!$A$2:$A$301,0))),""))</f>
        <v/>
      </c>
      <c r="J833" s="24" t="str">
        <f aca="false">IF($B833="","",IFERROR(IF(INDEX(Students!$B$2:$B$301,MATCH($B833,Students!$A$2:$A$301,0))="","",INDEX(Students!$B$2:$B$301,MATCH($B833,Students!$A$2:$A$301,0))),""))</f>
        <v/>
      </c>
      <c r="K833" s="25" t="str">
        <f aca="false">IF($A833="","",IF(D833="Withdrawn",0,IF(E833&lt;&gt;"",N(E833),IFERROR(N(INDEX(Activities!$I$2:$I$201,MATCH($A833,Activities!$A$2:$A$201,0))),0))))</f>
        <v/>
      </c>
      <c r="L833" s="24" t="str">
        <f aca="false">IF(AND($A833="",$B833=""),"",IF(ISNA(MATCH($A833,Activities!$A$2:$A$201,0)),"Unknown activity",IF(ISNA(MATCH($B833,Students!$A$2:$A$301,0)),"Unknown student",IF(D833="","No status",IF(COUNTIFS($A$2:$A$1001,$A833,$B$2:$B$1001,$B833)&gt;1,"Duplicate",IF(AND(D833&lt;&gt;"Withdrawn",G833&lt;&gt;"",COUNTIFS($B$2:$B$1001,$B833,$G$2:$G$1001,G833,$D$2:$D$1001,"&lt;&gt;Withdrawn")&gt;1),"Same-day clash","OK"))))))</f>
        <v/>
      </c>
    </row>
    <row r="834" customFormat="false" ht="15" hidden="false" customHeight="false" outlineLevel="0" collapsed="false">
      <c r="E834" s="26"/>
      <c r="G834" s="23" t="str">
        <f aca="false">IF($A834="","",IFERROR(IF(INDEX(Activities!$C$2:$C$201,MATCH($A834,Activities!$A$2:$A$201,0))="","",INDEX(Activities!$C$2:$C$201,MATCH($A834,Activities!$A$2:$A$201,0))),""))</f>
        <v/>
      </c>
      <c r="H834" s="24" t="str">
        <f aca="false">IF($A834="","",IFERROR(IF(INDEX(Activities!$B$2:$B$201,MATCH($A834,Activities!$A$2:$A$201,0))="","",INDEX(Activities!$B$2:$B$201,MATCH($A834,Activities!$A$2:$A$201,0))),""))</f>
        <v/>
      </c>
      <c r="I834" s="24" t="str">
        <f aca="false">IF($B834="","",IFERROR(IF(INDEX(Students!$C$2:$C$301,MATCH($B834,Students!$A$2:$A$301,0))="","",INDEX(Students!$C$2:$C$301,MATCH($B834,Students!$A$2:$A$301,0))),""))</f>
        <v/>
      </c>
      <c r="J834" s="24" t="str">
        <f aca="false">IF($B834="","",IFERROR(IF(INDEX(Students!$B$2:$B$301,MATCH($B834,Students!$A$2:$A$301,0))="","",INDEX(Students!$B$2:$B$301,MATCH($B834,Students!$A$2:$A$301,0))),""))</f>
        <v/>
      </c>
      <c r="K834" s="25" t="str">
        <f aca="false">IF($A834="","",IF(D834="Withdrawn",0,IF(E834&lt;&gt;"",N(E834),IFERROR(N(INDEX(Activities!$I$2:$I$201,MATCH($A834,Activities!$A$2:$A$201,0))),0))))</f>
        <v/>
      </c>
      <c r="L834" s="24" t="str">
        <f aca="false">IF(AND($A834="",$B834=""),"",IF(ISNA(MATCH($A834,Activities!$A$2:$A$201,0)),"Unknown activity",IF(ISNA(MATCH($B834,Students!$A$2:$A$301,0)),"Unknown student",IF(D834="","No status",IF(COUNTIFS($A$2:$A$1001,$A834,$B$2:$B$1001,$B834)&gt;1,"Duplicate",IF(AND(D834&lt;&gt;"Withdrawn",G834&lt;&gt;"",COUNTIFS($B$2:$B$1001,$B834,$G$2:$G$1001,G834,$D$2:$D$1001,"&lt;&gt;Withdrawn")&gt;1),"Same-day clash","OK"))))))</f>
        <v/>
      </c>
    </row>
    <row r="835" customFormat="false" ht="15" hidden="false" customHeight="false" outlineLevel="0" collapsed="false">
      <c r="E835" s="26"/>
      <c r="G835" s="23" t="str">
        <f aca="false">IF($A835="","",IFERROR(IF(INDEX(Activities!$C$2:$C$201,MATCH($A835,Activities!$A$2:$A$201,0))="","",INDEX(Activities!$C$2:$C$201,MATCH($A835,Activities!$A$2:$A$201,0))),""))</f>
        <v/>
      </c>
      <c r="H835" s="24" t="str">
        <f aca="false">IF($A835="","",IFERROR(IF(INDEX(Activities!$B$2:$B$201,MATCH($A835,Activities!$A$2:$A$201,0))="","",INDEX(Activities!$B$2:$B$201,MATCH($A835,Activities!$A$2:$A$201,0))),""))</f>
        <v/>
      </c>
      <c r="I835" s="24" t="str">
        <f aca="false">IF($B835="","",IFERROR(IF(INDEX(Students!$C$2:$C$301,MATCH($B835,Students!$A$2:$A$301,0))="","",INDEX(Students!$C$2:$C$301,MATCH($B835,Students!$A$2:$A$301,0))),""))</f>
        <v/>
      </c>
      <c r="J835" s="24" t="str">
        <f aca="false">IF($B835="","",IFERROR(IF(INDEX(Students!$B$2:$B$301,MATCH($B835,Students!$A$2:$A$301,0))="","",INDEX(Students!$B$2:$B$301,MATCH($B835,Students!$A$2:$A$301,0))),""))</f>
        <v/>
      </c>
      <c r="K835" s="25" t="str">
        <f aca="false">IF($A835="","",IF(D835="Withdrawn",0,IF(E835&lt;&gt;"",N(E835),IFERROR(N(INDEX(Activities!$I$2:$I$201,MATCH($A835,Activities!$A$2:$A$201,0))),0))))</f>
        <v/>
      </c>
      <c r="L835" s="24" t="str">
        <f aca="false">IF(AND($A835="",$B835=""),"",IF(ISNA(MATCH($A835,Activities!$A$2:$A$201,0)),"Unknown activity",IF(ISNA(MATCH($B835,Students!$A$2:$A$301,0)),"Unknown student",IF(D835="","No status",IF(COUNTIFS($A$2:$A$1001,$A835,$B$2:$B$1001,$B835)&gt;1,"Duplicate",IF(AND(D835&lt;&gt;"Withdrawn",G835&lt;&gt;"",COUNTIFS($B$2:$B$1001,$B835,$G$2:$G$1001,G835,$D$2:$D$1001,"&lt;&gt;Withdrawn")&gt;1),"Same-day clash","OK"))))))</f>
        <v/>
      </c>
    </row>
    <row r="836" customFormat="false" ht="15" hidden="false" customHeight="false" outlineLevel="0" collapsed="false">
      <c r="E836" s="26"/>
      <c r="G836" s="23" t="str">
        <f aca="false">IF($A836="","",IFERROR(IF(INDEX(Activities!$C$2:$C$201,MATCH($A836,Activities!$A$2:$A$201,0))="","",INDEX(Activities!$C$2:$C$201,MATCH($A836,Activities!$A$2:$A$201,0))),""))</f>
        <v/>
      </c>
      <c r="H836" s="24" t="str">
        <f aca="false">IF($A836="","",IFERROR(IF(INDEX(Activities!$B$2:$B$201,MATCH($A836,Activities!$A$2:$A$201,0))="","",INDEX(Activities!$B$2:$B$201,MATCH($A836,Activities!$A$2:$A$201,0))),""))</f>
        <v/>
      </c>
      <c r="I836" s="24" t="str">
        <f aca="false">IF($B836="","",IFERROR(IF(INDEX(Students!$C$2:$C$301,MATCH($B836,Students!$A$2:$A$301,0))="","",INDEX(Students!$C$2:$C$301,MATCH($B836,Students!$A$2:$A$301,0))),""))</f>
        <v/>
      </c>
      <c r="J836" s="24" t="str">
        <f aca="false">IF($B836="","",IFERROR(IF(INDEX(Students!$B$2:$B$301,MATCH($B836,Students!$A$2:$A$301,0))="","",INDEX(Students!$B$2:$B$301,MATCH($B836,Students!$A$2:$A$301,0))),""))</f>
        <v/>
      </c>
      <c r="K836" s="25" t="str">
        <f aca="false">IF($A836="","",IF(D836="Withdrawn",0,IF(E836&lt;&gt;"",N(E836),IFERROR(N(INDEX(Activities!$I$2:$I$201,MATCH($A836,Activities!$A$2:$A$201,0))),0))))</f>
        <v/>
      </c>
      <c r="L836" s="24" t="str">
        <f aca="false">IF(AND($A836="",$B836=""),"",IF(ISNA(MATCH($A836,Activities!$A$2:$A$201,0)),"Unknown activity",IF(ISNA(MATCH($B836,Students!$A$2:$A$301,0)),"Unknown student",IF(D836="","No status",IF(COUNTIFS($A$2:$A$1001,$A836,$B$2:$B$1001,$B836)&gt;1,"Duplicate",IF(AND(D836&lt;&gt;"Withdrawn",G836&lt;&gt;"",COUNTIFS($B$2:$B$1001,$B836,$G$2:$G$1001,G836,$D$2:$D$1001,"&lt;&gt;Withdrawn")&gt;1),"Same-day clash","OK"))))))</f>
        <v/>
      </c>
    </row>
    <row r="837" customFormat="false" ht="15" hidden="false" customHeight="false" outlineLevel="0" collapsed="false">
      <c r="E837" s="26"/>
      <c r="G837" s="23" t="str">
        <f aca="false">IF($A837="","",IFERROR(IF(INDEX(Activities!$C$2:$C$201,MATCH($A837,Activities!$A$2:$A$201,0))="","",INDEX(Activities!$C$2:$C$201,MATCH($A837,Activities!$A$2:$A$201,0))),""))</f>
        <v/>
      </c>
      <c r="H837" s="24" t="str">
        <f aca="false">IF($A837="","",IFERROR(IF(INDEX(Activities!$B$2:$B$201,MATCH($A837,Activities!$A$2:$A$201,0))="","",INDEX(Activities!$B$2:$B$201,MATCH($A837,Activities!$A$2:$A$201,0))),""))</f>
        <v/>
      </c>
      <c r="I837" s="24" t="str">
        <f aca="false">IF($B837="","",IFERROR(IF(INDEX(Students!$C$2:$C$301,MATCH($B837,Students!$A$2:$A$301,0))="","",INDEX(Students!$C$2:$C$301,MATCH($B837,Students!$A$2:$A$301,0))),""))</f>
        <v/>
      </c>
      <c r="J837" s="24" t="str">
        <f aca="false">IF($B837="","",IFERROR(IF(INDEX(Students!$B$2:$B$301,MATCH($B837,Students!$A$2:$A$301,0))="","",INDEX(Students!$B$2:$B$301,MATCH($B837,Students!$A$2:$A$301,0))),""))</f>
        <v/>
      </c>
      <c r="K837" s="25" t="str">
        <f aca="false">IF($A837="","",IF(D837="Withdrawn",0,IF(E837&lt;&gt;"",N(E837),IFERROR(N(INDEX(Activities!$I$2:$I$201,MATCH($A837,Activities!$A$2:$A$201,0))),0))))</f>
        <v/>
      </c>
      <c r="L837" s="24" t="str">
        <f aca="false">IF(AND($A837="",$B837=""),"",IF(ISNA(MATCH($A837,Activities!$A$2:$A$201,0)),"Unknown activity",IF(ISNA(MATCH($B837,Students!$A$2:$A$301,0)),"Unknown student",IF(D837="","No status",IF(COUNTIFS($A$2:$A$1001,$A837,$B$2:$B$1001,$B837)&gt;1,"Duplicate",IF(AND(D837&lt;&gt;"Withdrawn",G837&lt;&gt;"",COUNTIFS($B$2:$B$1001,$B837,$G$2:$G$1001,G837,$D$2:$D$1001,"&lt;&gt;Withdrawn")&gt;1),"Same-day clash","OK"))))))</f>
        <v/>
      </c>
    </row>
    <row r="838" customFormat="false" ht="15" hidden="false" customHeight="false" outlineLevel="0" collapsed="false">
      <c r="E838" s="26"/>
      <c r="G838" s="23" t="str">
        <f aca="false">IF($A838="","",IFERROR(IF(INDEX(Activities!$C$2:$C$201,MATCH($A838,Activities!$A$2:$A$201,0))="","",INDEX(Activities!$C$2:$C$201,MATCH($A838,Activities!$A$2:$A$201,0))),""))</f>
        <v/>
      </c>
      <c r="H838" s="24" t="str">
        <f aca="false">IF($A838="","",IFERROR(IF(INDEX(Activities!$B$2:$B$201,MATCH($A838,Activities!$A$2:$A$201,0))="","",INDEX(Activities!$B$2:$B$201,MATCH($A838,Activities!$A$2:$A$201,0))),""))</f>
        <v/>
      </c>
      <c r="I838" s="24" t="str">
        <f aca="false">IF($B838="","",IFERROR(IF(INDEX(Students!$C$2:$C$301,MATCH($B838,Students!$A$2:$A$301,0))="","",INDEX(Students!$C$2:$C$301,MATCH($B838,Students!$A$2:$A$301,0))),""))</f>
        <v/>
      </c>
      <c r="J838" s="24" t="str">
        <f aca="false">IF($B838="","",IFERROR(IF(INDEX(Students!$B$2:$B$301,MATCH($B838,Students!$A$2:$A$301,0))="","",INDEX(Students!$B$2:$B$301,MATCH($B838,Students!$A$2:$A$301,0))),""))</f>
        <v/>
      </c>
      <c r="K838" s="25" t="str">
        <f aca="false">IF($A838="","",IF(D838="Withdrawn",0,IF(E838&lt;&gt;"",N(E838),IFERROR(N(INDEX(Activities!$I$2:$I$201,MATCH($A838,Activities!$A$2:$A$201,0))),0))))</f>
        <v/>
      </c>
      <c r="L838" s="24" t="str">
        <f aca="false">IF(AND($A838="",$B838=""),"",IF(ISNA(MATCH($A838,Activities!$A$2:$A$201,0)),"Unknown activity",IF(ISNA(MATCH($B838,Students!$A$2:$A$301,0)),"Unknown student",IF(D838="","No status",IF(COUNTIFS($A$2:$A$1001,$A838,$B$2:$B$1001,$B838)&gt;1,"Duplicate",IF(AND(D838&lt;&gt;"Withdrawn",G838&lt;&gt;"",COUNTIFS($B$2:$B$1001,$B838,$G$2:$G$1001,G838,$D$2:$D$1001,"&lt;&gt;Withdrawn")&gt;1),"Same-day clash","OK"))))))</f>
        <v/>
      </c>
    </row>
    <row r="839" customFormat="false" ht="15" hidden="false" customHeight="false" outlineLevel="0" collapsed="false">
      <c r="E839" s="26"/>
      <c r="G839" s="23" t="str">
        <f aca="false">IF($A839="","",IFERROR(IF(INDEX(Activities!$C$2:$C$201,MATCH($A839,Activities!$A$2:$A$201,0))="","",INDEX(Activities!$C$2:$C$201,MATCH($A839,Activities!$A$2:$A$201,0))),""))</f>
        <v/>
      </c>
      <c r="H839" s="24" t="str">
        <f aca="false">IF($A839="","",IFERROR(IF(INDEX(Activities!$B$2:$B$201,MATCH($A839,Activities!$A$2:$A$201,0))="","",INDEX(Activities!$B$2:$B$201,MATCH($A839,Activities!$A$2:$A$201,0))),""))</f>
        <v/>
      </c>
      <c r="I839" s="24" t="str">
        <f aca="false">IF($B839="","",IFERROR(IF(INDEX(Students!$C$2:$C$301,MATCH($B839,Students!$A$2:$A$301,0))="","",INDEX(Students!$C$2:$C$301,MATCH($B839,Students!$A$2:$A$301,0))),""))</f>
        <v/>
      </c>
      <c r="J839" s="24" t="str">
        <f aca="false">IF($B839="","",IFERROR(IF(INDEX(Students!$B$2:$B$301,MATCH($B839,Students!$A$2:$A$301,0))="","",INDEX(Students!$B$2:$B$301,MATCH($B839,Students!$A$2:$A$301,0))),""))</f>
        <v/>
      </c>
      <c r="K839" s="25" t="str">
        <f aca="false">IF($A839="","",IF(D839="Withdrawn",0,IF(E839&lt;&gt;"",N(E839),IFERROR(N(INDEX(Activities!$I$2:$I$201,MATCH($A839,Activities!$A$2:$A$201,0))),0))))</f>
        <v/>
      </c>
      <c r="L839" s="24" t="str">
        <f aca="false">IF(AND($A839="",$B839=""),"",IF(ISNA(MATCH($A839,Activities!$A$2:$A$201,0)),"Unknown activity",IF(ISNA(MATCH($B839,Students!$A$2:$A$301,0)),"Unknown student",IF(D839="","No status",IF(COUNTIFS($A$2:$A$1001,$A839,$B$2:$B$1001,$B839)&gt;1,"Duplicate",IF(AND(D839&lt;&gt;"Withdrawn",G839&lt;&gt;"",COUNTIFS($B$2:$B$1001,$B839,$G$2:$G$1001,G839,$D$2:$D$1001,"&lt;&gt;Withdrawn")&gt;1),"Same-day clash","OK"))))))</f>
        <v/>
      </c>
    </row>
    <row r="840" customFormat="false" ht="15" hidden="false" customHeight="false" outlineLevel="0" collapsed="false">
      <c r="E840" s="26"/>
      <c r="G840" s="23" t="str">
        <f aca="false">IF($A840="","",IFERROR(IF(INDEX(Activities!$C$2:$C$201,MATCH($A840,Activities!$A$2:$A$201,0))="","",INDEX(Activities!$C$2:$C$201,MATCH($A840,Activities!$A$2:$A$201,0))),""))</f>
        <v/>
      </c>
      <c r="H840" s="24" t="str">
        <f aca="false">IF($A840="","",IFERROR(IF(INDEX(Activities!$B$2:$B$201,MATCH($A840,Activities!$A$2:$A$201,0))="","",INDEX(Activities!$B$2:$B$201,MATCH($A840,Activities!$A$2:$A$201,0))),""))</f>
        <v/>
      </c>
      <c r="I840" s="24" t="str">
        <f aca="false">IF($B840="","",IFERROR(IF(INDEX(Students!$C$2:$C$301,MATCH($B840,Students!$A$2:$A$301,0))="","",INDEX(Students!$C$2:$C$301,MATCH($B840,Students!$A$2:$A$301,0))),""))</f>
        <v/>
      </c>
      <c r="J840" s="24" t="str">
        <f aca="false">IF($B840="","",IFERROR(IF(INDEX(Students!$B$2:$B$301,MATCH($B840,Students!$A$2:$A$301,0))="","",INDEX(Students!$B$2:$B$301,MATCH($B840,Students!$A$2:$A$301,0))),""))</f>
        <v/>
      </c>
      <c r="K840" s="25" t="str">
        <f aca="false">IF($A840="","",IF(D840="Withdrawn",0,IF(E840&lt;&gt;"",N(E840),IFERROR(N(INDEX(Activities!$I$2:$I$201,MATCH($A840,Activities!$A$2:$A$201,0))),0))))</f>
        <v/>
      </c>
      <c r="L840" s="24" t="str">
        <f aca="false">IF(AND($A840="",$B840=""),"",IF(ISNA(MATCH($A840,Activities!$A$2:$A$201,0)),"Unknown activity",IF(ISNA(MATCH($B840,Students!$A$2:$A$301,0)),"Unknown student",IF(D840="","No status",IF(COUNTIFS($A$2:$A$1001,$A840,$B$2:$B$1001,$B840)&gt;1,"Duplicate",IF(AND(D840&lt;&gt;"Withdrawn",G840&lt;&gt;"",COUNTIFS($B$2:$B$1001,$B840,$G$2:$G$1001,G840,$D$2:$D$1001,"&lt;&gt;Withdrawn")&gt;1),"Same-day clash","OK"))))))</f>
        <v/>
      </c>
    </row>
    <row r="841" customFormat="false" ht="15" hidden="false" customHeight="false" outlineLevel="0" collapsed="false">
      <c r="E841" s="26"/>
      <c r="G841" s="23" t="str">
        <f aca="false">IF($A841="","",IFERROR(IF(INDEX(Activities!$C$2:$C$201,MATCH($A841,Activities!$A$2:$A$201,0))="","",INDEX(Activities!$C$2:$C$201,MATCH($A841,Activities!$A$2:$A$201,0))),""))</f>
        <v/>
      </c>
      <c r="H841" s="24" t="str">
        <f aca="false">IF($A841="","",IFERROR(IF(INDEX(Activities!$B$2:$B$201,MATCH($A841,Activities!$A$2:$A$201,0))="","",INDEX(Activities!$B$2:$B$201,MATCH($A841,Activities!$A$2:$A$201,0))),""))</f>
        <v/>
      </c>
      <c r="I841" s="24" t="str">
        <f aca="false">IF($B841="","",IFERROR(IF(INDEX(Students!$C$2:$C$301,MATCH($B841,Students!$A$2:$A$301,0))="","",INDEX(Students!$C$2:$C$301,MATCH($B841,Students!$A$2:$A$301,0))),""))</f>
        <v/>
      </c>
      <c r="J841" s="24" t="str">
        <f aca="false">IF($B841="","",IFERROR(IF(INDEX(Students!$B$2:$B$301,MATCH($B841,Students!$A$2:$A$301,0))="","",INDEX(Students!$B$2:$B$301,MATCH($B841,Students!$A$2:$A$301,0))),""))</f>
        <v/>
      </c>
      <c r="K841" s="25" t="str">
        <f aca="false">IF($A841="","",IF(D841="Withdrawn",0,IF(E841&lt;&gt;"",N(E841),IFERROR(N(INDEX(Activities!$I$2:$I$201,MATCH($A841,Activities!$A$2:$A$201,0))),0))))</f>
        <v/>
      </c>
      <c r="L841" s="24" t="str">
        <f aca="false">IF(AND($A841="",$B841=""),"",IF(ISNA(MATCH($A841,Activities!$A$2:$A$201,0)),"Unknown activity",IF(ISNA(MATCH($B841,Students!$A$2:$A$301,0)),"Unknown student",IF(D841="","No status",IF(COUNTIFS($A$2:$A$1001,$A841,$B$2:$B$1001,$B841)&gt;1,"Duplicate",IF(AND(D841&lt;&gt;"Withdrawn",G841&lt;&gt;"",COUNTIFS($B$2:$B$1001,$B841,$G$2:$G$1001,G841,$D$2:$D$1001,"&lt;&gt;Withdrawn")&gt;1),"Same-day clash","OK"))))))</f>
        <v/>
      </c>
    </row>
    <row r="842" customFormat="false" ht="15" hidden="false" customHeight="false" outlineLevel="0" collapsed="false">
      <c r="E842" s="26"/>
      <c r="G842" s="23" t="str">
        <f aca="false">IF($A842="","",IFERROR(IF(INDEX(Activities!$C$2:$C$201,MATCH($A842,Activities!$A$2:$A$201,0))="","",INDEX(Activities!$C$2:$C$201,MATCH($A842,Activities!$A$2:$A$201,0))),""))</f>
        <v/>
      </c>
      <c r="H842" s="24" t="str">
        <f aca="false">IF($A842="","",IFERROR(IF(INDEX(Activities!$B$2:$B$201,MATCH($A842,Activities!$A$2:$A$201,0))="","",INDEX(Activities!$B$2:$B$201,MATCH($A842,Activities!$A$2:$A$201,0))),""))</f>
        <v/>
      </c>
      <c r="I842" s="24" t="str">
        <f aca="false">IF($B842="","",IFERROR(IF(INDEX(Students!$C$2:$C$301,MATCH($B842,Students!$A$2:$A$301,0))="","",INDEX(Students!$C$2:$C$301,MATCH($B842,Students!$A$2:$A$301,0))),""))</f>
        <v/>
      </c>
      <c r="J842" s="24" t="str">
        <f aca="false">IF($B842="","",IFERROR(IF(INDEX(Students!$B$2:$B$301,MATCH($B842,Students!$A$2:$A$301,0))="","",INDEX(Students!$B$2:$B$301,MATCH($B842,Students!$A$2:$A$301,0))),""))</f>
        <v/>
      </c>
      <c r="K842" s="25" t="str">
        <f aca="false">IF($A842="","",IF(D842="Withdrawn",0,IF(E842&lt;&gt;"",N(E842),IFERROR(N(INDEX(Activities!$I$2:$I$201,MATCH($A842,Activities!$A$2:$A$201,0))),0))))</f>
        <v/>
      </c>
      <c r="L842" s="24" t="str">
        <f aca="false">IF(AND($A842="",$B842=""),"",IF(ISNA(MATCH($A842,Activities!$A$2:$A$201,0)),"Unknown activity",IF(ISNA(MATCH($B842,Students!$A$2:$A$301,0)),"Unknown student",IF(D842="","No status",IF(COUNTIFS($A$2:$A$1001,$A842,$B$2:$B$1001,$B842)&gt;1,"Duplicate",IF(AND(D842&lt;&gt;"Withdrawn",G842&lt;&gt;"",COUNTIFS($B$2:$B$1001,$B842,$G$2:$G$1001,G842,$D$2:$D$1001,"&lt;&gt;Withdrawn")&gt;1),"Same-day clash","OK"))))))</f>
        <v/>
      </c>
    </row>
    <row r="843" customFormat="false" ht="15" hidden="false" customHeight="false" outlineLevel="0" collapsed="false">
      <c r="E843" s="26"/>
      <c r="G843" s="23" t="str">
        <f aca="false">IF($A843="","",IFERROR(IF(INDEX(Activities!$C$2:$C$201,MATCH($A843,Activities!$A$2:$A$201,0))="","",INDEX(Activities!$C$2:$C$201,MATCH($A843,Activities!$A$2:$A$201,0))),""))</f>
        <v/>
      </c>
      <c r="H843" s="24" t="str">
        <f aca="false">IF($A843="","",IFERROR(IF(INDEX(Activities!$B$2:$B$201,MATCH($A843,Activities!$A$2:$A$201,0))="","",INDEX(Activities!$B$2:$B$201,MATCH($A843,Activities!$A$2:$A$201,0))),""))</f>
        <v/>
      </c>
      <c r="I843" s="24" t="str">
        <f aca="false">IF($B843="","",IFERROR(IF(INDEX(Students!$C$2:$C$301,MATCH($B843,Students!$A$2:$A$301,0))="","",INDEX(Students!$C$2:$C$301,MATCH($B843,Students!$A$2:$A$301,0))),""))</f>
        <v/>
      </c>
      <c r="J843" s="24" t="str">
        <f aca="false">IF($B843="","",IFERROR(IF(INDEX(Students!$B$2:$B$301,MATCH($B843,Students!$A$2:$A$301,0))="","",INDEX(Students!$B$2:$B$301,MATCH($B843,Students!$A$2:$A$301,0))),""))</f>
        <v/>
      </c>
      <c r="K843" s="25" t="str">
        <f aca="false">IF($A843="","",IF(D843="Withdrawn",0,IF(E843&lt;&gt;"",N(E843),IFERROR(N(INDEX(Activities!$I$2:$I$201,MATCH($A843,Activities!$A$2:$A$201,0))),0))))</f>
        <v/>
      </c>
      <c r="L843" s="24" t="str">
        <f aca="false">IF(AND($A843="",$B843=""),"",IF(ISNA(MATCH($A843,Activities!$A$2:$A$201,0)),"Unknown activity",IF(ISNA(MATCH($B843,Students!$A$2:$A$301,0)),"Unknown student",IF(D843="","No status",IF(COUNTIFS($A$2:$A$1001,$A843,$B$2:$B$1001,$B843)&gt;1,"Duplicate",IF(AND(D843&lt;&gt;"Withdrawn",G843&lt;&gt;"",COUNTIFS($B$2:$B$1001,$B843,$G$2:$G$1001,G843,$D$2:$D$1001,"&lt;&gt;Withdrawn")&gt;1),"Same-day clash","OK"))))))</f>
        <v/>
      </c>
    </row>
    <row r="844" customFormat="false" ht="15" hidden="false" customHeight="false" outlineLevel="0" collapsed="false">
      <c r="E844" s="26"/>
      <c r="G844" s="23" t="str">
        <f aca="false">IF($A844="","",IFERROR(IF(INDEX(Activities!$C$2:$C$201,MATCH($A844,Activities!$A$2:$A$201,0))="","",INDEX(Activities!$C$2:$C$201,MATCH($A844,Activities!$A$2:$A$201,0))),""))</f>
        <v/>
      </c>
      <c r="H844" s="24" t="str">
        <f aca="false">IF($A844="","",IFERROR(IF(INDEX(Activities!$B$2:$B$201,MATCH($A844,Activities!$A$2:$A$201,0))="","",INDEX(Activities!$B$2:$B$201,MATCH($A844,Activities!$A$2:$A$201,0))),""))</f>
        <v/>
      </c>
      <c r="I844" s="24" t="str">
        <f aca="false">IF($B844="","",IFERROR(IF(INDEX(Students!$C$2:$C$301,MATCH($B844,Students!$A$2:$A$301,0))="","",INDEX(Students!$C$2:$C$301,MATCH($B844,Students!$A$2:$A$301,0))),""))</f>
        <v/>
      </c>
      <c r="J844" s="24" t="str">
        <f aca="false">IF($B844="","",IFERROR(IF(INDEX(Students!$B$2:$B$301,MATCH($B844,Students!$A$2:$A$301,0))="","",INDEX(Students!$B$2:$B$301,MATCH($B844,Students!$A$2:$A$301,0))),""))</f>
        <v/>
      </c>
      <c r="K844" s="25" t="str">
        <f aca="false">IF($A844="","",IF(D844="Withdrawn",0,IF(E844&lt;&gt;"",N(E844),IFERROR(N(INDEX(Activities!$I$2:$I$201,MATCH($A844,Activities!$A$2:$A$201,0))),0))))</f>
        <v/>
      </c>
      <c r="L844" s="24" t="str">
        <f aca="false">IF(AND($A844="",$B844=""),"",IF(ISNA(MATCH($A844,Activities!$A$2:$A$201,0)),"Unknown activity",IF(ISNA(MATCH($B844,Students!$A$2:$A$301,0)),"Unknown student",IF(D844="","No status",IF(COUNTIFS($A$2:$A$1001,$A844,$B$2:$B$1001,$B844)&gt;1,"Duplicate",IF(AND(D844&lt;&gt;"Withdrawn",G844&lt;&gt;"",COUNTIFS($B$2:$B$1001,$B844,$G$2:$G$1001,G844,$D$2:$D$1001,"&lt;&gt;Withdrawn")&gt;1),"Same-day clash","OK"))))))</f>
        <v/>
      </c>
    </row>
    <row r="845" customFormat="false" ht="15" hidden="false" customHeight="false" outlineLevel="0" collapsed="false">
      <c r="E845" s="26"/>
      <c r="G845" s="23" t="str">
        <f aca="false">IF($A845="","",IFERROR(IF(INDEX(Activities!$C$2:$C$201,MATCH($A845,Activities!$A$2:$A$201,0))="","",INDEX(Activities!$C$2:$C$201,MATCH($A845,Activities!$A$2:$A$201,0))),""))</f>
        <v/>
      </c>
      <c r="H845" s="24" t="str">
        <f aca="false">IF($A845="","",IFERROR(IF(INDEX(Activities!$B$2:$B$201,MATCH($A845,Activities!$A$2:$A$201,0))="","",INDEX(Activities!$B$2:$B$201,MATCH($A845,Activities!$A$2:$A$201,0))),""))</f>
        <v/>
      </c>
      <c r="I845" s="24" t="str">
        <f aca="false">IF($B845="","",IFERROR(IF(INDEX(Students!$C$2:$C$301,MATCH($B845,Students!$A$2:$A$301,0))="","",INDEX(Students!$C$2:$C$301,MATCH($B845,Students!$A$2:$A$301,0))),""))</f>
        <v/>
      </c>
      <c r="J845" s="24" t="str">
        <f aca="false">IF($B845="","",IFERROR(IF(INDEX(Students!$B$2:$B$301,MATCH($B845,Students!$A$2:$A$301,0))="","",INDEX(Students!$B$2:$B$301,MATCH($B845,Students!$A$2:$A$301,0))),""))</f>
        <v/>
      </c>
      <c r="K845" s="25" t="str">
        <f aca="false">IF($A845="","",IF(D845="Withdrawn",0,IF(E845&lt;&gt;"",N(E845),IFERROR(N(INDEX(Activities!$I$2:$I$201,MATCH($A845,Activities!$A$2:$A$201,0))),0))))</f>
        <v/>
      </c>
      <c r="L845" s="24" t="str">
        <f aca="false">IF(AND($A845="",$B845=""),"",IF(ISNA(MATCH($A845,Activities!$A$2:$A$201,0)),"Unknown activity",IF(ISNA(MATCH($B845,Students!$A$2:$A$301,0)),"Unknown student",IF(D845="","No status",IF(COUNTIFS($A$2:$A$1001,$A845,$B$2:$B$1001,$B845)&gt;1,"Duplicate",IF(AND(D845&lt;&gt;"Withdrawn",G845&lt;&gt;"",COUNTIFS($B$2:$B$1001,$B845,$G$2:$G$1001,G845,$D$2:$D$1001,"&lt;&gt;Withdrawn")&gt;1),"Same-day clash","OK"))))))</f>
        <v/>
      </c>
    </row>
    <row r="846" customFormat="false" ht="15" hidden="false" customHeight="false" outlineLevel="0" collapsed="false">
      <c r="E846" s="26"/>
      <c r="G846" s="23" t="str">
        <f aca="false">IF($A846="","",IFERROR(IF(INDEX(Activities!$C$2:$C$201,MATCH($A846,Activities!$A$2:$A$201,0))="","",INDEX(Activities!$C$2:$C$201,MATCH($A846,Activities!$A$2:$A$201,0))),""))</f>
        <v/>
      </c>
      <c r="H846" s="24" t="str">
        <f aca="false">IF($A846="","",IFERROR(IF(INDEX(Activities!$B$2:$B$201,MATCH($A846,Activities!$A$2:$A$201,0))="","",INDEX(Activities!$B$2:$B$201,MATCH($A846,Activities!$A$2:$A$201,0))),""))</f>
        <v/>
      </c>
      <c r="I846" s="24" t="str">
        <f aca="false">IF($B846="","",IFERROR(IF(INDEX(Students!$C$2:$C$301,MATCH($B846,Students!$A$2:$A$301,0))="","",INDEX(Students!$C$2:$C$301,MATCH($B846,Students!$A$2:$A$301,0))),""))</f>
        <v/>
      </c>
      <c r="J846" s="24" t="str">
        <f aca="false">IF($B846="","",IFERROR(IF(INDEX(Students!$B$2:$B$301,MATCH($B846,Students!$A$2:$A$301,0))="","",INDEX(Students!$B$2:$B$301,MATCH($B846,Students!$A$2:$A$301,0))),""))</f>
        <v/>
      </c>
      <c r="K846" s="25" t="str">
        <f aca="false">IF($A846="","",IF(D846="Withdrawn",0,IF(E846&lt;&gt;"",N(E846),IFERROR(N(INDEX(Activities!$I$2:$I$201,MATCH($A846,Activities!$A$2:$A$201,0))),0))))</f>
        <v/>
      </c>
      <c r="L846" s="24" t="str">
        <f aca="false">IF(AND($A846="",$B846=""),"",IF(ISNA(MATCH($A846,Activities!$A$2:$A$201,0)),"Unknown activity",IF(ISNA(MATCH($B846,Students!$A$2:$A$301,0)),"Unknown student",IF(D846="","No status",IF(COUNTIFS($A$2:$A$1001,$A846,$B$2:$B$1001,$B846)&gt;1,"Duplicate",IF(AND(D846&lt;&gt;"Withdrawn",G846&lt;&gt;"",COUNTIFS($B$2:$B$1001,$B846,$G$2:$G$1001,G846,$D$2:$D$1001,"&lt;&gt;Withdrawn")&gt;1),"Same-day clash","OK"))))))</f>
        <v/>
      </c>
    </row>
    <row r="847" customFormat="false" ht="15" hidden="false" customHeight="false" outlineLevel="0" collapsed="false">
      <c r="E847" s="26"/>
      <c r="G847" s="23" t="str">
        <f aca="false">IF($A847="","",IFERROR(IF(INDEX(Activities!$C$2:$C$201,MATCH($A847,Activities!$A$2:$A$201,0))="","",INDEX(Activities!$C$2:$C$201,MATCH($A847,Activities!$A$2:$A$201,0))),""))</f>
        <v/>
      </c>
      <c r="H847" s="24" t="str">
        <f aca="false">IF($A847="","",IFERROR(IF(INDEX(Activities!$B$2:$B$201,MATCH($A847,Activities!$A$2:$A$201,0))="","",INDEX(Activities!$B$2:$B$201,MATCH($A847,Activities!$A$2:$A$201,0))),""))</f>
        <v/>
      </c>
      <c r="I847" s="24" t="str">
        <f aca="false">IF($B847="","",IFERROR(IF(INDEX(Students!$C$2:$C$301,MATCH($B847,Students!$A$2:$A$301,0))="","",INDEX(Students!$C$2:$C$301,MATCH($B847,Students!$A$2:$A$301,0))),""))</f>
        <v/>
      </c>
      <c r="J847" s="24" t="str">
        <f aca="false">IF($B847="","",IFERROR(IF(INDEX(Students!$B$2:$B$301,MATCH($B847,Students!$A$2:$A$301,0))="","",INDEX(Students!$B$2:$B$301,MATCH($B847,Students!$A$2:$A$301,0))),""))</f>
        <v/>
      </c>
      <c r="K847" s="25" t="str">
        <f aca="false">IF($A847="","",IF(D847="Withdrawn",0,IF(E847&lt;&gt;"",N(E847),IFERROR(N(INDEX(Activities!$I$2:$I$201,MATCH($A847,Activities!$A$2:$A$201,0))),0))))</f>
        <v/>
      </c>
      <c r="L847" s="24" t="str">
        <f aca="false">IF(AND($A847="",$B847=""),"",IF(ISNA(MATCH($A847,Activities!$A$2:$A$201,0)),"Unknown activity",IF(ISNA(MATCH($B847,Students!$A$2:$A$301,0)),"Unknown student",IF(D847="","No status",IF(COUNTIFS($A$2:$A$1001,$A847,$B$2:$B$1001,$B847)&gt;1,"Duplicate",IF(AND(D847&lt;&gt;"Withdrawn",G847&lt;&gt;"",COUNTIFS($B$2:$B$1001,$B847,$G$2:$G$1001,G847,$D$2:$D$1001,"&lt;&gt;Withdrawn")&gt;1),"Same-day clash","OK"))))))</f>
        <v/>
      </c>
    </row>
    <row r="848" customFormat="false" ht="15" hidden="false" customHeight="false" outlineLevel="0" collapsed="false">
      <c r="E848" s="26"/>
      <c r="G848" s="23" t="str">
        <f aca="false">IF($A848="","",IFERROR(IF(INDEX(Activities!$C$2:$C$201,MATCH($A848,Activities!$A$2:$A$201,0))="","",INDEX(Activities!$C$2:$C$201,MATCH($A848,Activities!$A$2:$A$201,0))),""))</f>
        <v/>
      </c>
      <c r="H848" s="24" t="str">
        <f aca="false">IF($A848="","",IFERROR(IF(INDEX(Activities!$B$2:$B$201,MATCH($A848,Activities!$A$2:$A$201,0))="","",INDEX(Activities!$B$2:$B$201,MATCH($A848,Activities!$A$2:$A$201,0))),""))</f>
        <v/>
      </c>
      <c r="I848" s="24" t="str">
        <f aca="false">IF($B848="","",IFERROR(IF(INDEX(Students!$C$2:$C$301,MATCH($B848,Students!$A$2:$A$301,0))="","",INDEX(Students!$C$2:$C$301,MATCH($B848,Students!$A$2:$A$301,0))),""))</f>
        <v/>
      </c>
      <c r="J848" s="24" t="str">
        <f aca="false">IF($B848="","",IFERROR(IF(INDEX(Students!$B$2:$B$301,MATCH($B848,Students!$A$2:$A$301,0))="","",INDEX(Students!$B$2:$B$301,MATCH($B848,Students!$A$2:$A$301,0))),""))</f>
        <v/>
      </c>
      <c r="K848" s="25" t="str">
        <f aca="false">IF($A848="","",IF(D848="Withdrawn",0,IF(E848&lt;&gt;"",N(E848),IFERROR(N(INDEX(Activities!$I$2:$I$201,MATCH($A848,Activities!$A$2:$A$201,0))),0))))</f>
        <v/>
      </c>
      <c r="L848" s="24" t="str">
        <f aca="false">IF(AND($A848="",$B848=""),"",IF(ISNA(MATCH($A848,Activities!$A$2:$A$201,0)),"Unknown activity",IF(ISNA(MATCH($B848,Students!$A$2:$A$301,0)),"Unknown student",IF(D848="","No status",IF(COUNTIFS($A$2:$A$1001,$A848,$B$2:$B$1001,$B848)&gt;1,"Duplicate",IF(AND(D848&lt;&gt;"Withdrawn",G848&lt;&gt;"",COUNTIFS($B$2:$B$1001,$B848,$G$2:$G$1001,G848,$D$2:$D$1001,"&lt;&gt;Withdrawn")&gt;1),"Same-day clash","OK"))))))</f>
        <v/>
      </c>
    </row>
    <row r="849" customFormat="false" ht="15" hidden="false" customHeight="false" outlineLevel="0" collapsed="false">
      <c r="E849" s="26"/>
      <c r="G849" s="23" t="str">
        <f aca="false">IF($A849="","",IFERROR(IF(INDEX(Activities!$C$2:$C$201,MATCH($A849,Activities!$A$2:$A$201,0))="","",INDEX(Activities!$C$2:$C$201,MATCH($A849,Activities!$A$2:$A$201,0))),""))</f>
        <v/>
      </c>
      <c r="H849" s="24" t="str">
        <f aca="false">IF($A849="","",IFERROR(IF(INDEX(Activities!$B$2:$B$201,MATCH($A849,Activities!$A$2:$A$201,0))="","",INDEX(Activities!$B$2:$B$201,MATCH($A849,Activities!$A$2:$A$201,0))),""))</f>
        <v/>
      </c>
      <c r="I849" s="24" t="str">
        <f aca="false">IF($B849="","",IFERROR(IF(INDEX(Students!$C$2:$C$301,MATCH($B849,Students!$A$2:$A$301,0))="","",INDEX(Students!$C$2:$C$301,MATCH($B849,Students!$A$2:$A$301,0))),""))</f>
        <v/>
      </c>
      <c r="J849" s="24" t="str">
        <f aca="false">IF($B849="","",IFERROR(IF(INDEX(Students!$B$2:$B$301,MATCH($B849,Students!$A$2:$A$301,0))="","",INDEX(Students!$B$2:$B$301,MATCH($B849,Students!$A$2:$A$301,0))),""))</f>
        <v/>
      </c>
      <c r="K849" s="25" t="str">
        <f aca="false">IF($A849="","",IF(D849="Withdrawn",0,IF(E849&lt;&gt;"",N(E849),IFERROR(N(INDEX(Activities!$I$2:$I$201,MATCH($A849,Activities!$A$2:$A$201,0))),0))))</f>
        <v/>
      </c>
      <c r="L849" s="24" t="str">
        <f aca="false">IF(AND($A849="",$B849=""),"",IF(ISNA(MATCH($A849,Activities!$A$2:$A$201,0)),"Unknown activity",IF(ISNA(MATCH($B849,Students!$A$2:$A$301,0)),"Unknown student",IF(D849="","No status",IF(COUNTIFS($A$2:$A$1001,$A849,$B$2:$B$1001,$B849)&gt;1,"Duplicate",IF(AND(D849&lt;&gt;"Withdrawn",G849&lt;&gt;"",COUNTIFS($B$2:$B$1001,$B849,$G$2:$G$1001,G849,$D$2:$D$1001,"&lt;&gt;Withdrawn")&gt;1),"Same-day clash","OK"))))))</f>
        <v/>
      </c>
    </row>
    <row r="850" customFormat="false" ht="15" hidden="false" customHeight="false" outlineLevel="0" collapsed="false">
      <c r="E850" s="26"/>
      <c r="G850" s="23" t="str">
        <f aca="false">IF($A850="","",IFERROR(IF(INDEX(Activities!$C$2:$C$201,MATCH($A850,Activities!$A$2:$A$201,0))="","",INDEX(Activities!$C$2:$C$201,MATCH($A850,Activities!$A$2:$A$201,0))),""))</f>
        <v/>
      </c>
      <c r="H850" s="24" t="str">
        <f aca="false">IF($A850="","",IFERROR(IF(INDEX(Activities!$B$2:$B$201,MATCH($A850,Activities!$A$2:$A$201,0))="","",INDEX(Activities!$B$2:$B$201,MATCH($A850,Activities!$A$2:$A$201,0))),""))</f>
        <v/>
      </c>
      <c r="I850" s="24" t="str">
        <f aca="false">IF($B850="","",IFERROR(IF(INDEX(Students!$C$2:$C$301,MATCH($B850,Students!$A$2:$A$301,0))="","",INDEX(Students!$C$2:$C$301,MATCH($B850,Students!$A$2:$A$301,0))),""))</f>
        <v/>
      </c>
      <c r="J850" s="24" t="str">
        <f aca="false">IF($B850="","",IFERROR(IF(INDEX(Students!$B$2:$B$301,MATCH($B850,Students!$A$2:$A$301,0))="","",INDEX(Students!$B$2:$B$301,MATCH($B850,Students!$A$2:$A$301,0))),""))</f>
        <v/>
      </c>
      <c r="K850" s="25" t="str">
        <f aca="false">IF($A850="","",IF(D850="Withdrawn",0,IF(E850&lt;&gt;"",N(E850),IFERROR(N(INDEX(Activities!$I$2:$I$201,MATCH($A850,Activities!$A$2:$A$201,0))),0))))</f>
        <v/>
      </c>
      <c r="L850" s="24" t="str">
        <f aca="false">IF(AND($A850="",$B850=""),"",IF(ISNA(MATCH($A850,Activities!$A$2:$A$201,0)),"Unknown activity",IF(ISNA(MATCH($B850,Students!$A$2:$A$301,0)),"Unknown student",IF(D850="","No status",IF(COUNTIFS($A$2:$A$1001,$A850,$B$2:$B$1001,$B850)&gt;1,"Duplicate",IF(AND(D850&lt;&gt;"Withdrawn",G850&lt;&gt;"",COUNTIFS($B$2:$B$1001,$B850,$G$2:$G$1001,G850,$D$2:$D$1001,"&lt;&gt;Withdrawn")&gt;1),"Same-day clash","OK"))))))</f>
        <v/>
      </c>
    </row>
    <row r="851" customFormat="false" ht="15" hidden="false" customHeight="false" outlineLevel="0" collapsed="false">
      <c r="E851" s="26"/>
      <c r="G851" s="23" t="str">
        <f aca="false">IF($A851="","",IFERROR(IF(INDEX(Activities!$C$2:$C$201,MATCH($A851,Activities!$A$2:$A$201,0))="","",INDEX(Activities!$C$2:$C$201,MATCH($A851,Activities!$A$2:$A$201,0))),""))</f>
        <v/>
      </c>
      <c r="H851" s="24" t="str">
        <f aca="false">IF($A851="","",IFERROR(IF(INDEX(Activities!$B$2:$B$201,MATCH($A851,Activities!$A$2:$A$201,0))="","",INDEX(Activities!$B$2:$B$201,MATCH($A851,Activities!$A$2:$A$201,0))),""))</f>
        <v/>
      </c>
      <c r="I851" s="24" t="str">
        <f aca="false">IF($B851="","",IFERROR(IF(INDEX(Students!$C$2:$C$301,MATCH($B851,Students!$A$2:$A$301,0))="","",INDEX(Students!$C$2:$C$301,MATCH($B851,Students!$A$2:$A$301,0))),""))</f>
        <v/>
      </c>
      <c r="J851" s="24" t="str">
        <f aca="false">IF($B851="","",IFERROR(IF(INDEX(Students!$B$2:$B$301,MATCH($B851,Students!$A$2:$A$301,0))="","",INDEX(Students!$B$2:$B$301,MATCH($B851,Students!$A$2:$A$301,0))),""))</f>
        <v/>
      </c>
      <c r="K851" s="25" t="str">
        <f aca="false">IF($A851="","",IF(D851="Withdrawn",0,IF(E851&lt;&gt;"",N(E851),IFERROR(N(INDEX(Activities!$I$2:$I$201,MATCH($A851,Activities!$A$2:$A$201,0))),0))))</f>
        <v/>
      </c>
      <c r="L851" s="24" t="str">
        <f aca="false">IF(AND($A851="",$B851=""),"",IF(ISNA(MATCH($A851,Activities!$A$2:$A$201,0)),"Unknown activity",IF(ISNA(MATCH($B851,Students!$A$2:$A$301,0)),"Unknown student",IF(D851="","No status",IF(COUNTIFS($A$2:$A$1001,$A851,$B$2:$B$1001,$B851)&gt;1,"Duplicate",IF(AND(D851&lt;&gt;"Withdrawn",G851&lt;&gt;"",COUNTIFS($B$2:$B$1001,$B851,$G$2:$G$1001,G851,$D$2:$D$1001,"&lt;&gt;Withdrawn")&gt;1),"Same-day clash","OK"))))))</f>
        <v/>
      </c>
    </row>
    <row r="852" customFormat="false" ht="15" hidden="false" customHeight="false" outlineLevel="0" collapsed="false">
      <c r="E852" s="26"/>
      <c r="G852" s="23" t="str">
        <f aca="false">IF($A852="","",IFERROR(IF(INDEX(Activities!$C$2:$C$201,MATCH($A852,Activities!$A$2:$A$201,0))="","",INDEX(Activities!$C$2:$C$201,MATCH($A852,Activities!$A$2:$A$201,0))),""))</f>
        <v/>
      </c>
      <c r="H852" s="24" t="str">
        <f aca="false">IF($A852="","",IFERROR(IF(INDEX(Activities!$B$2:$B$201,MATCH($A852,Activities!$A$2:$A$201,0))="","",INDEX(Activities!$B$2:$B$201,MATCH($A852,Activities!$A$2:$A$201,0))),""))</f>
        <v/>
      </c>
      <c r="I852" s="24" t="str">
        <f aca="false">IF($B852="","",IFERROR(IF(INDEX(Students!$C$2:$C$301,MATCH($B852,Students!$A$2:$A$301,0))="","",INDEX(Students!$C$2:$C$301,MATCH($B852,Students!$A$2:$A$301,0))),""))</f>
        <v/>
      </c>
      <c r="J852" s="24" t="str">
        <f aca="false">IF($B852="","",IFERROR(IF(INDEX(Students!$B$2:$B$301,MATCH($B852,Students!$A$2:$A$301,0))="","",INDEX(Students!$B$2:$B$301,MATCH($B852,Students!$A$2:$A$301,0))),""))</f>
        <v/>
      </c>
      <c r="K852" s="25" t="str">
        <f aca="false">IF($A852="","",IF(D852="Withdrawn",0,IF(E852&lt;&gt;"",N(E852),IFERROR(N(INDEX(Activities!$I$2:$I$201,MATCH($A852,Activities!$A$2:$A$201,0))),0))))</f>
        <v/>
      </c>
      <c r="L852" s="24" t="str">
        <f aca="false">IF(AND($A852="",$B852=""),"",IF(ISNA(MATCH($A852,Activities!$A$2:$A$201,0)),"Unknown activity",IF(ISNA(MATCH($B852,Students!$A$2:$A$301,0)),"Unknown student",IF(D852="","No status",IF(COUNTIFS($A$2:$A$1001,$A852,$B$2:$B$1001,$B852)&gt;1,"Duplicate",IF(AND(D852&lt;&gt;"Withdrawn",G852&lt;&gt;"",COUNTIFS($B$2:$B$1001,$B852,$G$2:$G$1001,G852,$D$2:$D$1001,"&lt;&gt;Withdrawn")&gt;1),"Same-day clash","OK"))))))</f>
        <v/>
      </c>
    </row>
    <row r="853" customFormat="false" ht="15" hidden="false" customHeight="false" outlineLevel="0" collapsed="false">
      <c r="E853" s="26"/>
      <c r="G853" s="23" t="str">
        <f aca="false">IF($A853="","",IFERROR(IF(INDEX(Activities!$C$2:$C$201,MATCH($A853,Activities!$A$2:$A$201,0))="","",INDEX(Activities!$C$2:$C$201,MATCH($A853,Activities!$A$2:$A$201,0))),""))</f>
        <v/>
      </c>
      <c r="H853" s="24" t="str">
        <f aca="false">IF($A853="","",IFERROR(IF(INDEX(Activities!$B$2:$B$201,MATCH($A853,Activities!$A$2:$A$201,0))="","",INDEX(Activities!$B$2:$B$201,MATCH($A853,Activities!$A$2:$A$201,0))),""))</f>
        <v/>
      </c>
      <c r="I853" s="24" t="str">
        <f aca="false">IF($B853="","",IFERROR(IF(INDEX(Students!$C$2:$C$301,MATCH($B853,Students!$A$2:$A$301,0))="","",INDEX(Students!$C$2:$C$301,MATCH($B853,Students!$A$2:$A$301,0))),""))</f>
        <v/>
      </c>
      <c r="J853" s="24" t="str">
        <f aca="false">IF($B853="","",IFERROR(IF(INDEX(Students!$B$2:$B$301,MATCH($B853,Students!$A$2:$A$301,0))="","",INDEX(Students!$B$2:$B$301,MATCH($B853,Students!$A$2:$A$301,0))),""))</f>
        <v/>
      </c>
      <c r="K853" s="25" t="str">
        <f aca="false">IF($A853="","",IF(D853="Withdrawn",0,IF(E853&lt;&gt;"",N(E853),IFERROR(N(INDEX(Activities!$I$2:$I$201,MATCH($A853,Activities!$A$2:$A$201,0))),0))))</f>
        <v/>
      </c>
      <c r="L853" s="24" t="str">
        <f aca="false">IF(AND($A853="",$B853=""),"",IF(ISNA(MATCH($A853,Activities!$A$2:$A$201,0)),"Unknown activity",IF(ISNA(MATCH($B853,Students!$A$2:$A$301,0)),"Unknown student",IF(D853="","No status",IF(COUNTIFS($A$2:$A$1001,$A853,$B$2:$B$1001,$B853)&gt;1,"Duplicate",IF(AND(D853&lt;&gt;"Withdrawn",G853&lt;&gt;"",COUNTIFS($B$2:$B$1001,$B853,$G$2:$G$1001,G853,$D$2:$D$1001,"&lt;&gt;Withdrawn")&gt;1),"Same-day clash","OK"))))))</f>
        <v/>
      </c>
    </row>
    <row r="854" customFormat="false" ht="15" hidden="false" customHeight="false" outlineLevel="0" collapsed="false">
      <c r="E854" s="26"/>
      <c r="G854" s="23" t="str">
        <f aca="false">IF($A854="","",IFERROR(IF(INDEX(Activities!$C$2:$C$201,MATCH($A854,Activities!$A$2:$A$201,0))="","",INDEX(Activities!$C$2:$C$201,MATCH($A854,Activities!$A$2:$A$201,0))),""))</f>
        <v/>
      </c>
      <c r="H854" s="24" t="str">
        <f aca="false">IF($A854="","",IFERROR(IF(INDEX(Activities!$B$2:$B$201,MATCH($A854,Activities!$A$2:$A$201,0))="","",INDEX(Activities!$B$2:$B$201,MATCH($A854,Activities!$A$2:$A$201,0))),""))</f>
        <v/>
      </c>
      <c r="I854" s="24" t="str">
        <f aca="false">IF($B854="","",IFERROR(IF(INDEX(Students!$C$2:$C$301,MATCH($B854,Students!$A$2:$A$301,0))="","",INDEX(Students!$C$2:$C$301,MATCH($B854,Students!$A$2:$A$301,0))),""))</f>
        <v/>
      </c>
      <c r="J854" s="24" t="str">
        <f aca="false">IF($B854="","",IFERROR(IF(INDEX(Students!$B$2:$B$301,MATCH($B854,Students!$A$2:$A$301,0))="","",INDEX(Students!$B$2:$B$301,MATCH($B854,Students!$A$2:$A$301,0))),""))</f>
        <v/>
      </c>
      <c r="K854" s="25" t="str">
        <f aca="false">IF($A854="","",IF(D854="Withdrawn",0,IF(E854&lt;&gt;"",N(E854),IFERROR(N(INDEX(Activities!$I$2:$I$201,MATCH($A854,Activities!$A$2:$A$201,0))),0))))</f>
        <v/>
      </c>
      <c r="L854" s="24" t="str">
        <f aca="false">IF(AND($A854="",$B854=""),"",IF(ISNA(MATCH($A854,Activities!$A$2:$A$201,0)),"Unknown activity",IF(ISNA(MATCH($B854,Students!$A$2:$A$301,0)),"Unknown student",IF(D854="","No status",IF(COUNTIFS($A$2:$A$1001,$A854,$B$2:$B$1001,$B854)&gt;1,"Duplicate",IF(AND(D854&lt;&gt;"Withdrawn",G854&lt;&gt;"",COUNTIFS($B$2:$B$1001,$B854,$G$2:$G$1001,G854,$D$2:$D$1001,"&lt;&gt;Withdrawn")&gt;1),"Same-day clash","OK"))))))</f>
        <v/>
      </c>
    </row>
    <row r="855" customFormat="false" ht="15" hidden="false" customHeight="false" outlineLevel="0" collapsed="false">
      <c r="E855" s="26"/>
      <c r="G855" s="23" t="str">
        <f aca="false">IF($A855="","",IFERROR(IF(INDEX(Activities!$C$2:$C$201,MATCH($A855,Activities!$A$2:$A$201,0))="","",INDEX(Activities!$C$2:$C$201,MATCH($A855,Activities!$A$2:$A$201,0))),""))</f>
        <v/>
      </c>
      <c r="H855" s="24" t="str">
        <f aca="false">IF($A855="","",IFERROR(IF(INDEX(Activities!$B$2:$B$201,MATCH($A855,Activities!$A$2:$A$201,0))="","",INDEX(Activities!$B$2:$B$201,MATCH($A855,Activities!$A$2:$A$201,0))),""))</f>
        <v/>
      </c>
      <c r="I855" s="24" t="str">
        <f aca="false">IF($B855="","",IFERROR(IF(INDEX(Students!$C$2:$C$301,MATCH($B855,Students!$A$2:$A$301,0))="","",INDEX(Students!$C$2:$C$301,MATCH($B855,Students!$A$2:$A$301,0))),""))</f>
        <v/>
      </c>
      <c r="J855" s="24" t="str">
        <f aca="false">IF($B855="","",IFERROR(IF(INDEX(Students!$B$2:$B$301,MATCH($B855,Students!$A$2:$A$301,0))="","",INDEX(Students!$B$2:$B$301,MATCH($B855,Students!$A$2:$A$301,0))),""))</f>
        <v/>
      </c>
      <c r="K855" s="25" t="str">
        <f aca="false">IF($A855="","",IF(D855="Withdrawn",0,IF(E855&lt;&gt;"",N(E855),IFERROR(N(INDEX(Activities!$I$2:$I$201,MATCH($A855,Activities!$A$2:$A$201,0))),0))))</f>
        <v/>
      </c>
      <c r="L855" s="24" t="str">
        <f aca="false">IF(AND($A855="",$B855=""),"",IF(ISNA(MATCH($A855,Activities!$A$2:$A$201,0)),"Unknown activity",IF(ISNA(MATCH($B855,Students!$A$2:$A$301,0)),"Unknown student",IF(D855="","No status",IF(COUNTIFS($A$2:$A$1001,$A855,$B$2:$B$1001,$B855)&gt;1,"Duplicate",IF(AND(D855&lt;&gt;"Withdrawn",G855&lt;&gt;"",COUNTIFS($B$2:$B$1001,$B855,$G$2:$G$1001,G855,$D$2:$D$1001,"&lt;&gt;Withdrawn")&gt;1),"Same-day clash","OK"))))))</f>
        <v/>
      </c>
    </row>
    <row r="856" customFormat="false" ht="15" hidden="false" customHeight="false" outlineLevel="0" collapsed="false">
      <c r="E856" s="26"/>
      <c r="G856" s="23" t="str">
        <f aca="false">IF($A856="","",IFERROR(IF(INDEX(Activities!$C$2:$C$201,MATCH($A856,Activities!$A$2:$A$201,0))="","",INDEX(Activities!$C$2:$C$201,MATCH($A856,Activities!$A$2:$A$201,0))),""))</f>
        <v/>
      </c>
      <c r="H856" s="24" t="str">
        <f aca="false">IF($A856="","",IFERROR(IF(INDEX(Activities!$B$2:$B$201,MATCH($A856,Activities!$A$2:$A$201,0))="","",INDEX(Activities!$B$2:$B$201,MATCH($A856,Activities!$A$2:$A$201,0))),""))</f>
        <v/>
      </c>
      <c r="I856" s="24" t="str">
        <f aca="false">IF($B856="","",IFERROR(IF(INDEX(Students!$C$2:$C$301,MATCH($B856,Students!$A$2:$A$301,0))="","",INDEX(Students!$C$2:$C$301,MATCH($B856,Students!$A$2:$A$301,0))),""))</f>
        <v/>
      </c>
      <c r="J856" s="24" t="str">
        <f aca="false">IF($B856="","",IFERROR(IF(INDEX(Students!$B$2:$B$301,MATCH($B856,Students!$A$2:$A$301,0))="","",INDEX(Students!$B$2:$B$301,MATCH($B856,Students!$A$2:$A$301,0))),""))</f>
        <v/>
      </c>
      <c r="K856" s="25" t="str">
        <f aca="false">IF($A856="","",IF(D856="Withdrawn",0,IF(E856&lt;&gt;"",N(E856),IFERROR(N(INDEX(Activities!$I$2:$I$201,MATCH($A856,Activities!$A$2:$A$201,0))),0))))</f>
        <v/>
      </c>
      <c r="L856" s="24" t="str">
        <f aca="false">IF(AND($A856="",$B856=""),"",IF(ISNA(MATCH($A856,Activities!$A$2:$A$201,0)),"Unknown activity",IF(ISNA(MATCH($B856,Students!$A$2:$A$301,0)),"Unknown student",IF(D856="","No status",IF(COUNTIFS($A$2:$A$1001,$A856,$B$2:$B$1001,$B856)&gt;1,"Duplicate",IF(AND(D856&lt;&gt;"Withdrawn",G856&lt;&gt;"",COUNTIFS($B$2:$B$1001,$B856,$G$2:$G$1001,G856,$D$2:$D$1001,"&lt;&gt;Withdrawn")&gt;1),"Same-day clash","OK"))))))</f>
        <v/>
      </c>
    </row>
    <row r="857" customFormat="false" ht="15" hidden="false" customHeight="false" outlineLevel="0" collapsed="false">
      <c r="E857" s="26"/>
      <c r="G857" s="23" t="str">
        <f aca="false">IF($A857="","",IFERROR(IF(INDEX(Activities!$C$2:$C$201,MATCH($A857,Activities!$A$2:$A$201,0))="","",INDEX(Activities!$C$2:$C$201,MATCH($A857,Activities!$A$2:$A$201,0))),""))</f>
        <v/>
      </c>
      <c r="H857" s="24" t="str">
        <f aca="false">IF($A857="","",IFERROR(IF(INDEX(Activities!$B$2:$B$201,MATCH($A857,Activities!$A$2:$A$201,0))="","",INDEX(Activities!$B$2:$B$201,MATCH($A857,Activities!$A$2:$A$201,0))),""))</f>
        <v/>
      </c>
      <c r="I857" s="24" t="str">
        <f aca="false">IF($B857="","",IFERROR(IF(INDEX(Students!$C$2:$C$301,MATCH($B857,Students!$A$2:$A$301,0))="","",INDEX(Students!$C$2:$C$301,MATCH($B857,Students!$A$2:$A$301,0))),""))</f>
        <v/>
      </c>
      <c r="J857" s="24" t="str">
        <f aca="false">IF($B857="","",IFERROR(IF(INDEX(Students!$B$2:$B$301,MATCH($B857,Students!$A$2:$A$301,0))="","",INDEX(Students!$B$2:$B$301,MATCH($B857,Students!$A$2:$A$301,0))),""))</f>
        <v/>
      </c>
      <c r="K857" s="25" t="str">
        <f aca="false">IF($A857="","",IF(D857="Withdrawn",0,IF(E857&lt;&gt;"",N(E857),IFERROR(N(INDEX(Activities!$I$2:$I$201,MATCH($A857,Activities!$A$2:$A$201,0))),0))))</f>
        <v/>
      </c>
      <c r="L857" s="24" t="str">
        <f aca="false">IF(AND($A857="",$B857=""),"",IF(ISNA(MATCH($A857,Activities!$A$2:$A$201,0)),"Unknown activity",IF(ISNA(MATCH($B857,Students!$A$2:$A$301,0)),"Unknown student",IF(D857="","No status",IF(COUNTIFS($A$2:$A$1001,$A857,$B$2:$B$1001,$B857)&gt;1,"Duplicate",IF(AND(D857&lt;&gt;"Withdrawn",G857&lt;&gt;"",COUNTIFS($B$2:$B$1001,$B857,$G$2:$G$1001,G857,$D$2:$D$1001,"&lt;&gt;Withdrawn")&gt;1),"Same-day clash","OK"))))))</f>
        <v/>
      </c>
    </row>
    <row r="858" customFormat="false" ht="15" hidden="false" customHeight="false" outlineLevel="0" collapsed="false">
      <c r="E858" s="26"/>
      <c r="G858" s="23" t="str">
        <f aca="false">IF($A858="","",IFERROR(IF(INDEX(Activities!$C$2:$C$201,MATCH($A858,Activities!$A$2:$A$201,0))="","",INDEX(Activities!$C$2:$C$201,MATCH($A858,Activities!$A$2:$A$201,0))),""))</f>
        <v/>
      </c>
      <c r="H858" s="24" t="str">
        <f aca="false">IF($A858="","",IFERROR(IF(INDEX(Activities!$B$2:$B$201,MATCH($A858,Activities!$A$2:$A$201,0))="","",INDEX(Activities!$B$2:$B$201,MATCH($A858,Activities!$A$2:$A$201,0))),""))</f>
        <v/>
      </c>
      <c r="I858" s="24" t="str">
        <f aca="false">IF($B858="","",IFERROR(IF(INDEX(Students!$C$2:$C$301,MATCH($B858,Students!$A$2:$A$301,0))="","",INDEX(Students!$C$2:$C$301,MATCH($B858,Students!$A$2:$A$301,0))),""))</f>
        <v/>
      </c>
      <c r="J858" s="24" t="str">
        <f aca="false">IF($B858="","",IFERROR(IF(INDEX(Students!$B$2:$B$301,MATCH($B858,Students!$A$2:$A$301,0))="","",INDEX(Students!$B$2:$B$301,MATCH($B858,Students!$A$2:$A$301,0))),""))</f>
        <v/>
      </c>
      <c r="K858" s="25" t="str">
        <f aca="false">IF($A858="","",IF(D858="Withdrawn",0,IF(E858&lt;&gt;"",N(E858),IFERROR(N(INDEX(Activities!$I$2:$I$201,MATCH($A858,Activities!$A$2:$A$201,0))),0))))</f>
        <v/>
      </c>
      <c r="L858" s="24" t="str">
        <f aca="false">IF(AND($A858="",$B858=""),"",IF(ISNA(MATCH($A858,Activities!$A$2:$A$201,0)),"Unknown activity",IF(ISNA(MATCH($B858,Students!$A$2:$A$301,0)),"Unknown student",IF(D858="","No status",IF(COUNTIFS($A$2:$A$1001,$A858,$B$2:$B$1001,$B858)&gt;1,"Duplicate",IF(AND(D858&lt;&gt;"Withdrawn",G858&lt;&gt;"",COUNTIFS($B$2:$B$1001,$B858,$G$2:$G$1001,G858,$D$2:$D$1001,"&lt;&gt;Withdrawn")&gt;1),"Same-day clash","OK"))))))</f>
        <v/>
      </c>
    </row>
    <row r="859" customFormat="false" ht="15" hidden="false" customHeight="false" outlineLevel="0" collapsed="false">
      <c r="E859" s="26"/>
      <c r="G859" s="23" t="str">
        <f aca="false">IF($A859="","",IFERROR(IF(INDEX(Activities!$C$2:$C$201,MATCH($A859,Activities!$A$2:$A$201,0))="","",INDEX(Activities!$C$2:$C$201,MATCH($A859,Activities!$A$2:$A$201,0))),""))</f>
        <v/>
      </c>
      <c r="H859" s="24" t="str">
        <f aca="false">IF($A859="","",IFERROR(IF(INDEX(Activities!$B$2:$B$201,MATCH($A859,Activities!$A$2:$A$201,0))="","",INDEX(Activities!$B$2:$B$201,MATCH($A859,Activities!$A$2:$A$201,0))),""))</f>
        <v/>
      </c>
      <c r="I859" s="24" t="str">
        <f aca="false">IF($B859="","",IFERROR(IF(INDEX(Students!$C$2:$C$301,MATCH($B859,Students!$A$2:$A$301,0))="","",INDEX(Students!$C$2:$C$301,MATCH($B859,Students!$A$2:$A$301,0))),""))</f>
        <v/>
      </c>
      <c r="J859" s="24" t="str">
        <f aca="false">IF($B859="","",IFERROR(IF(INDEX(Students!$B$2:$B$301,MATCH($B859,Students!$A$2:$A$301,0))="","",INDEX(Students!$B$2:$B$301,MATCH($B859,Students!$A$2:$A$301,0))),""))</f>
        <v/>
      </c>
      <c r="K859" s="25" t="str">
        <f aca="false">IF($A859="","",IF(D859="Withdrawn",0,IF(E859&lt;&gt;"",N(E859),IFERROR(N(INDEX(Activities!$I$2:$I$201,MATCH($A859,Activities!$A$2:$A$201,0))),0))))</f>
        <v/>
      </c>
      <c r="L859" s="24" t="str">
        <f aca="false">IF(AND($A859="",$B859=""),"",IF(ISNA(MATCH($A859,Activities!$A$2:$A$201,0)),"Unknown activity",IF(ISNA(MATCH($B859,Students!$A$2:$A$301,0)),"Unknown student",IF(D859="","No status",IF(COUNTIFS($A$2:$A$1001,$A859,$B$2:$B$1001,$B859)&gt;1,"Duplicate",IF(AND(D859&lt;&gt;"Withdrawn",G859&lt;&gt;"",COUNTIFS($B$2:$B$1001,$B859,$G$2:$G$1001,G859,$D$2:$D$1001,"&lt;&gt;Withdrawn")&gt;1),"Same-day clash","OK"))))))</f>
        <v/>
      </c>
    </row>
    <row r="860" customFormat="false" ht="15" hidden="false" customHeight="false" outlineLevel="0" collapsed="false">
      <c r="E860" s="26"/>
      <c r="G860" s="23" t="str">
        <f aca="false">IF($A860="","",IFERROR(IF(INDEX(Activities!$C$2:$C$201,MATCH($A860,Activities!$A$2:$A$201,0))="","",INDEX(Activities!$C$2:$C$201,MATCH($A860,Activities!$A$2:$A$201,0))),""))</f>
        <v/>
      </c>
      <c r="H860" s="24" t="str">
        <f aca="false">IF($A860="","",IFERROR(IF(INDEX(Activities!$B$2:$B$201,MATCH($A860,Activities!$A$2:$A$201,0))="","",INDEX(Activities!$B$2:$B$201,MATCH($A860,Activities!$A$2:$A$201,0))),""))</f>
        <v/>
      </c>
      <c r="I860" s="24" t="str">
        <f aca="false">IF($B860="","",IFERROR(IF(INDEX(Students!$C$2:$C$301,MATCH($B860,Students!$A$2:$A$301,0))="","",INDEX(Students!$C$2:$C$301,MATCH($B860,Students!$A$2:$A$301,0))),""))</f>
        <v/>
      </c>
      <c r="J860" s="24" t="str">
        <f aca="false">IF($B860="","",IFERROR(IF(INDEX(Students!$B$2:$B$301,MATCH($B860,Students!$A$2:$A$301,0))="","",INDEX(Students!$B$2:$B$301,MATCH($B860,Students!$A$2:$A$301,0))),""))</f>
        <v/>
      </c>
      <c r="K860" s="25" t="str">
        <f aca="false">IF($A860="","",IF(D860="Withdrawn",0,IF(E860&lt;&gt;"",N(E860),IFERROR(N(INDEX(Activities!$I$2:$I$201,MATCH($A860,Activities!$A$2:$A$201,0))),0))))</f>
        <v/>
      </c>
      <c r="L860" s="24" t="str">
        <f aca="false">IF(AND($A860="",$B860=""),"",IF(ISNA(MATCH($A860,Activities!$A$2:$A$201,0)),"Unknown activity",IF(ISNA(MATCH($B860,Students!$A$2:$A$301,0)),"Unknown student",IF(D860="","No status",IF(COUNTIFS($A$2:$A$1001,$A860,$B$2:$B$1001,$B860)&gt;1,"Duplicate",IF(AND(D860&lt;&gt;"Withdrawn",G860&lt;&gt;"",COUNTIFS($B$2:$B$1001,$B860,$G$2:$G$1001,G860,$D$2:$D$1001,"&lt;&gt;Withdrawn")&gt;1),"Same-day clash","OK"))))))</f>
        <v/>
      </c>
    </row>
    <row r="861" customFormat="false" ht="15" hidden="false" customHeight="false" outlineLevel="0" collapsed="false">
      <c r="E861" s="26"/>
      <c r="G861" s="23" t="str">
        <f aca="false">IF($A861="","",IFERROR(IF(INDEX(Activities!$C$2:$C$201,MATCH($A861,Activities!$A$2:$A$201,0))="","",INDEX(Activities!$C$2:$C$201,MATCH($A861,Activities!$A$2:$A$201,0))),""))</f>
        <v/>
      </c>
      <c r="H861" s="24" t="str">
        <f aca="false">IF($A861="","",IFERROR(IF(INDEX(Activities!$B$2:$B$201,MATCH($A861,Activities!$A$2:$A$201,0))="","",INDEX(Activities!$B$2:$B$201,MATCH($A861,Activities!$A$2:$A$201,0))),""))</f>
        <v/>
      </c>
      <c r="I861" s="24" t="str">
        <f aca="false">IF($B861="","",IFERROR(IF(INDEX(Students!$C$2:$C$301,MATCH($B861,Students!$A$2:$A$301,0))="","",INDEX(Students!$C$2:$C$301,MATCH($B861,Students!$A$2:$A$301,0))),""))</f>
        <v/>
      </c>
      <c r="J861" s="24" t="str">
        <f aca="false">IF($B861="","",IFERROR(IF(INDEX(Students!$B$2:$B$301,MATCH($B861,Students!$A$2:$A$301,0))="","",INDEX(Students!$B$2:$B$301,MATCH($B861,Students!$A$2:$A$301,0))),""))</f>
        <v/>
      </c>
      <c r="K861" s="25" t="str">
        <f aca="false">IF($A861="","",IF(D861="Withdrawn",0,IF(E861&lt;&gt;"",N(E861),IFERROR(N(INDEX(Activities!$I$2:$I$201,MATCH($A861,Activities!$A$2:$A$201,0))),0))))</f>
        <v/>
      </c>
      <c r="L861" s="24" t="str">
        <f aca="false">IF(AND($A861="",$B861=""),"",IF(ISNA(MATCH($A861,Activities!$A$2:$A$201,0)),"Unknown activity",IF(ISNA(MATCH($B861,Students!$A$2:$A$301,0)),"Unknown student",IF(D861="","No status",IF(COUNTIFS($A$2:$A$1001,$A861,$B$2:$B$1001,$B861)&gt;1,"Duplicate",IF(AND(D861&lt;&gt;"Withdrawn",G861&lt;&gt;"",COUNTIFS($B$2:$B$1001,$B861,$G$2:$G$1001,G861,$D$2:$D$1001,"&lt;&gt;Withdrawn")&gt;1),"Same-day clash","OK"))))))</f>
        <v/>
      </c>
    </row>
    <row r="862" customFormat="false" ht="15" hidden="false" customHeight="false" outlineLevel="0" collapsed="false">
      <c r="E862" s="26"/>
      <c r="G862" s="23" t="str">
        <f aca="false">IF($A862="","",IFERROR(IF(INDEX(Activities!$C$2:$C$201,MATCH($A862,Activities!$A$2:$A$201,0))="","",INDEX(Activities!$C$2:$C$201,MATCH($A862,Activities!$A$2:$A$201,0))),""))</f>
        <v/>
      </c>
      <c r="H862" s="24" t="str">
        <f aca="false">IF($A862="","",IFERROR(IF(INDEX(Activities!$B$2:$B$201,MATCH($A862,Activities!$A$2:$A$201,0))="","",INDEX(Activities!$B$2:$B$201,MATCH($A862,Activities!$A$2:$A$201,0))),""))</f>
        <v/>
      </c>
      <c r="I862" s="24" t="str">
        <f aca="false">IF($B862="","",IFERROR(IF(INDEX(Students!$C$2:$C$301,MATCH($B862,Students!$A$2:$A$301,0))="","",INDEX(Students!$C$2:$C$301,MATCH($B862,Students!$A$2:$A$301,0))),""))</f>
        <v/>
      </c>
      <c r="J862" s="24" t="str">
        <f aca="false">IF($B862="","",IFERROR(IF(INDEX(Students!$B$2:$B$301,MATCH($B862,Students!$A$2:$A$301,0))="","",INDEX(Students!$B$2:$B$301,MATCH($B862,Students!$A$2:$A$301,0))),""))</f>
        <v/>
      </c>
      <c r="K862" s="25" t="str">
        <f aca="false">IF($A862="","",IF(D862="Withdrawn",0,IF(E862&lt;&gt;"",N(E862),IFERROR(N(INDEX(Activities!$I$2:$I$201,MATCH($A862,Activities!$A$2:$A$201,0))),0))))</f>
        <v/>
      </c>
      <c r="L862" s="24" t="str">
        <f aca="false">IF(AND($A862="",$B862=""),"",IF(ISNA(MATCH($A862,Activities!$A$2:$A$201,0)),"Unknown activity",IF(ISNA(MATCH($B862,Students!$A$2:$A$301,0)),"Unknown student",IF(D862="","No status",IF(COUNTIFS($A$2:$A$1001,$A862,$B$2:$B$1001,$B862)&gt;1,"Duplicate",IF(AND(D862&lt;&gt;"Withdrawn",G862&lt;&gt;"",COUNTIFS($B$2:$B$1001,$B862,$G$2:$G$1001,G862,$D$2:$D$1001,"&lt;&gt;Withdrawn")&gt;1),"Same-day clash","OK"))))))</f>
        <v/>
      </c>
    </row>
    <row r="863" customFormat="false" ht="15" hidden="false" customHeight="false" outlineLevel="0" collapsed="false">
      <c r="E863" s="26"/>
      <c r="G863" s="23" t="str">
        <f aca="false">IF($A863="","",IFERROR(IF(INDEX(Activities!$C$2:$C$201,MATCH($A863,Activities!$A$2:$A$201,0))="","",INDEX(Activities!$C$2:$C$201,MATCH($A863,Activities!$A$2:$A$201,0))),""))</f>
        <v/>
      </c>
      <c r="H863" s="24" t="str">
        <f aca="false">IF($A863="","",IFERROR(IF(INDEX(Activities!$B$2:$B$201,MATCH($A863,Activities!$A$2:$A$201,0))="","",INDEX(Activities!$B$2:$B$201,MATCH($A863,Activities!$A$2:$A$201,0))),""))</f>
        <v/>
      </c>
      <c r="I863" s="24" t="str">
        <f aca="false">IF($B863="","",IFERROR(IF(INDEX(Students!$C$2:$C$301,MATCH($B863,Students!$A$2:$A$301,0))="","",INDEX(Students!$C$2:$C$301,MATCH($B863,Students!$A$2:$A$301,0))),""))</f>
        <v/>
      </c>
      <c r="J863" s="24" t="str">
        <f aca="false">IF($B863="","",IFERROR(IF(INDEX(Students!$B$2:$B$301,MATCH($B863,Students!$A$2:$A$301,0))="","",INDEX(Students!$B$2:$B$301,MATCH($B863,Students!$A$2:$A$301,0))),""))</f>
        <v/>
      </c>
      <c r="K863" s="25" t="str">
        <f aca="false">IF($A863="","",IF(D863="Withdrawn",0,IF(E863&lt;&gt;"",N(E863),IFERROR(N(INDEX(Activities!$I$2:$I$201,MATCH($A863,Activities!$A$2:$A$201,0))),0))))</f>
        <v/>
      </c>
      <c r="L863" s="24" t="str">
        <f aca="false">IF(AND($A863="",$B863=""),"",IF(ISNA(MATCH($A863,Activities!$A$2:$A$201,0)),"Unknown activity",IF(ISNA(MATCH($B863,Students!$A$2:$A$301,0)),"Unknown student",IF(D863="","No status",IF(COUNTIFS($A$2:$A$1001,$A863,$B$2:$B$1001,$B863)&gt;1,"Duplicate",IF(AND(D863&lt;&gt;"Withdrawn",G863&lt;&gt;"",COUNTIFS($B$2:$B$1001,$B863,$G$2:$G$1001,G863,$D$2:$D$1001,"&lt;&gt;Withdrawn")&gt;1),"Same-day clash","OK"))))))</f>
        <v/>
      </c>
    </row>
    <row r="864" customFormat="false" ht="15" hidden="false" customHeight="false" outlineLevel="0" collapsed="false">
      <c r="E864" s="26"/>
      <c r="G864" s="23" t="str">
        <f aca="false">IF($A864="","",IFERROR(IF(INDEX(Activities!$C$2:$C$201,MATCH($A864,Activities!$A$2:$A$201,0))="","",INDEX(Activities!$C$2:$C$201,MATCH($A864,Activities!$A$2:$A$201,0))),""))</f>
        <v/>
      </c>
      <c r="H864" s="24" t="str">
        <f aca="false">IF($A864="","",IFERROR(IF(INDEX(Activities!$B$2:$B$201,MATCH($A864,Activities!$A$2:$A$201,0))="","",INDEX(Activities!$B$2:$B$201,MATCH($A864,Activities!$A$2:$A$201,0))),""))</f>
        <v/>
      </c>
      <c r="I864" s="24" t="str">
        <f aca="false">IF($B864="","",IFERROR(IF(INDEX(Students!$C$2:$C$301,MATCH($B864,Students!$A$2:$A$301,0))="","",INDEX(Students!$C$2:$C$301,MATCH($B864,Students!$A$2:$A$301,0))),""))</f>
        <v/>
      </c>
      <c r="J864" s="24" t="str">
        <f aca="false">IF($B864="","",IFERROR(IF(INDEX(Students!$B$2:$B$301,MATCH($B864,Students!$A$2:$A$301,0))="","",INDEX(Students!$B$2:$B$301,MATCH($B864,Students!$A$2:$A$301,0))),""))</f>
        <v/>
      </c>
      <c r="K864" s="25" t="str">
        <f aca="false">IF($A864="","",IF(D864="Withdrawn",0,IF(E864&lt;&gt;"",N(E864),IFERROR(N(INDEX(Activities!$I$2:$I$201,MATCH($A864,Activities!$A$2:$A$201,0))),0))))</f>
        <v/>
      </c>
      <c r="L864" s="24" t="str">
        <f aca="false">IF(AND($A864="",$B864=""),"",IF(ISNA(MATCH($A864,Activities!$A$2:$A$201,0)),"Unknown activity",IF(ISNA(MATCH($B864,Students!$A$2:$A$301,0)),"Unknown student",IF(D864="","No status",IF(COUNTIFS($A$2:$A$1001,$A864,$B$2:$B$1001,$B864)&gt;1,"Duplicate",IF(AND(D864&lt;&gt;"Withdrawn",G864&lt;&gt;"",COUNTIFS($B$2:$B$1001,$B864,$G$2:$G$1001,G864,$D$2:$D$1001,"&lt;&gt;Withdrawn")&gt;1),"Same-day clash","OK"))))))</f>
        <v/>
      </c>
    </row>
    <row r="865" customFormat="false" ht="15" hidden="false" customHeight="false" outlineLevel="0" collapsed="false">
      <c r="E865" s="26"/>
      <c r="G865" s="23" t="str">
        <f aca="false">IF($A865="","",IFERROR(IF(INDEX(Activities!$C$2:$C$201,MATCH($A865,Activities!$A$2:$A$201,0))="","",INDEX(Activities!$C$2:$C$201,MATCH($A865,Activities!$A$2:$A$201,0))),""))</f>
        <v/>
      </c>
      <c r="H865" s="24" t="str">
        <f aca="false">IF($A865="","",IFERROR(IF(INDEX(Activities!$B$2:$B$201,MATCH($A865,Activities!$A$2:$A$201,0))="","",INDEX(Activities!$B$2:$B$201,MATCH($A865,Activities!$A$2:$A$201,0))),""))</f>
        <v/>
      </c>
      <c r="I865" s="24" t="str">
        <f aca="false">IF($B865="","",IFERROR(IF(INDEX(Students!$C$2:$C$301,MATCH($B865,Students!$A$2:$A$301,0))="","",INDEX(Students!$C$2:$C$301,MATCH($B865,Students!$A$2:$A$301,0))),""))</f>
        <v/>
      </c>
      <c r="J865" s="24" t="str">
        <f aca="false">IF($B865="","",IFERROR(IF(INDEX(Students!$B$2:$B$301,MATCH($B865,Students!$A$2:$A$301,0))="","",INDEX(Students!$B$2:$B$301,MATCH($B865,Students!$A$2:$A$301,0))),""))</f>
        <v/>
      </c>
      <c r="K865" s="25" t="str">
        <f aca="false">IF($A865="","",IF(D865="Withdrawn",0,IF(E865&lt;&gt;"",N(E865),IFERROR(N(INDEX(Activities!$I$2:$I$201,MATCH($A865,Activities!$A$2:$A$201,0))),0))))</f>
        <v/>
      </c>
      <c r="L865" s="24" t="str">
        <f aca="false">IF(AND($A865="",$B865=""),"",IF(ISNA(MATCH($A865,Activities!$A$2:$A$201,0)),"Unknown activity",IF(ISNA(MATCH($B865,Students!$A$2:$A$301,0)),"Unknown student",IF(D865="","No status",IF(COUNTIFS($A$2:$A$1001,$A865,$B$2:$B$1001,$B865)&gt;1,"Duplicate",IF(AND(D865&lt;&gt;"Withdrawn",G865&lt;&gt;"",COUNTIFS($B$2:$B$1001,$B865,$G$2:$G$1001,G865,$D$2:$D$1001,"&lt;&gt;Withdrawn")&gt;1),"Same-day clash","OK"))))))</f>
        <v/>
      </c>
    </row>
    <row r="866" customFormat="false" ht="15" hidden="false" customHeight="false" outlineLevel="0" collapsed="false">
      <c r="E866" s="26"/>
      <c r="G866" s="23" t="str">
        <f aca="false">IF($A866="","",IFERROR(IF(INDEX(Activities!$C$2:$C$201,MATCH($A866,Activities!$A$2:$A$201,0))="","",INDEX(Activities!$C$2:$C$201,MATCH($A866,Activities!$A$2:$A$201,0))),""))</f>
        <v/>
      </c>
      <c r="H866" s="24" t="str">
        <f aca="false">IF($A866="","",IFERROR(IF(INDEX(Activities!$B$2:$B$201,MATCH($A866,Activities!$A$2:$A$201,0))="","",INDEX(Activities!$B$2:$B$201,MATCH($A866,Activities!$A$2:$A$201,0))),""))</f>
        <v/>
      </c>
      <c r="I866" s="24" t="str">
        <f aca="false">IF($B866="","",IFERROR(IF(INDEX(Students!$C$2:$C$301,MATCH($B866,Students!$A$2:$A$301,0))="","",INDEX(Students!$C$2:$C$301,MATCH($B866,Students!$A$2:$A$301,0))),""))</f>
        <v/>
      </c>
      <c r="J866" s="24" t="str">
        <f aca="false">IF($B866="","",IFERROR(IF(INDEX(Students!$B$2:$B$301,MATCH($B866,Students!$A$2:$A$301,0))="","",INDEX(Students!$B$2:$B$301,MATCH($B866,Students!$A$2:$A$301,0))),""))</f>
        <v/>
      </c>
      <c r="K866" s="25" t="str">
        <f aca="false">IF($A866="","",IF(D866="Withdrawn",0,IF(E866&lt;&gt;"",N(E866),IFERROR(N(INDEX(Activities!$I$2:$I$201,MATCH($A866,Activities!$A$2:$A$201,0))),0))))</f>
        <v/>
      </c>
      <c r="L866" s="24" t="str">
        <f aca="false">IF(AND($A866="",$B866=""),"",IF(ISNA(MATCH($A866,Activities!$A$2:$A$201,0)),"Unknown activity",IF(ISNA(MATCH($B866,Students!$A$2:$A$301,0)),"Unknown student",IF(D866="","No status",IF(COUNTIFS($A$2:$A$1001,$A866,$B$2:$B$1001,$B866)&gt;1,"Duplicate",IF(AND(D866&lt;&gt;"Withdrawn",G866&lt;&gt;"",COUNTIFS($B$2:$B$1001,$B866,$G$2:$G$1001,G866,$D$2:$D$1001,"&lt;&gt;Withdrawn")&gt;1),"Same-day clash","OK"))))))</f>
        <v/>
      </c>
    </row>
    <row r="867" customFormat="false" ht="15" hidden="false" customHeight="false" outlineLevel="0" collapsed="false">
      <c r="E867" s="26"/>
      <c r="G867" s="23" t="str">
        <f aca="false">IF($A867="","",IFERROR(IF(INDEX(Activities!$C$2:$C$201,MATCH($A867,Activities!$A$2:$A$201,0))="","",INDEX(Activities!$C$2:$C$201,MATCH($A867,Activities!$A$2:$A$201,0))),""))</f>
        <v/>
      </c>
      <c r="H867" s="24" t="str">
        <f aca="false">IF($A867="","",IFERROR(IF(INDEX(Activities!$B$2:$B$201,MATCH($A867,Activities!$A$2:$A$201,0))="","",INDEX(Activities!$B$2:$B$201,MATCH($A867,Activities!$A$2:$A$201,0))),""))</f>
        <v/>
      </c>
      <c r="I867" s="24" t="str">
        <f aca="false">IF($B867="","",IFERROR(IF(INDEX(Students!$C$2:$C$301,MATCH($B867,Students!$A$2:$A$301,0))="","",INDEX(Students!$C$2:$C$301,MATCH($B867,Students!$A$2:$A$301,0))),""))</f>
        <v/>
      </c>
      <c r="J867" s="24" t="str">
        <f aca="false">IF($B867="","",IFERROR(IF(INDEX(Students!$B$2:$B$301,MATCH($B867,Students!$A$2:$A$301,0))="","",INDEX(Students!$B$2:$B$301,MATCH($B867,Students!$A$2:$A$301,0))),""))</f>
        <v/>
      </c>
      <c r="K867" s="25" t="str">
        <f aca="false">IF($A867="","",IF(D867="Withdrawn",0,IF(E867&lt;&gt;"",N(E867),IFERROR(N(INDEX(Activities!$I$2:$I$201,MATCH($A867,Activities!$A$2:$A$201,0))),0))))</f>
        <v/>
      </c>
      <c r="L867" s="24" t="str">
        <f aca="false">IF(AND($A867="",$B867=""),"",IF(ISNA(MATCH($A867,Activities!$A$2:$A$201,0)),"Unknown activity",IF(ISNA(MATCH($B867,Students!$A$2:$A$301,0)),"Unknown student",IF(D867="","No status",IF(COUNTIFS($A$2:$A$1001,$A867,$B$2:$B$1001,$B867)&gt;1,"Duplicate",IF(AND(D867&lt;&gt;"Withdrawn",G867&lt;&gt;"",COUNTIFS($B$2:$B$1001,$B867,$G$2:$G$1001,G867,$D$2:$D$1001,"&lt;&gt;Withdrawn")&gt;1),"Same-day clash","OK"))))))</f>
        <v/>
      </c>
    </row>
    <row r="868" customFormat="false" ht="15" hidden="false" customHeight="false" outlineLevel="0" collapsed="false">
      <c r="E868" s="26"/>
      <c r="G868" s="23" t="str">
        <f aca="false">IF($A868="","",IFERROR(IF(INDEX(Activities!$C$2:$C$201,MATCH($A868,Activities!$A$2:$A$201,0))="","",INDEX(Activities!$C$2:$C$201,MATCH($A868,Activities!$A$2:$A$201,0))),""))</f>
        <v/>
      </c>
      <c r="H868" s="24" t="str">
        <f aca="false">IF($A868="","",IFERROR(IF(INDEX(Activities!$B$2:$B$201,MATCH($A868,Activities!$A$2:$A$201,0))="","",INDEX(Activities!$B$2:$B$201,MATCH($A868,Activities!$A$2:$A$201,0))),""))</f>
        <v/>
      </c>
      <c r="I868" s="24" t="str">
        <f aca="false">IF($B868="","",IFERROR(IF(INDEX(Students!$C$2:$C$301,MATCH($B868,Students!$A$2:$A$301,0))="","",INDEX(Students!$C$2:$C$301,MATCH($B868,Students!$A$2:$A$301,0))),""))</f>
        <v/>
      </c>
      <c r="J868" s="24" t="str">
        <f aca="false">IF($B868="","",IFERROR(IF(INDEX(Students!$B$2:$B$301,MATCH($B868,Students!$A$2:$A$301,0))="","",INDEX(Students!$B$2:$B$301,MATCH($B868,Students!$A$2:$A$301,0))),""))</f>
        <v/>
      </c>
      <c r="K868" s="25" t="str">
        <f aca="false">IF($A868="","",IF(D868="Withdrawn",0,IF(E868&lt;&gt;"",N(E868),IFERROR(N(INDEX(Activities!$I$2:$I$201,MATCH($A868,Activities!$A$2:$A$201,0))),0))))</f>
        <v/>
      </c>
      <c r="L868" s="24" t="str">
        <f aca="false">IF(AND($A868="",$B868=""),"",IF(ISNA(MATCH($A868,Activities!$A$2:$A$201,0)),"Unknown activity",IF(ISNA(MATCH($B868,Students!$A$2:$A$301,0)),"Unknown student",IF(D868="","No status",IF(COUNTIFS($A$2:$A$1001,$A868,$B$2:$B$1001,$B868)&gt;1,"Duplicate",IF(AND(D868&lt;&gt;"Withdrawn",G868&lt;&gt;"",COUNTIFS($B$2:$B$1001,$B868,$G$2:$G$1001,G868,$D$2:$D$1001,"&lt;&gt;Withdrawn")&gt;1),"Same-day clash","OK"))))))</f>
        <v/>
      </c>
    </row>
    <row r="869" customFormat="false" ht="15" hidden="false" customHeight="false" outlineLevel="0" collapsed="false">
      <c r="E869" s="26"/>
      <c r="G869" s="23" t="str">
        <f aca="false">IF($A869="","",IFERROR(IF(INDEX(Activities!$C$2:$C$201,MATCH($A869,Activities!$A$2:$A$201,0))="","",INDEX(Activities!$C$2:$C$201,MATCH($A869,Activities!$A$2:$A$201,0))),""))</f>
        <v/>
      </c>
      <c r="H869" s="24" t="str">
        <f aca="false">IF($A869="","",IFERROR(IF(INDEX(Activities!$B$2:$B$201,MATCH($A869,Activities!$A$2:$A$201,0))="","",INDEX(Activities!$B$2:$B$201,MATCH($A869,Activities!$A$2:$A$201,0))),""))</f>
        <v/>
      </c>
      <c r="I869" s="24" t="str">
        <f aca="false">IF($B869="","",IFERROR(IF(INDEX(Students!$C$2:$C$301,MATCH($B869,Students!$A$2:$A$301,0))="","",INDEX(Students!$C$2:$C$301,MATCH($B869,Students!$A$2:$A$301,0))),""))</f>
        <v/>
      </c>
      <c r="J869" s="24" t="str">
        <f aca="false">IF($B869="","",IFERROR(IF(INDEX(Students!$B$2:$B$301,MATCH($B869,Students!$A$2:$A$301,0))="","",INDEX(Students!$B$2:$B$301,MATCH($B869,Students!$A$2:$A$301,0))),""))</f>
        <v/>
      </c>
      <c r="K869" s="25" t="str">
        <f aca="false">IF($A869="","",IF(D869="Withdrawn",0,IF(E869&lt;&gt;"",N(E869),IFERROR(N(INDEX(Activities!$I$2:$I$201,MATCH($A869,Activities!$A$2:$A$201,0))),0))))</f>
        <v/>
      </c>
      <c r="L869" s="24" t="str">
        <f aca="false">IF(AND($A869="",$B869=""),"",IF(ISNA(MATCH($A869,Activities!$A$2:$A$201,0)),"Unknown activity",IF(ISNA(MATCH($B869,Students!$A$2:$A$301,0)),"Unknown student",IF(D869="","No status",IF(COUNTIFS($A$2:$A$1001,$A869,$B$2:$B$1001,$B869)&gt;1,"Duplicate",IF(AND(D869&lt;&gt;"Withdrawn",G869&lt;&gt;"",COUNTIFS($B$2:$B$1001,$B869,$G$2:$G$1001,G869,$D$2:$D$1001,"&lt;&gt;Withdrawn")&gt;1),"Same-day clash","OK"))))))</f>
        <v/>
      </c>
    </row>
    <row r="870" customFormat="false" ht="15" hidden="false" customHeight="false" outlineLevel="0" collapsed="false">
      <c r="E870" s="26"/>
      <c r="G870" s="23" t="str">
        <f aca="false">IF($A870="","",IFERROR(IF(INDEX(Activities!$C$2:$C$201,MATCH($A870,Activities!$A$2:$A$201,0))="","",INDEX(Activities!$C$2:$C$201,MATCH($A870,Activities!$A$2:$A$201,0))),""))</f>
        <v/>
      </c>
      <c r="H870" s="24" t="str">
        <f aca="false">IF($A870="","",IFERROR(IF(INDEX(Activities!$B$2:$B$201,MATCH($A870,Activities!$A$2:$A$201,0))="","",INDEX(Activities!$B$2:$B$201,MATCH($A870,Activities!$A$2:$A$201,0))),""))</f>
        <v/>
      </c>
      <c r="I870" s="24" t="str">
        <f aca="false">IF($B870="","",IFERROR(IF(INDEX(Students!$C$2:$C$301,MATCH($B870,Students!$A$2:$A$301,0))="","",INDEX(Students!$C$2:$C$301,MATCH($B870,Students!$A$2:$A$301,0))),""))</f>
        <v/>
      </c>
      <c r="J870" s="24" t="str">
        <f aca="false">IF($B870="","",IFERROR(IF(INDEX(Students!$B$2:$B$301,MATCH($B870,Students!$A$2:$A$301,0))="","",INDEX(Students!$B$2:$B$301,MATCH($B870,Students!$A$2:$A$301,0))),""))</f>
        <v/>
      </c>
      <c r="K870" s="25" t="str">
        <f aca="false">IF($A870="","",IF(D870="Withdrawn",0,IF(E870&lt;&gt;"",N(E870),IFERROR(N(INDEX(Activities!$I$2:$I$201,MATCH($A870,Activities!$A$2:$A$201,0))),0))))</f>
        <v/>
      </c>
      <c r="L870" s="24" t="str">
        <f aca="false">IF(AND($A870="",$B870=""),"",IF(ISNA(MATCH($A870,Activities!$A$2:$A$201,0)),"Unknown activity",IF(ISNA(MATCH($B870,Students!$A$2:$A$301,0)),"Unknown student",IF(D870="","No status",IF(COUNTIFS($A$2:$A$1001,$A870,$B$2:$B$1001,$B870)&gt;1,"Duplicate",IF(AND(D870&lt;&gt;"Withdrawn",G870&lt;&gt;"",COUNTIFS($B$2:$B$1001,$B870,$G$2:$G$1001,G870,$D$2:$D$1001,"&lt;&gt;Withdrawn")&gt;1),"Same-day clash","OK"))))))</f>
        <v/>
      </c>
    </row>
    <row r="871" customFormat="false" ht="15" hidden="false" customHeight="false" outlineLevel="0" collapsed="false">
      <c r="E871" s="26"/>
      <c r="G871" s="23" t="str">
        <f aca="false">IF($A871="","",IFERROR(IF(INDEX(Activities!$C$2:$C$201,MATCH($A871,Activities!$A$2:$A$201,0))="","",INDEX(Activities!$C$2:$C$201,MATCH($A871,Activities!$A$2:$A$201,0))),""))</f>
        <v/>
      </c>
      <c r="H871" s="24" t="str">
        <f aca="false">IF($A871="","",IFERROR(IF(INDEX(Activities!$B$2:$B$201,MATCH($A871,Activities!$A$2:$A$201,0))="","",INDEX(Activities!$B$2:$B$201,MATCH($A871,Activities!$A$2:$A$201,0))),""))</f>
        <v/>
      </c>
      <c r="I871" s="24" t="str">
        <f aca="false">IF($B871="","",IFERROR(IF(INDEX(Students!$C$2:$C$301,MATCH($B871,Students!$A$2:$A$301,0))="","",INDEX(Students!$C$2:$C$301,MATCH($B871,Students!$A$2:$A$301,0))),""))</f>
        <v/>
      </c>
      <c r="J871" s="24" t="str">
        <f aca="false">IF($B871="","",IFERROR(IF(INDEX(Students!$B$2:$B$301,MATCH($B871,Students!$A$2:$A$301,0))="","",INDEX(Students!$B$2:$B$301,MATCH($B871,Students!$A$2:$A$301,0))),""))</f>
        <v/>
      </c>
      <c r="K871" s="25" t="str">
        <f aca="false">IF($A871="","",IF(D871="Withdrawn",0,IF(E871&lt;&gt;"",N(E871),IFERROR(N(INDEX(Activities!$I$2:$I$201,MATCH($A871,Activities!$A$2:$A$201,0))),0))))</f>
        <v/>
      </c>
      <c r="L871" s="24" t="str">
        <f aca="false">IF(AND($A871="",$B871=""),"",IF(ISNA(MATCH($A871,Activities!$A$2:$A$201,0)),"Unknown activity",IF(ISNA(MATCH($B871,Students!$A$2:$A$301,0)),"Unknown student",IF(D871="","No status",IF(COUNTIFS($A$2:$A$1001,$A871,$B$2:$B$1001,$B871)&gt;1,"Duplicate",IF(AND(D871&lt;&gt;"Withdrawn",G871&lt;&gt;"",COUNTIFS($B$2:$B$1001,$B871,$G$2:$G$1001,G871,$D$2:$D$1001,"&lt;&gt;Withdrawn")&gt;1),"Same-day clash","OK"))))))</f>
        <v/>
      </c>
    </row>
    <row r="872" customFormat="false" ht="15" hidden="false" customHeight="false" outlineLevel="0" collapsed="false">
      <c r="E872" s="26"/>
      <c r="G872" s="23" t="str">
        <f aca="false">IF($A872="","",IFERROR(IF(INDEX(Activities!$C$2:$C$201,MATCH($A872,Activities!$A$2:$A$201,0))="","",INDEX(Activities!$C$2:$C$201,MATCH($A872,Activities!$A$2:$A$201,0))),""))</f>
        <v/>
      </c>
      <c r="H872" s="24" t="str">
        <f aca="false">IF($A872="","",IFERROR(IF(INDEX(Activities!$B$2:$B$201,MATCH($A872,Activities!$A$2:$A$201,0))="","",INDEX(Activities!$B$2:$B$201,MATCH($A872,Activities!$A$2:$A$201,0))),""))</f>
        <v/>
      </c>
      <c r="I872" s="24" t="str">
        <f aca="false">IF($B872="","",IFERROR(IF(INDEX(Students!$C$2:$C$301,MATCH($B872,Students!$A$2:$A$301,0))="","",INDEX(Students!$C$2:$C$301,MATCH($B872,Students!$A$2:$A$301,0))),""))</f>
        <v/>
      </c>
      <c r="J872" s="24" t="str">
        <f aca="false">IF($B872="","",IFERROR(IF(INDEX(Students!$B$2:$B$301,MATCH($B872,Students!$A$2:$A$301,0))="","",INDEX(Students!$B$2:$B$301,MATCH($B872,Students!$A$2:$A$301,0))),""))</f>
        <v/>
      </c>
      <c r="K872" s="25" t="str">
        <f aca="false">IF($A872="","",IF(D872="Withdrawn",0,IF(E872&lt;&gt;"",N(E872),IFERROR(N(INDEX(Activities!$I$2:$I$201,MATCH($A872,Activities!$A$2:$A$201,0))),0))))</f>
        <v/>
      </c>
      <c r="L872" s="24" t="str">
        <f aca="false">IF(AND($A872="",$B872=""),"",IF(ISNA(MATCH($A872,Activities!$A$2:$A$201,0)),"Unknown activity",IF(ISNA(MATCH($B872,Students!$A$2:$A$301,0)),"Unknown student",IF(D872="","No status",IF(COUNTIFS($A$2:$A$1001,$A872,$B$2:$B$1001,$B872)&gt;1,"Duplicate",IF(AND(D872&lt;&gt;"Withdrawn",G872&lt;&gt;"",COUNTIFS($B$2:$B$1001,$B872,$G$2:$G$1001,G872,$D$2:$D$1001,"&lt;&gt;Withdrawn")&gt;1),"Same-day clash","OK"))))))</f>
        <v/>
      </c>
    </row>
    <row r="873" customFormat="false" ht="15" hidden="false" customHeight="false" outlineLevel="0" collapsed="false">
      <c r="E873" s="26"/>
      <c r="G873" s="23" t="str">
        <f aca="false">IF($A873="","",IFERROR(IF(INDEX(Activities!$C$2:$C$201,MATCH($A873,Activities!$A$2:$A$201,0))="","",INDEX(Activities!$C$2:$C$201,MATCH($A873,Activities!$A$2:$A$201,0))),""))</f>
        <v/>
      </c>
      <c r="H873" s="24" t="str">
        <f aca="false">IF($A873="","",IFERROR(IF(INDEX(Activities!$B$2:$B$201,MATCH($A873,Activities!$A$2:$A$201,0))="","",INDEX(Activities!$B$2:$B$201,MATCH($A873,Activities!$A$2:$A$201,0))),""))</f>
        <v/>
      </c>
      <c r="I873" s="24" t="str">
        <f aca="false">IF($B873="","",IFERROR(IF(INDEX(Students!$C$2:$C$301,MATCH($B873,Students!$A$2:$A$301,0))="","",INDEX(Students!$C$2:$C$301,MATCH($B873,Students!$A$2:$A$301,0))),""))</f>
        <v/>
      </c>
      <c r="J873" s="24" t="str">
        <f aca="false">IF($B873="","",IFERROR(IF(INDEX(Students!$B$2:$B$301,MATCH($B873,Students!$A$2:$A$301,0))="","",INDEX(Students!$B$2:$B$301,MATCH($B873,Students!$A$2:$A$301,0))),""))</f>
        <v/>
      </c>
      <c r="K873" s="25" t="str">
        <f aca="false">IF($A873="","",IF(D873="Withdrawn",0,IF(E873&lt;&gt;"",N(E873),IFERROR(N(INDEX(Activities!$I$2:$I$201,MATCH($A873,Activities!$A$2:$A$201,0))),0))))</f>
        <v/>
      </c>
      <c r="L873" s="24" t="str">
        <f aca="false">IF(AND($A873="",$B873=""),"",IF(ISNA(MATCH($A873,Activities!$A$2:$A$201,0)),"Unknown activity",IF(ISNA(MATCH($B873,Students!$A$2:$A$301,0)),"Unknown student",IF(D873="","No status",IF(COUNTIFS($A$2:$A$1001,$A873,$B$2:$B$1001,$B873)&gt;1,"Duplicate",IF(AND(D873&lt;&gt;"Withdrawn",G873&lt;&gt;"",COUNTIFS($B$2:$B$1001,$B873,$G$2:$G$1001,G873,$D$2:$D$1001,"&lt;&gt;Withdrawn")&gt;1),"Same-day clash","OK"))))))</f>
        <v/>
      </c>
    </row>
    <row r="874" customFormat="false" ht="15" hidden="false" customHeight="false" outlineLevel="0" collapsed="false">
      <c r="E874" s="26"/>
      <c r="G874" s="23" t="str">
        <f aca="false">IF($A874="","",IFERROR(IF(INDEX(Activities!$C$2:$C$201,MATCH($A874,Activities!$A$2:$A$201,0))="","",INDEX(Activities!$C$2:$C$201,MATCH($A874,Activities!$A$2:$A$201,0))),""))</f>
        <v/>
      </c>
      <c r="H874" s="24" t="str">
        <f aca="false">IF($A874="","",IFERROR(IF(INDEX(Activities!$B$2:$B$201,MATCH($A874,Activities!$A$2:$A$201,0))="","",INDEX(Activities!$B$2:$B$201,MATCH($A874,Activities!$A$2:$A$201,0))),""))</f>
        <v/>
      </c>
      <c r="I874" s="24" t="str">
        <f aca="false">IF($B874="","",IFERROR(IF(INDEX(Students!$C$2:$C$301,MATCH($B874,Students!$A$2:$A$301,0))="","",INDEX(Students!$C$2:$C$301,MATCH($B874,Students!$A$2:$A$301,0))),""))</f>
        <v/>
      </c>
      <c r="J874" s="24" t="str">
        <f aca="false">IF($B874="","",IFERROR(IF(INDEX(Students!$B$2:$B$301,MATCH($B874,Students!$A$2:$A$301,0))="","",INDEX(Students!$B$2:$B$301,MATCH($B874,Students!$A$2:$A$301,0))),""))</f>
        <v/>
      </c>
      <c r="K874" s="25" t="str">
        <f aca="false">IF($A874="","",IF(D874="Withdrawn",0,IF(E874&lt;&gt;"",N(E874),IFERROR(N(INDEX(Activities!$I$2:$I$201,MATCH($A874,Activities!$A$2:$A$201,0))),0))))</f>
        <v/>
      </c>
      <c r="L874" s="24" t="str">
        <f aca="false">IF(AND($A874="",$B874=""),"",IF(ISNA(MATCH($A874,Activities!$A$2:$A$201,0)),"Unknown activity",IF(ISNA(MATCH($B874,Students!$A$2:$A$301,0)),"Unknown student",IF(D874="","No status",IF(COUNTIFS($A$2:$A$1001,$A874,$B$2:$B$1001,$B874)&gt;1,"Duplicate",IF(AND(D874&lt;&gt;"Withdrawn",G874&lt;&gt;"",COUNTIFS($B$2:$B$1001,$B874,$G$2:$G$1001,G874,$D$2:$D$1001,"&lt;&gt;Withdrawn")&gt;1),"Same-day clash","OK"))))))</f>
        <v/>
      </c>
    </row>
    <row r="875" customFormat="false" ht="15" hidden="false" customHeight="false" outlineLevel="0" collapsed="false">
      <c r="E875" s="26"/>
      <c r="G875" s="23" t="str">
        <f aca="false">IF($A875="","",IFERROR(IF(INDEX(Activities!$C$2:$C$201,MATCH($A875,Activities!$A$2:$A$201,0))="","",INDEX(Activities!$C$2:$C$201,MATCH($A875,Activities!$A$2:$A$201,0))),""))</f>
        <v/>
      </c>
      <c r="H875" s="24" t="str">
        <f aca="false">IF($A875="","",IFERROR(IF(INDEX(Activities!$B$2:$B$201,MATCH($A875,Activities!$A$2:$A$201,0))="","",INDEX(Activities!$B$2:$B$201,MATCH($A875,Activities!$A$2:$A$201,0))),""))</f>
        <v/>
      </c>
      <c r="I875" s="24" t="str">
        <f aca="false">IF($B875="","",IFERROR(IF(INDEX(Students!$C$2:$C$301,MATCH($B875,Students!$A$2:$A$301,0))="","",INDEX(Students!$C$2:$C$301,MATCH($B875,Students!$A$2:$A$301,0))),""))</f>
        <v/>
      </c>
      <c r="J875" s="24" t="str">
        <f aca="false">IF($B875="","",IFERROR(IF(INDEX(Students!$B$2:$B$301,MATCH($B875,Students!$A$2:$A$301,0))="","",INDEX(Students!$B$2:$B$301,MATCH($B875,Students!$A$2:$A$301,0))),""))</f>
        <v/>
      </c>
      <c r="K875" s="25" t="str">
        <f aca="false">IF($A875="","",IF(D875="Withdrawn",0,IF(E875&lt;&gt;"",N(E875),IFERROR(N(INDEX(Activities!$I$2:$I$201,MATCH($A875,Activities!$A$2:$A$201,0))),0))))</f>
        <v/>
      </c>
      <c r="L875" s="24" t="str">
        <f aca="false">IF(AND($A875="",$B875=""),"",IF(ISNA(MATCH($A875,Activities!$A$2:$A$201,0)),"Unknown activity",IF(ISNA(MATCH($B875,Students!$A$2:$A$301,0)),"Unknown student",IF(D875="","No status",IF(COUNTIFS($A$2:$A$1001,$A875,$B$2:$B$1001,$B875)&gt;1,"Duplicate",IF(AND(D875&lt;&gt;"Withdrawn",G875&lt;&gt;"",COUNTIFS($B$2:$B$1001,$B875,$G$2:$G$1001,G875,$D$2:$D$1001,"&lt;&gt;Withdrawn")&gt;1),"Same-day clash","OK"))))))</f>
        <v/>
      </c>
    </row>
    <row r="876" customFormat="false" ht="15" hidden="false" customHeight="false" outlineLevel="0" collapsed="false">
      <c r="E876" s="26"/>
      <c r="G876" s="23" t="str">
        <f aca="false">IF($A876="","",IFERROR(IF(INDEX(Activities!$C$2:$C$201,MATCH($A876,Activities!$A$2:$A$201,0))="","",INDEX(Activities!$C$2:$C$201,MATCH($A876,Activities!$A$2:$A$201,0))),""))</f>
        <v/>
      </c>
      <c r="H876" s="24" t="str">
        <f aca="false">IF($A876="","",IFERROR(IF(INDEX(Activities!$B$2:$B$201,MATCH($A876,Activities!$A$2:$A$201,0))="","",INDEX(Activities!$B$2:$B$201,MATCH($A876,Activities!$A$2:$A$201,0))),""))</f>
        <v/>
      </c>
      <c r="I876" s="24" t="str">
        <f aca="false">IF($B876="","",IFERROR(IF(INDEX(Students!$C$2:$C$301,MATCH($B876,Students!$A$2:$A$301,0))="","",INDEX(Students!$C$2:$C$301,MATCH($B876,Students!$A$2:$A$301,0))),""))</f>
        <v/>
      </c>
      <c r="J876" s="24" t="str">
        <f aca="false">IF($B876="","",IFERROR(IF(INDEX(Students!$B$2:$B$301,MATCH($B876,Students!$A$2:$A$301,0))="","",INDEX(Students!$B$2:$B$301,MATCH($B876,Students!$A$2:$A$301,0))),""))</f>
        <v/>
      </c>
      <c r="K876" s="25" t="str">
        <f aca="false">IF($A876="","",IF(D876="Withdrawn",0,IF(E876&lt;&gt;"",N(E876),IFERROR(N(INDEX(Activities!$I$2:$I$201,MATCH($A876,Activities!$A$2:$A$201,0))),0))))</f>
        <v/>
      </c>
      <c r="L876" s="24" t="str">
        <f aca="false">IF(AND($A876="",$B876=""),"",IF(ISNA(MATCH($A876,Activities!$A$2:$A$201,0)),"Unknown activity",IF(ISNA(MATCH($B876,Students!$A$2:$A$301,0)),"Unknown student",IF(D876="","No status",IF(COUNTIFS($A$2:$A$1001,$A876,$B$2:$B$1001,$B876)&gt;1,"Duplicate",IF(AND(D876&lt;&gt;"Withdrawn",G876&lt;&gt;"",COUNTIFS($B$2:$B$1001,$B876,$G$2:$G$1001,G876,$D$2:$D$1001,"&lt;&gt;Withdrawn")&gt;1),"Same-day clash","OK"))))))</f>
        <v/>
      </c>
    </row>
    <row r="877" customFormat="false" ht="15" hidden="false" customHeight="false" outlineLevel="0" collapsed="false">
      <c r="E877" s="26"/>
      <c r="G877" s="23" t="str">
        <f aca="false">IF($A877="","",IFERROR(IF(INDEX(Activities!$C$2:$C$201,MATCH($A877,Activities!$A$2:$A$201,0))="","",INDEX(Activities!$C$2:$C$201,MATCH($A877,Activities!$A$2:$A$201,0))),""))</f>
        <v/>
      </c>
      <c r="H877" s="24" t="str">
        <f aca="false">IF($A877="","",IFERROR(IF(INDEX(Activities!$B$2:$B$201,MATCH($A877,Activities!$A$2:$A$201,0))="","",INDEX(Activities!$B$2:$B$201,MATCH($A877,Activities!$A$2:$A$201,0))),""))</f>
        <v/>
      </c>
      <c r="I877" s="24" t="str">
        <f aca="false">IF($B877="","",IFERROR(IF(INDEX(Students!$C$2:$C$301,MATCH($B877,Students!$A$2:$A$301,0))="","",INDEX(Students!$C$2:$C$301,MATCH($B877,Students!$A$2:$A$301,0))),""))</f>
        <v/>
      </c>
      <c r="J877" s="24" t="str">
        <f aca="false">IF($B877="","",IFERROR(IF(INDEX(Students!$B$2:$B$301,MATCH($B877,Students!$A$2:$A$301,0))="","",INDEX(Students!$B$2:$B$301,MATCH($B877,Students!$A$2:$A$301,0))),""))</f>
        <v/>
      </c>
      <c r="K877" s="25" t="str">
        <f aca="false">IF($A877="","",IF(D877="Withdrawn",0,IF(E877&lt;&gt;"",N(E877),IFERROR(N(INDEX(Activities!$I$2:$I$201,MATCH($A877,Activities!$A$2:$A$201,0))),0))))</f>
        <v/>
      </c>
      <c r="L877" s="24" t="str">
        <f aca="false">IF(AND($A877="",$B877=""),"",IF(ISNA(MATCH($A877,Activities!$A$2:$A$201,0)),"Unknown activity",IF(ISNA(MATCH($B877,Students!$A$2:$A$301,0)),"Unknown student",IF(D877="","No status",IF(COUNTIFS($A$2:$A$1001,$A877,$B$2:$B$1001,$B877)&gt;1,"Duplicate",IF(AND(D877&lt;&gt;"Withdrawn",G877&lt;&gt;"",COUNTIFS($B$2:$B$1001,$B877,$G$2:$G$1001,G877,$D$2:$D$1001,"&lt;&gt;Withdrawn")&gt;1),"Same-day clash","OK"))))))</f>
        <v/>
      </c>
    </row>
    <row r="878" customFormat="false" ht="15" hidden="false" customHeight="false" outlineLevel="0" collapsed="false">
      <c r="E878" s="26"/>
      <c r="G878" s="23" t="str">
        <f aca="false">IF($A878="","",IFERROR(IF(INDEX(Activities!$C$2:$C$201,MATCH($A878,Activities!$A$2:$A$201,0))="","",INDEX(Activities!$C$2:$C$201,MATCH($A878,Activities!$A$2:$A$201,0))),""))</f>
        <v/>
      </c>
      <c r="H878" s="24" t="str">
        <f aca="false">IF($A878="","",IFERROR(IF(INDEX(Activities!$B$2:$B$201,MATCH($A878,Activities!$A$2:$A$201,0))="","",INDEX(Activities!$B$2:$B$201,MATCH($A878,Activities!$A$2:$A$201,0))),""))</f>
        <v/>
      </c>
      <c r="I878" s="24" t="str">
        <f aca="false">IF($B878="","",IFERROR(IF(INDEX(Students!$C$2:$C$301,MATCH($B878,Students!$A$2:$A$301,0))="","",INDEX(Students!$C$2:$C$301,MATCH($B878,Students!$A$2:$A$301,0))),""))</f>
        <v/>
      </c>
      <c r="J878" s="24" t="str">
        <f aca="false">IF($B878="","",IFERROR(IF(INDEX(Students!$B$2:$B$301,MATCH($B878,Students!$A$2:$A$301,0))="","",INDEX(Students!$B$2:$B$301,MATCH($B878,Students!$A$2:$A$301,0))),""))</f>
        <v/>
      </c>
      <c r="K878" s="25" t="str">
        <f aca="false">IF($A878="","",IF(D878="Withdrawn",0,IF(E878&lt;&gt;"",N(E878),IFERROR(N(INDEX(Activities!$I$2:$I$201,MATCH($A878,Activities!$A$2:$A$201,0))),0))))</f>
        <v/>
      </c>
      <c r="L878" s="24" t="str">
        <f aca="false">IF(AND($A878="",$B878=""),"",IF(ISNA(MATCH($A878,Activities!$A$2:$A$201,0)),"Unknown activity",IF(ISNA(MATCH($B878,Students!$A$2:$A$301,0)),"Unknown student",IF(D878="","No status",IF(COUNTIFS($A$2:$A$1001,$A878,$B$2:$B$1001,$B878)&gt;1,"Duplicate",IF(AND(D878&lt;&gt;"Withdrawn",G878&lt;&gt;"",COUNTIFS($B$2:$B$1001,$B878,$G$2:$G$1001,G878,$D$2:$D$1001,"&lt;&gt;Withdrawn")&gt;1),"Same-day clash","OK"))))))</f>
        <v/>
      </c>
    </row>
    <row r="879" customFormat="false" ht="15" hidden="false" customHeight="false" outlineLevel="0" collapsed="false">
      <c r="E879" s="26"/>
      <c r="G879" s="23" t="str">
        <f aca="false">IF($A879="","",IFERROR(IF(INDEX(Activities!$C$2:$C$201,MATCH($A879,Activities!$A$2:$A$201,0))="","",INDEX(Activities!$C$2:$C$201,MATCH($A879,Activities!$A$2:$A$201,0))),""))</f>
        <v/>
      </c>
      <c r="H879" s="24" t="str">
        <f aca="false">IF($A879="","",IFERROR(IF(INDEX(Activities!$B$2:$B$201,MATCH($A879,Activities!$A$2:$A$201,0))="","",INDEX(Activities!$B$2:$B$201,MATCH($A879,Activities!$A$2:$A$201,0))),""))</f>
        <v/>
      </c>
      <c r="I879" s="24" t="str">
        <f aca="false">IF($B879="","",IFERROR(IF(INDEX(Students!$C$2:$C$301,MATCH($B879,Students!$A$2:$A$301,0))="","",INDEX(Students!$C$2:$C$301,MATCH($B879,Students!$A$2:$A$301,0))),""))</f>
        <v/>
      </c>
      <c r="J879" s="24" t="str">
        <f aca="false">IF($B879="","",IFERROR(IF(INDEX(Students!$B$2:$B$301,MATCH($B879,Students!$A$2:$A$301,0))="","",INDEX(Students!$B$2:$B$301,MATCH($B879,Students!$A$2:$A$301,0))),""))</f>
        <v/>
      </c>
      <c r="K879" s="25" t="str">
        <f aca="false">IF($A879="","",IF(D879="Withdrawn",0,IF(E879&lt;&gt;"",N(E879),IFERROR(N(INDEX(Activities!$I$2:$I$201,MATCH($A879,Activities!$A$2:$A$201,0))),0))))</f>
        <v/>
      </c>
      <c r="L879" s="24" t="str">
        <f aca="false">IF(AND($A879="",$B879=""),"",IF(ISNA(MATCH($A879,Activities!$A$2:$A$201,0)),"Unknown activity",IF(ISNA(MATCH($B879,Students!$A$2:$A$301,0)),"Unknown student",IF(D879="","No status",IF(COUNTIFS($A$2:$A$1001,$A879,$B$2:$B$1001,$B879)&gt;1,"Duplicate",IF(AND(D879&lt;&gt;"Withdrawn",G879&lt;&gt;"",COUNTIFS($B$2:$B$1001,$B879,$G$2:$G$1001,G879,$D$2:$D$1001,"&lt;&gt;Withdrawn")&gt;1),"Same-day clash","OK"))))))</f>
        <v/>
      </c>
    </row>
    <row r="880" customFormat="false" ht="15" hidden="false" customHeight="false" outlineLevel="0" collapsed="false">
      <c r="E880" s="26"/>
      <c r="G880" s="23" t="str">
        <f aca="false">IF($A880="","",IFERROR(IF(INDEX(Activities!$C$2:$C$201,MATCH($A880,Activities!$A$2:$A$201,0))="","",INDEX(Activities!$C$2:$C$201,MATCH($A880,Activities!$A$2:$A$201,0))),""))</f>
        <v/>
      </c>
      <c r="H880" s="24" t="str">
        <f aca="false">IF($A880="","",IFERROR(IF(INDEX(Activities!$B$2:$B$201,MATCH($A880,Activities!$A$2:$A$201,0))="","",INDEX(Activities!$B$2:$B$201,MATCH($A880,Activities!$A$2:$A$201,0))),""))</f>
        <v/>
      </c>
      <c r="I880" s="24" t="str">
        <f aca="false">IF($B880="","",IFERROR(IF(INDEX(Students!$C$2:$C$301,MATCH($B880,Students!$A$2:$A$301,0))="","",INDEX(Students!$C$2:$C$301,MATCH($B880,Students!$A$2:$A$301,0))),""))</f>
        <v/>
      </c>
      <c r="J880" s="24" t="str">
        <f aca="false">IF($B880="","",IFERROR(IF(INDEX(Students!$B$2:$B$301,MATCH($B880,Students!$A$2:$A$301,0))="","",INDEX(Students!$B$2:$B$301,MATCH($B880,Students!$A$2:$A$301,0))),""))</f>
        <v/>
      </c>
      <c r="K880" s="25" t="str">
        <f aca="false">IF($A880="","",IF(D880="Withdrawn",0,IF(E880&lt;&gt;"",N(E880),IFERROR(N(INDEX(Activities!$I$2:$I$201,MATCH($A880,Activities!$A$2:$A$201,0))),0))))</f>
        <v/>
      </c>
      <c r="L880" s="24" t="str">
        <f aca="false">IF(AND($A880="",$B880=""),"",IF(ISNA(MATCH($A880,Activities!$A$2:$A$201,0)),"Unknown activity",IF(ISNA(MATCH($B880,Students!$A$2:$A$301,0)),"Unknown student",IF(D880="","No status",IF(COUNTIFS($A$2:$A$1001,$A880,$B$2:$B$1001,$B880)&gt;1,"Duplicate",IF(AND(D880&lt;&gt;"Withdrawn",G880&lt;&gt;"",COUNTIFS($B$2:$B$1001,$B880,$G$2:$G$1001,G880,$D$2:$D$1001,"&lt;&gt;Withdrawn")&gt;1),"Same-day clash","OK"))))))</f>
        <v/>
      </c>
    </row>
    <row r="881" customFormat="false" ht="15" hidden="false" customHeight="false" outlineLevel="0" collapsed="false">
      <c r="E881" s="26"/>
      <c r="G881" s="23" t="str">
        <f aca="false">IF($A881="","",IFERROR(IF(INDEX(Activities!$C$2:$C$201,MATCH($A881,Activities!$A$2:$A$201,0))="","",INDEX(Activities!$C$2:$C$201,MATCH($A881,Activities!$A$2:$A$201,0))),""))</f>
        <v/>
      </c>
      <c r="H881" s="24" t="str">
        <f aca="false">IF($A881="","",IFERROR(IF(INDEX(Activities!$B$2:$B$201,MATCH($A881,Activities!$A$2:$A$201,0))="","",INDEX(Activities!$B$2:$B$201,MATCH($A881,Activities!$A$2:$A$201,0))),""))</f>
        <v/>
      </c>
      <c r="I881" s="24" t="str">
        <f aca="false">IF($B881="","",IFERROR(IF(INDEX(Students!$C$2:$C$301,MATCH($B881,Students!$A$2:$A$301,0))="","",INDEX(Students!$C$2:$C$301,MATCH($B881,Students!$A$2:$A$301,0))),""))</f>
        <v/>
      </c>
      <c r="J881" s="24" t="str">
        <f aca="false">IF($B881="","",IFERROR(IF(INDEX(Students!$B$2:$B$301,MATCH($B881,Students!$A$2:$A$301,0))="","",INDEX(Students!$B$2:$B$301,MATCH($B881,Students!$A$2:$A$301,0))),""))</f>
        <v/>
      </c>
      <c r="K881" s="25" t="str">
        <f aca="false">IF($A881="","",IF(D881="Withdrawn",0,IF(E881&lt;&gt;"",N(E881),IFERROR(N(INDEX(Activities!$I$2:$I$201,MATCH($A881,Activities!$A$2:$A$201,0))),0))))</f>
        <v/>
      </c>
      <c r="L881" s="24" t="str">
        <f aca="false">IF(AND($A881="",$B881=""),"",IF(ISNA(MATCH($A881,Activities!$A$2:$A$201,0)),"Unknown activity",IF(ISNA(MATCH($B881,Students!$A$2:$A$301,0)),"Unknown student",IF(D881="","No status",IF(COUNTIFS($A$2:$A$1001,$A881,$B$2:$B$1001,$B881)&gt;1,"Duplicate",IF(AND(D881&lt;&gt;"Withdrawn",G881&lt;&gt;"",COUNTIFS($B$2:$B$1001,$B881,$G$2:$G$1001,G881,$D$2:$D$1001,"&lt;&gt;Withdrawn")&gt;1),"Same-day clash","OK"))))))</f>
        <v/>
      </c>
    </row>
    <row r="882" customFormat="false" ht="15" hidden="false" customHeight="false" outlineLevel="0" collapsed="false">
      <c r="E882" s="26"/>
      <c r="G882" s="23" t="str">
        <f aca="false">IF($A882="","",IFERROR(IF(INDEX(Activities!$C$2:$C$201,MATCH($A882,Activities!$A$2:$A$201,0))="","",INDEX(Activities!$C$2:$C$201,MATCH($A882,Activities!$A$2:$A$201,0))),""))</f>
        <v/>
      </c>
      <c r="H882" s="24" t="str">
        <f aca="false">IF($A882="","",IFERROR(IF(INDEX(Activities!$B$2:$B$201,MATCH($A882,Activities!$A$2:$A$201,0))="","",INDEX(Activities!$B$2:$B$201,MATCH($A882,Activities!$A$2:$A$201,0))),""))</f>
        <v/>
      </c>
      <c r="I882" s="24" t="str">
        <f aca="false">IF($B882="","",IFERROR(IF(INDEX(Students!$C$2:$C$301,MATCH($B882,Students!$A$2:$A$301,0))="","",INDEX(Students!$C$2:$C$301,MATCH($B882,Students!$A$2:$A$301,0))),""))</f>
        <v/>
      </c>
      <c r="J882" s="24" t="str">
        <f aca="false">IF($B882="","",IFERROR(IF(INDEX(Students!$B$2:$B$301,MATCH($B882,Students!$A$2:$A$301,0))="","",INDEX(Students!$B$2:$B$301,MATCH($B882,Students!$A$2:$A$301,0))),""))</f>
        <v/>
      </c>
      <c r="K882" s="25" t="str">
        <f aca="false">IF($A882="","",IF(D882="Withdrawn",0,IF(E882&lt;&gt;"",N(E882),IFERROR(N(INDEX(Activities!$I$2:$I$201,MATCH($A882,Activities!$A$2:$A$201,0))),0))))</f>
        <v/>
      </c>
      <c r="L882" s="24" t="str">
        <f aca="false">IF(AND($A882="",$B882=""),"",IF(ISNA(MATCH($A882,Activities!$A$2:$A$201,0)),"Unknown activity",IF(ISNA(MATCH($B882,Students!$A$2:$A$301,0)),"Unknown student",IF(D882="","No status",IF(COUNTIFS($A$2:$A$1001,$A882,$B$2:$B$1001,$B882)&gt;1,"Duplicate",IF(AND(D882&lt;&gt;"Withdrawn",G882&lt;&gt;"",COUNTIFS($B$2:$B$1001,$B882,$G$2:$G$1001,G882,$D$2:$D$1001,"&lt;&gt;Withdrawn")&gt;1),"Same-day clash","OK"))))))</f>
        <v/>
      </c>
    </row>
    <row r="883" customFormat="false" ht="15" hidden="false" customHeight="false" outlineLevel="0" collapsed="false">
      <c r="E883" s="26"/>
      <c r="G883" s="23" t="str">
        <f aca="false">IF($A883="","",IFERROR(IF(INDEX(Activities!$C$2:$C$201,MATCH($A883,Activities!$A$2:$A$201,0))="","",INDEX(Activities!$C$2:$C$201,MATCH($A883,Activities!$A$2:$A$201,0))),""))</f>
        <v/>
      </c>
      <c r="H883" s="24" t="str">
        <f aca="false">IF($A883="","",IFERROR(IF(INDEX(Activities!$B$2:$B$201,MATCH($A883,Activities!$A$2:$A$201,0))="","",INDEX(Activities!$B$2:$B$201,MATCH($A883,Activities!$A$2:$A$201,0))),""))</f>
        <v/>
      </c>
      <c r="I883" s="24" t="str">
        <f aca="false">IF($B883="","",IFERROR(IF(INDEX(Students!$C$2:$C$301,MATCH($B883,Students!$A$2:$A$301,0))="","",INDEX(Students!$C$2:$C$301,MATCH($B883,Students!$A$2:$A$301,0))),""))</f>
        <v/>
      </c>
      <c r="J883" s="24" t="str">
        <f aca="false">IF($B883="","",IFERROR(IF(INDEX(Students!$B$2:$B$301,MATCH($B883,Students!$A$2:$A$301,0))="","",INDEX(Students!$B$2:$B$301,MATCH($B883,Students!$A$2:$A$301,0))),""))</f>
        <v/>
      </c>
      <c r="K883" s="25" t="str">
        <f aca="false">IF($A883="","",IF(D883="Withdrawn",0,IF(E883&lt;&gt;"",N(E883),IFERROR(N(INDEX(Activities!$I$2:$I$201,MATCH($A883,Activities!$A$2:$A$201,0))),0))))</f>
        <v/>
      </c>
      <c r="L883" s="24" t="str">
        <f aca="false">IF(AND($A883="",$B883=""),"",IF(ISNA(MATCH($A883,Activities!$A$2:$A$201,0)),"Unknown activity",IF(ISNA(MATCH($B883,Students!$A$2:$A$301,0)),"Unknown student",IF(D883="","No status",IF(COUNTIFS($A$2:$A$1001,$A883,$B$2:$B$1001,$B883)&gt;1,"Duplicate",IF(AND(D883&lt;&gt;"Withdrawn",G883&lt;&gt;"",COUNTIFS($B$2:$B$1001,$B883,$G$2:$G$1001,G883,$D$2:$D$1001,"&lt;&gt;Withdrawn")&gt;1),"Same-day clash","OK"))))))</f>
        <v/>
      </c>
    </row>
    <row r="884" customFormat="false" ht="15" hidden="false" customHeight="false" outlineLevel="0" collapsed="false">
      <c r="E884" s="26"/>
      <c r="G884" s="23" t="str">
        <f aca="false">IF($A884="","",IFERROR(IF(INDEX(Activities!$C$2:$C$201,MATCH($A884,Activities!$A$2:$A$201,0))="","",INDEX(Activities!$C$2:$C$201,MATCH($A884,Activities!$A$2:$A$201,0))),""))</f>
        <v/>
      </c>
      <c r="H884" s="24" t="str">
        <f aca="false">IF($A884="","",IFERROR(IF(INDEX(Activities!$B$2:$B$201,MATCH($A884,Activities!$A$2:$A$201,0))="","",INDEX(Activities!$B$2:$B$201,MATCH($A884,Activities!$A$2:$A$201,0))),""))</f>
        <v/>
      </c>
      <c r="I884" s="24" t="str">
        <f aca="false">IF($B884="","",IFERROR(IF(INDEX(Students!$C$2:$C$301,MATCH($B884,Students!$A$2:$A$301,0))="","",INDEX(Students!$C$2:$C$301,MATCH($B884,Students!$A$2:$A$301,0))),""))</f>
        <v/>
      </c>
      <c r="J884" s="24" t="str">
        <f aca="false">IF($B884="","",IFERROR(IF(INDEX(Students!$B$2:$B$301,MATCH($B884,Students!$A$2:$A$301,0))="","",INDEX(Students!$B$2:$B$301,MATCH($B884,Students!$A$2:$A$301,0))),""))</f>
        <v/>
      </c>
      <c r="K884" s="25" t="str">
        <f aca="false">IF($A884="","",IF(D884="Withdrawn",0,IF(E884&lt;&gt;"",N(E884),IFERROR(N(INDEX(Activities!$I$2:$I$201,MATCH($A884,Activities!$A$2:$A$201,0))),0))))</f>
        <v/>
      </c>
      <c r="L884" s="24" t="str">
        <f aca="false">IF(AND($A884="",$B884=""),"",IF(ISNA(MATCH($A884,Activities!$A$2:$A$201,0)),"Unknown activity",IF(ISNA(MATCH($B884,Students!$A$2:$A$301,0)),"Unknown student",IF(D884="","No status",IF(COUNTIFS($A$2:$A$1001,$A884,$B$2:$B$1001,$B884)&gt;1,"Duplicate",IF(AND(D884&lt;&gt;"Withdrawn",G884&lt;&gt;"",COUNTIFS($B$2:$B$1001,$B884,$G$2:$G$1001,G884,$D$2:$D$1001,"&lt;&gt;Withdrawn")&gt;1),"Same-day clash","OK"))))))</f>
        <v/>
      </c>
    </row>
    <row r="885" customFormat="false" ht="15" hidden="false" customHeight="false" outlineLevel="0" collapsed="false">
      <c r="E885" s="26"/>
      <c r="G885" s="23" t="str">
        <f aca="false">IF($A885="","",IFERROR(IF(INDEX(Activities!$C$2:$C$201,MATCH($A885,Activities!$A$2:$A$201,0))="","",INDEX(Activities!$C$2:$C$201,MATCH($A885,Activities!$A$2:$A$201,0))),""))</f>
        <v/>
      </c>
      <c r="H885" s="24" t="str">
        <f aca="false">IF($A885="","",IFERROR(IF(INDEX(Activities!$B$2:$B$201,MATCH($A885,Activities!$A$2:$A$201,0))="","",INDEX(Activities!$B$2:$B$201,MATCH($A885,Activities!$A$2:$A$201,0))),""))</f>
        <v/>
      </c>
      <c r="I885" s="24" t="str">
        <f aca="false">IF($B885="","",IFERROR(IF(INDEX(Students!$C$2:$C$301,MATCH($B885,Students!$A$2:$A$301,0))="","",INDEX(Students!$C$2:$C$301,MATCH($B885,Students!$A$2:$A$301,0))),""))</f>
        <v/>
      </c>
      <c r="J885" s="24" t="str">
        <f aca="false">IF($B885="","",IFERROR(IF(INDEX(Students!$B$2:$B$301,MATCH($B885,Students!$A$2:$A$301,0))="","",INDEX(Students!$B$2:$B$301,MATCH($B885,Students!$A$2:$A$301,0))),""))</f>
        <v/>
      </c>
      <c r="K885" s="25" t="str">
        <f aca="false">IF($A885="","",IF(D885="Withdrawn",0,IF(E885&lt;&gt;"",N(E885),IFERROR(N(INDEX(Activities!$I$2:$I$201,MATCH($A885,Activities!$A$2:$A$201,0))),0))))</f>
        <v/>
      </c>
      <c r="L885" s="24" t="str">
        <f aca="false">IF(AND($A885="",$B885=""),"",IF(ISNA(MATCH($A885,Activities!$A$2:$A$201,0)),"Unknown activity",IF(ISNA(MATCH($B885,Students!$A$2:$A$301,0)),"Unknown student",IF(D885="","No status",IF(COUNTIFS($A$2:$A$1001,$A885,$B$2:$B$1001,$B885)&gt;1,"Duplicate",IF(AND(D885&lt;&gt;"Withdrawn",G885&lt;&gt;"",COUNTIFS($B$2:$B$1001,$B885,$G$2:$G$1001,G885,$D$2:$D$1001,"&lt;&gt;Withdrawn")&gt;1),"Same-day clash","OK"))))))</f>
        <v/>
      </c>
    </row>
    <row r="886" customFormat="false" ht="15" hidden="false" customHeight="false" outlineLevel="0" collapsed="false">
      <c r="E886" s="26"/>
      <c r="G886" s="23" t="str">
        <f aca="false">IF($A886="","",IFERROR(IF(INDEX(Activities!$C$2:$C$201,MATCH($A886,Activities!$A$2:$A$201,0))="","",INDEX(Activities!$C$2:$C$201,MATCH($A886,Activities!$A$2:$A$201,0))),""))</f>
        <v/>
      </c>
      <c r="H886" s="24" t="str">
        <f aca="false">IF($A886="","",IFERROR(IF(INDEX(Activities!$B$2:$B$201,MATCH($A886,Activities!$A$2:$A$201,0))="","",INDEX(Activities!$B$2:$B$201,MATCH($A886,Activities!$A$2:$A$201,0))),""))</f>
        <v/>
      </c>
      <c r="I886" s="24" t="str">
        <f aca="false">IF($B886="","",IFERROR(IF(INDEX(Students!$C$2:$C$301,MATCH($B886,Students!$A$2:$A$301,0))="","",INDEX(Students!$C$2:$C$301,MATCH($B886,Students!$A$2:$A$301,0))),""))</f>
        <v/>
      </c>
      <c r="J886" s="24" t="str">
        <f aca="false">IF($B886="","",IFERROR(IF(INDEX(Students!$B$2:$B$301,MATCH($B886,Students!$A$2:$A$301,0))="","",INDEX(Students!$B$2:$B$301,MATCH($B886,Students!$A$2:$A$301,0))),""))</f>
        <v/>
      </c>
      <c r="K886" s="25" t="str">
        <f aca="false">IF($A886="","",IF(D886="Withdrawn",0,IF(E886&lt;&gt;"",N(E886),IFERROR(N(INDEX(Activities!$I$2:$I$201,MATCH($A886,Activities!$A$2:$A$201,0))),0))))</f>
        <v/>
      </c>
      <c r="L886" s="24" t="str">
        <f aca="false">IF(AND($A886="",$B886=""),"",IF(ISNA(MATCH($A886,Activities!$A$2:$A$201,0)),"Unknown activity",IF(ISNA(MATCH($B886,Students!$A$2:$A$301,0)),"Unknown student",IF(D886="","No status",IF(COUNTIFS($A$2:$A$1001,$A886,$B$2:$B$1001,$B886)&gt;1,"Duplicate",IF(AND(D886&lt;&gt;"Withdrawn",G886&lt;&gt;"",COUNTIFS($B$2:$B$1001,$B886,$G$2:$G$1001,G886,$D$2:$D$1001,"&lt;&gt;Withdrawn")&gt;1),"Same-day clash","OK"))))))</f>
        <v/>
      </c>
    </row>
    <row r="887" customFormat="false" ht="15" hidden="false" customHeight="false" outlineLevel="0" collapsed="false">
      <c r="E887" s="26"/>
      <c r="G887" s="23" t="str">
        <f aca="false">IF($A887="","",IFERROR(IF(INDEX(Activities!$C$2:$C$201,MATCH($A887,Activities!$A$2:$A$201,0))="","",INDEX(Activities!$C$2:$C$201,MATCH($A887,Activities!$A$2:$A$201,0))),""))</f>
        <v/>
      </c>
      <c r="H887" s="24" t="str">
        <f aca="false">IF($A887="","",IFERROR(IF(INDEX(Activities!$B$2:$B$201,MATCH($A887,Activities!$A$2:$A$201,0))="","",INDEX(Activities!$B$2:$B$201,MATCH($A887,Activities!$A$2:$A$201,0))),""))</f>
        <v/>
      </c>
      <c r="I887" s="24" t="str">
        <f aca="false">IF($B887="","",IFERROR(IF(INDEX(Students!$C$2:$C$301,MATCH($B887,Students!$A$2:$A$301,0))="","",INDEX(Students!$C$2:$C$301,MATCH($B887,Students!$A$2:$A$301,0))),""))</f>
        <v/>
      </c>
      <c r="J887" s="24" t="str">
        <f aca="false">IF($B887="","",IFERROR(IF(INDEX(Students!$B$2:$B$301,MATCH($B887,Students!$A$2:$A$301,0))="","",INDEX(Students!$B$2:$B$301,MATCH($B887,Students!$A$2:$A$301,0))),""))</f>
        <v/>
      </c>
      <c r="K887" s="25" t="str">
        <f aca="false">IF($A887="","",IF(D887="Withdrawn",0,IF(E887&lt;&gt;"",N(E887),IFERROR(N(INDEX(Activities!$I$2:$I$201,MATCH($A887,Activities!$A$2:$A$201,0))),0))))</f>
        <v/>
      </c>
      <c r="L887" s="24" t="str">
        <f aca="false">IF(AND($A887="",$B887=""),"",IF(ISNA(MATCH($A887,Activities!$A$2:$A$201,0)),"Unknown activity",IF(ISNA(MATCH($B887,Students!$A$2:$A$301,0)),"Unknown student",IF(D887="","No status",IF(COUNTIFS($A$2:$A$1001,$A887,$B$2:$B$1001,$B887)&gt;1,"Duplicate",IF(AND(D887&lt;&gt;"Withdrawn",G887&lt;&gt;"",COUNTIFS($B$2:$B$1001,$B887,$G$2:$G$1001,G887,$D$2:$D$1001,"&lt;&gt;Withdrawn")&gt;1),"Same-day clash","OK"))))))</f>
        <v/>
      </c>
    </row>
    <row r="888" customFormat="false" ht="15" hidden="false" customHeight="false" outlineLevel="0" collapsed="false">
      <c r="E888" s="26"/>
      <c r="G888" s="23" t="str">
        <f aca="false">IF($A888="","",IFERROR(IF(INDEX(Activities!$C$2:$C$201,MATCH($A888,Activities!$A$2:$A$201,0))="","",INDEX(Activities!$C$2:$C$201,MATCH($A888,Activities!$A$2:$A$201,0))),""))</f>
        <v/>
      </c>
      <c r="H888" s="24" t="str">
        <f aca="false">IF($A888="","",IFERROR(IF(INDEX(Activities!$B$2:$B$201,MATCH($A888,Activities!$A$2:$A$201,0))="","",INDEX(Activities!$B$2:$B$201,MATCH($A888,Activities!$A$2:$A$201,0))),""))</f>
        <v/>
      </c>
      <c r="I888" s="24" t="str">
        <f aca="false">IF($B888="","",IFERROR(IF(INDEX(Students!$C$2:$C$301,MATCH($B888,Students!$A$2:$A$301,0))="","",INDEX(Students!$C$2:$C$301,MATCH($B888,Students!$A$2:$A$301,0))),""))</f>
        <v/>
      </c>
      <c r="J888" s="24" t="str">
        <f aca="false">IF($B888="","",IFERROR(IF(INDEX(Students!$B$2:$B$301,MATCH($B888,Students!$A$2:$A$301,0))="","",INDEX(Students!$B$2:$B$301,MATCH($B888,Students!$A$2:$A$301,0))),""))</f>
        <v/>
      </c>
      <c r="K888" s="25" t="str">
        <f aca="false">IF($A888="","",IF(D888="Withdrawn",0,IF(E888&lt;&gt;"",N(E888),IFERROR(N(INDEX(Activities!$I$2:$I$201,MATCH($A888,Activities!$A$2:$A$201,0))),0))))</f>
        <v/>
      </c>
      <c r="L888" s="24" t="str">
        <f aca="false">IF(AND($A888="",$B888=""),"",IF(ISNA(MATCH($A888,Activities!$A$2:$A$201,0)),"Unknown activity",IF(ISNA(MATCH($B888,Students!$A$2:$A$301,0)),"Unknown student",IF(D888="","No status",IF(COUNTIFS($A$2:$A$1001,$A888,$B$2:$B$1001,$B888)&gt;1,"Duplicate",IF(AND(D888&lt;&gt;"Withdrawn",G888&lt;&gt;"",COUNTIFS($B$2:$B$1001,$B888,$G$2:$G$1001,G888,$D$2:$D$1001,"&lt;&gt;Withdrawn")&gt;1),"Same-day clash","OK"))))))</f>
        <v/>
      </c>
    </row>
    <row r="889" customFormat="false" ht="15" hidden="false" customHeight="false" outlineLevel="0" collapsed="false">
      <c r="E889" s="26"/>
      <c r="G889" s="23" t="str">
        <f aca="false">IF($A889="","",IFERROR(IF(INDEX(Activities!$C$2:$C$201,MATCH($A889,Activities!$A$2:$A$201,0))="","",INDEX(Activities!$C$2:$C$201,MATCH($A889,Activities!$A$2:$A$201,0))),""))</f>
        <v/>
      </c>
      <c r="H889" s="24" t="str">
        <f aca="false">IF($A889="","",IFERROR(IF(INDEX(Activities!$B$2:$B$201,MATCH($A889,Activities!$A$2:$A$201,0))="","",INDEX(Activities!$B$2:$B$201,MATCH($A889,Activities!$A$2:$A$201,0))),""))</f>
        <v/>
      </c>
      <c r="I889" s="24" t="str">
        <f aca="false">IF($B889="","",IFERROR(IF(INDEX(Students!$C$2:$C$301,MATCH($B889,Students!$A$2:$A$301,0))="","",INDEX(Students!$C$2:$C$301,MATCH($B889,Students!$A$2:$A$301,0))),""))</f>
        <v/>
      </c>
      <c r="J889" s="24" t="str">
        <f aca="false">IF($B889="","",IFERROR(IF(INDEX(Students!$B$2:$B$301,MATCH($B889,Students!$A$2:$A$301,0))="","",INDEX(Students!$B$2:$B$301,MATCH($B889,Students!$A$2:$A$301,0))),""))</f>
        <v/>
      </c>
      <c r="K889" s="25" t="str">
        <f aca="false">IF($A889="","",IF(D889="Withdrawn",0,IF(E889&lt;&gt;"",N(E889),IFERROR(N(INDEX(Activities!$I$2:$I$201,MATCH($A889,Activities!$A$2:$A$201,0))),0))))</f>
        <v/>
      </c>
      <c r="L889" s="24" t="str">
        <f aca="false">IF(AND($A889="",$B889=""),"",IF(ISNA(MATCH($A889,Activities!$A$2:$A$201,0)),"Unknown activity",IF(ISNA(MATCH($B889,Students!$A$2:$A$301,0)),"Unknown student",IF(D889="","No status",IF(COUNTIFS($A$2:$A$1001,$A889,$B$2:$B$1001,$B889)&gt;1,"Duplicate",IF(AND(D889&lt;&gt;"Withdrawn",G889&lt;&gt;"",COUNTIFS($B$2:$B$1001,$B889,$G$2:$G$1001,G889,$D$2:$D$1001,"&lt;&gt;Withdrawn")&gt;1),"Same-day clash","OK"))))))</f>
        <v/>
      </c>
    </row>
    <row r="890" customFormat="false" ht="15" hidden="false" customHeight="false" outlineLevel="0" collapsed="false">
      <c r="E890" s="26"/>
      <c r="G890" s="23" t="str">
        <f aca="false">IF($A890="","",IFERROR(IF(INDEX(Activities!$C$2:$C$201,MATCH($A890,Activities!$A$2:$A$201,0))="","",INDEX(Activities!$C$2:$C$201,MATCH($A890,Activities!$A$2:$A$201,0))),""))</f>
        <v/>
      </c>
      <c r="H890" s="24" t="str">
        <f aca="false">IF($A890="","",IFERROR(IF(INDEX(Activities!$B$2:$B$201,MATCH($A890,Activities!$A$2:$A$201,0))="","",INDEX(Activities!$B$2:$B$201,MATCH($A890,Activities!$A$2:$A$201,0))),""))</f>
        <v/>
      </c>
      <c r="I890" s="24" t="str">
        <f aca="false">IF($B890="","",IFERROR(IF(INDEX(Students!$C$2:$C$301,MATCH($B890,Students!$A$2:$A$301,0))="","",INDEX(Students!$C$2:$C$301,MATCH($B890,Students!$A$2:$A$301,0))),""))</f>
        <v/>
      </c>
      <c r="J890" s="24" t="str">
        <f aca="false">IF($B890="","",IFERROR(IF(INDEX(Students!$B$2:$B$301,MATCH($B890,Students!$A$2:$A$301,0))="","",INDEX(Students!$B$2:$B$301,MATCH($B890,Students!$A$2:$A$301,0))),""))</f>
        <v/>
      </c>
      <c r="K890" s="25" t="str">
        <f aca="false">IF($A890="","",IF(D890="Withdrawn",0,IF(E890&lt;&gt;"",N(E890),IFERROR(N(INDEX(Activities!$I$2:$I$201,MATCH($A890,Activities!$A$2:$A$201,0))),0))))</f>
        <v/>
      </c>
      <c r="L890" s="24" t="str">
        <f aca="false">IF(AND($A890="",$B890=""),"",IF(ISNA(MATCH($A890,Activities!$A$2:$A$201,0)),"Unknown activity",IF(ISNA(MATCH($B890,Students!$A$2:$A$301,0)),"Unknown student",IF(D890="","No status",IF(COUNTIFS($A$2:$A$1001,$A890,$B$2:$B$1001,$B890)&gt;1,"Duplicate",IF(AND(D890&lt;&gt;"Withdrawn",G890&lt;&gt;"",COUNTIFS($B$2:$B$1001,$B890,$G$2:$G$1001,G890,$D$2:$D$1001,"&lt;&gt;Withdrawn")&gt;1),"Same-day clash","OK"))))))</f>
        <v/>
      </c>
    </row>
    <row r="891" customFormat="false" ht="15" hidden="false" customHeight="false" outlineLevel="0" collapsed="false">
      <c r="E891" s="26"/>
      <c r="G891" s="23" t="str">
        <f aca="false">IF($A891="","",IFERROR(IF(INDEX(Activities!$C$2:$C$201,MATCH($A891,Activities!$A$2:$A$201,0))="","",INDEX(Activities!$C$2:$C$201,MATCH($A891,Activities!$A$2:$A$201,0))),""))</f>
        <v/>
      </c>
      <c r="H891" s="24" t="str">
        <f aca="false">IF($A891="","",IFERROR(IF(INDEX(Activities!$B$2:$B$201,MATCH($A891,Activities!$A$2:$A$201,0))="","",INDEX(Activities!$B$2:$B$201,MATCH($A891,Activities!$A$2:$A$201,0))),""))</f>
        <v/>
      </c>
      <c r="I891" s="24" t="str">
        <f aca="false">IF($B891="","",IFERROR(IF(INDEX(Students!$C$2:$C$301,MATCH($B891,Students!$A$2:$A$301,0))="","",INDEX(Students!$C$2:$C$301,MATCH($B891,Students!$A$2:$A$301,0))),""))</f>
        <v/>
      </c>
      <c r="J891" s="24" t="str">
        <f aca="false">IF($B891="","",IFERROR(IF(INDEX(Students!$B$2:$B$301,MATCH($B891,Students!$A$2:$A$301,0))="","",INDEX(Students!$B$2:$B$301,MATCH($B891,Students!$A$2:$A$301,0))),""))</f>
        <v/>
      </c>
      <c r="K891" s="25" t="str">
        <f aca="false">IF($A891="","",IF(D891="Withdrawn",0,IF(E891&lt;&gt;"",N(E891),IFERROR(N(INDEX(Activities!$I$2:$I$201,MATCH($A891,Activities!$A$2:$A$201,0))),0))))</f>
        <v/>
      </c>
      <c r="L891" s="24" t="str">
        <f aca="false">IF(AND($A891="",$B891=""),"",IF(ISNA(MATCH($A891,Activities!$A$2:$A$201,0)),"Unknown activity",IF(ISNA(MATCH($B891,Students!$A$2:$A$301,0)),"Unknown student",IF(D891="","No status",IF(COUNTIFS($A$2:$A$1001,$A891,$B$2:$B$1001,$B891)&gt;1,"Duplicate",IF(AND(D891&lt;&gt;"Withdrawn",G891&lt;&gt;"",COUNTIFS($B$2:$B$1001,$B891,$G$2:$G$1001,G891,$D$2:$D$1001,"&lt;&gt;Withdrawn")&gt;1),"Same-day clash","OK"))))))</f>
        <v/>
      </c>
    </row>
    <row r="892" customFormat="false" ht="15" hidden="false" customHeight="false" outlineLevel="0" collapsed="false">
      <c r="E892" s="26"/>
      <c r="G892" s="23" t="str">
        <f aca="false">IF($A892="","",IFERROR(IF(INDEX(Activities!$C$2:$C$201,MATCH($A892,Activities!$A$2:$A$201,0))="","",INDEX(Activities!$C$2:$C$201,MATCH($A892,Activities!$A$2:$A$201,0))),""))</f>
        <v/>
      </c>
      <c r="H892" s="24" t="str">
        <f aca="false">IF($A892="","",IFERROR(IF(INDEX(Activities!$B$2:$B$201,MATCH($A892,Activities!$A$2:$A$201,0))="","",INDEX(Activities!$B$2:$B$201,MATCH($A892,Activities!$A$2:$A$201,0))),""))</f>
        <v/>
      </c>
      <c r="I892" s="24" t="str">
        <f aca="false">IF($B892="","",IFERROR(IF(INDEX(Students!$C$2:$C$301,MATCH($B892,Students!$A$2:$A$301,0))="","",INDEX(Students!$C$2:$C$301,MATCH($B892,Students!$A$2:$A$301,0))),""))</f>
        <v/>
      </c>
      <c r="J892" s="24" t="str">
        <f aca="false">IF($B892="","",IFERROR(IF(INDEX(Students!$B$2:$B$301,MATCH($B892,Students!$A$2:$A$301,0))="","",INDEX(Students!$B$2:$B$301,MATCH($B892,Students!$A$2:$A$301,0))),""))</f>
        <v/>
      </c>
      <c r="K892" s="25" t="str">
        <f aca="false">IF($A892="","",IF(D892="Withdrawn",0,IF(E892&lt;&gt;"",N(E892),IFERROR(N(INDEX(Activities!$I$2:$I$201,MATCH($A892,Activities!$A$2:$A$201,0))),0))))</f>
        <v/>
      </c>
      <c r="L892" s="24" t="str">
        <f aca="false">IF(AND($A892="",$B892=""),"",IF(ISNA(MATCH($A892,Activities!$A$2:$A$201,0)),"Unknown activity",IF(ISNA(MATCH($B892,Students!$A$2:$A$301,0)),"Unknown student",IF(D892="","No status",IF(COUNTIFS($A$2:$A$1001,$A892,$B$2:$B$1001,$B892)&gt;1,"Duplicate",IF(AND(D892&lt;&gt;"Withdrawn",G892&lt;&gt;"",COUNTIFS($B$2:$B$1001,$B892,$G$2:$G$1001,G892,$D$2:$D$1001,"&lt;&gt;Withdrawn")&gt;1),"Same-day clash","OK"))))))</f>
        <v/>
      </c>
    </row>
    <row r="893" customFormat="false" ht="15" hidden="false" customHeight="false" outlineLevel="0" collapsed="false">
      <c r="E893" s="26"/>
      <c r="G893" s="23" t="str">
        <f aca="false">IF($A893="","",IFERROR(IF(INDEX(Activities!$C$2:$C$201,MATCH($A893,Activities!$A$2:$A$201,0))="","",INDEX(Activities!$C$2:$C$201,MATCH($A893,Activities!$A$2:$A$201,0))),""))</f>
        <v/>
      </c>
      <c r="H893" s="24" t="str">
        <f aca="false">IF($A893="","",IFERROR(IF(INDEX(Activities!$B$2:$B$201,MATCH($A893,Activities!$A$2:$A$201,0))="","",INDEX(Activities!$B$2:$B$201,MATCH($A893,Activities!$A$2:$A$201,0))),""))</f>
        <v/>
      </c>
      <c r="I893" s="24" t="str">
        <f aca="false">IF($B893="","",IFERROR(IF(INDEX(Students!$C$2:$C$301,MATCH($B893,Students!$A$2:$A$301,0))="","",INDEX(Students!$C$2:$C$301,MATCH($B893,Students!$A$2:$A$301,0))),""))</f>
        <v/>
      </c>
      <c r="J893" s="24" t="str">
        <f aca="false">IF($B893="","",IFERROR(IF(INDEX(Students!$B$2:$B$301,MATCH($B893,Students!$A$2:$A$301,0))="","",INDEX(Students!$B$2:$B$301,MATCH($B893,Students!$A$2:$A$301,0))),""))</f>
        <v/>
      </c>
      <c r="K893" s="25" t="str">
        <f aca="false">IF($A893="","",IF(D893="Withdrawn",0,IF(E893&lt;&gt;"",N(E893),IFERROR(N(INDEX(Activities!$I$2:$I$201,MATCH($A893,Activities!$A$2:$A$201,0))),0))))</f>
        <v/>
      </c>
      <c r="L893" s="24" t="str">
        <f aca="false">IF(AND($A893="",$B893=""),"",IF(ISNA(MATCH($A893,Activities!$A$2:$A$201,0)),"Unknown activity",IF(ISNA(MATCH($B893,Students!$A$2:$A$301,0)),"Unknown student",IF(D893="","No status",IF(COUNTIFS($A$2:$A$1001,$A893,$B$2:$B$1001,$B893)&gt;1,"Duplicate",IF(AND(D893&lt;&gt;"Withdrawn",G893&lt;&gt;"",COUNTIFS($B$2:$B$1001,$B893,$G$2:$G$1001,G893,$D$2:$D$1001,"&lt;&gt;Withdrawn")&gt;1),"Same-day clash","OK"))))))</f>
        <v/>
      </c>
    </row>
    <row r="894" customFormat="false" ht="15" hidden="false" customHeight="false" outlineLevel="0" collapsed="false">
      <c r="E894" s="26"/>
      <c r="G894" s="23" t="str">
        <f aca="false">IF($A894="","",IFERROR(IF(INDEX(Activities!$C$2:$C$201,MATCH($A894,Activities!$A$2:$A$201,0))="","",INDEX(Activities!$C$2:$C$201,MATCH($A894,Activities!$A$2:$A$201,0))),""))</f>
        <v/>
      </c>
      <c r="H894" s="24" t="str">
        <f aca="false">IF($A894="","",IFERROR(IF(INDEX(Activities!$B$2:$B$201,MATCH($A894,Activities!$A$2:$A$201,0))="","",INDEX(Activities!$B$2:$B$201,MATCH($A894,Activities!$A$2:$A$201,0))),""))</f>
        <v/>
      </c>
      <c r="I894" s="24" t="str">
        <f aca="false">IF($B894="","",IFERROR(IF(INDEX(Students!$C$2:$C$301,MATCH($B894,Students!$A$2:$A$301,0))="","",INDEX(Students!$C$2:$C$301,MATCH($B894,Students!$A$2:$A$301,0))),""))</f>
        <v/>
      </c>
      <c r="J894" s="24" t="str">
        <f aca="false">IF($B894="","",IFERROR(IF(INDEX(Students!$B$2:$B$301,MATCH($B894,Students!$A$2:$A$301,0))="","",INDEX(Students!$B$2:$B$301,MATCH($B894,Students!$A$2:$A$301,0))),""))</f>
        <v/>
      </c>
      <c r="K894" s="25" t="str">
        <f aca="false">IF($A894="","",IF(D894="Withdrawn",0,IF(E894&lt;&gt;"",N(E894),IFERROR(N(INDEX(Activities!$I$2:$I$201,MATCH($A894,Activities!$A$2:$A$201,0))),0))))</f>
        <v/>
      </c>
      <c r="L894" s="24" t="str">
        <f aca="false">IF(AND($A894="",$B894=""),"",IF(ISNA(MATCH($A894,Activities!$A$2:$A$201,0)),"Unknown activity",IF(ISNA(MATCH($B894,Students!$A$2:$A$301,0)),"Unknown student",IF(D894="","No status",IF(COUNTIFS($A$2:$A$1001,$A894,$B$2:$B$1001,$B894)&gt;1,"Duplicate",IF(AND(D894&lt;&gt;"Withdrawn",G894&lt;&gt;"",COUNTIFS($B$2:$B$1001,$B894,$G$2:$G$1001,G894,$D$2:$D$1001,"&lt;&gt;Withdrawn")&gt;1),"Same-day clash","OK"))))))</f>
        <v/>
      </c>
    </row>
    <row r="895" customFormat="false" ht="15" hidden="false" customHeight="false" outlineLevel="0" collapsed="false">
      <c r="E895" s="26"/>
      <c r="G895" s="23" t="str">
        <f aca="false">IF($A895="","",IFERROR(IF(INDEX(Activities!$C$2:$C$201,MATCH($A895,Activities!$A$2:$A$201,0))="","",INDEX(Activities!$C$2:$C$201,MATCH($A895,Activities!$A$2:$A$201,0))),""))</f>
        <v/>
      </c>
      <c r="H895" s="24" t="str">
        <f aca="false">IF($A895="","",IFERROR(IF(INDEX(Activities!$B$2:$B$201,MATCH($A895,Activities!$A$2:$A$201,0))="","",INDEX(Activities!$B$2:$B$201,MATCH($A895,Activities!$A$2:$A$201,0))),""))</f>
        <v/>
      </c>
      <c r="I895" s="24" t="str">
        <f aca="false">IF($B895="","",IFERROR(IF(INDEX(Students!$C$2:$C$301,MATCH($B895,Students!$A$2:$A$301,0))="","",INDEX(Students!$C$2:$C$301,MATCH($B895,Students!$A$2:$A$301,0))),""))</f>
        <v/>
      </c>
      <c r="J895" s="24" t="str">
        <f aca="false">IF($B895="","",IFERROR(IF(INDEX(Students!$B$2:$B$301,MATCH($B895,Students!$A$2:$A$301,0))="","",INDEX(Students!$B$2:$B$301,MATCH($B895,Students!$A$2:$A$301,0))),""))</f>
        <v/>
      </c>
      <c r="K895" s="25" t="str">
        <f aca="false">IF($A895="","",IF(D895="Withdrawn",0,IF(E895&lt;&gt;"",N(E895),IFERROR(N(INDEX(Activities!$I$2:$I$201,MATCH($A895,Activities!$A$2:$A$201,0))),0))))</f>
        <v/>
      </c>
      <c r="L895" s="24" t="str">
        <f aca="false">IF(AND($A895="",$B895=""),"",IF(ISNA(MATCH($A895,Activities!$A$2:$A$201,0)),"Unknown activity",IF(ISNA(MATCH($B895,Students!$A$2:$A$301,0)),"Unknown student",IF(D895="","No status",IF(COUNTIFS($A$2:$A$1001,$A895,$B$2:$B$1001,$B895)&gt;1,"Duplicate",IF(AND(D895&lt;&gt;"Withdrawn",G895&lt;&gt;"",COUNTIFS($B$2:$B$1001,$B895,$G$2:$G$1001,G895,$D$2:$D$1001,"&lt;&gt;Withdrawn")&gt;1),"Same-day clash","OK"))))))</f>
        <v/>
      </c>
    </row>
    <row r="896" customFormat="false" ht="15" hidden="false" customHeight="false" outlineLevel="0" collapsed="false">
      <c r="E896" s="26"/>
      <c r="G896" s="23" t="str">
        <f aca="false">IF($A896="","",IFERROR(IF(INDEX(Activities!$C$2:$C$201,MATCH($A896,Activities!$A$2:$A$201,0))="","",INDEX(Activities!$C$2:$C$201,MATCH($A896,Activities!$A$2:$A$201,0))),""))</f>
        <v/>
      </c>
      <c r="H896" s="24" t="str">
        <f aca="false">IF($A896="","",IFERROR(IF(INDEX(Activities!$B$2:$B$201,MATCH($A896,Activities!$A$2:$A$201,0))="","",INDEX(Activities!$B$2:$B$201,MATCH($A896,Activities!$A$2:$A$201,0))),""))</f>
        <v/>
      </c>
      <c r="I896" s="24" t="str">
        <f aca="false">IF($B896="","",IFERROR(IF(INDEX(Students!$C$2:$C$301,MATCH($B896,Students!$A$2:$A$301,0))="","",INDEX(Students!$C$2:$C$301,MATCH($B896,Students!$A$2:$A$301,0))),""))</f>
        <v/>
      </c>
      <c r="J896" s="24" t="str">
        <f aca="false">IF($B896="","",IFERROR(IF(INDEX(Students!$B$2:$B$301,MATCH($B896,Students!$A$2:$A$301,0))="","",INDEX(Students!$B$2:$B$301,MATCH($B896,Students!$A$2:$A$301,0))),""))</f>
        <v/>
      </c>
      <c r="K896" s="25" t="str">
        <f aca="false">IF($A896="","",IF(D896="Withdrawn",0,IF(E896&lt;&gt;"",N(E896),IFERROR(N(INDEX(Activities!$I$2:$I$201,MATCH($A896,Activities!$A$2:$A$201,0))),0))))</f>
        <v/>
      </c>
      <c r="L896" s="24" t="str">
        <f aca="false">IF(AND($A896="",$B896=""),"",IF(ISNA(MATCH($A896,Activities!$A$2:$A$201,0)),"Unknown activity",IF(ISNA(MATCH($B896,Students!$A$2:$A$301,0)),"Unknown student",IF(D896="","No status",IF(COUNTIFS($A$2:$A$1001,$A896,$B$2:$B$1001,$B896)&gt;1,"Duplicate",IF(AND(D896&lt;&gt;"Withdrawn",G896&lt;&gt;"",COUNTIFS($B$2:$B$1001,$B896,$G$2:$G$1001,G896,$D$2:$D$1001,"&lt;&gt;Withdrawn")&gt;1),"Same-day clash","OK"))))))</f>
        <v/>
      </c>
    </row>
    <row r="897" customFormat="false" ht="15" hidden="false" customHeight="false" outlineLevel="0" collapsed="false">
      <c r="E897" s="26"/>
      <c r="G897" s="23" t="str">
        <f aca="false">IF($A897="","",IFERROR(IF(INDEX(Activities!$C$2:$C$201,MATCH($A897,Activities!$A$2:$A$201,0))="","",INDEX(Activities!$C$2:$C$201,MATCH($A897,Activities!$A$2:$A$201,0))),""))</f>
        <v/>
      </c>
      <c r="H897" s="24" t="str">
        <f aca="false">IF($A897="","",IFERROR(IF(INDEX(Activities!$B$2:$B$201,MATCH($A897,Activities!$A$2:$A$201,0))="","",INDEX(Activities!$B$2:$B$201,MATCH($A897,Activities!$A$2:$A$201,0))),""))</f>
        <v/>
      </c>
      <c r="I897" s="24" t="str">
        <f aca="false">IF($B897="","",IFERROR(IF(INDEX(Students!$C$2:$C$301,MATCH($B897,Students!$A$2:$A$301,0))="","",INDEX(Students!$C$2:$C$301,MATCH($B897,Students!$A$2:$A$301,0))),""))</f>
        <v/>
      </c>
      <c r="J897" s="24" t="str">
        <f aca="false">IF($B897="","",IFERROR(IF(INDEX(Students!$B$2:$B$301,MATCH($B897,Students!$A$2:$A$301,0))="","",INDEX(Students!$B$2:$B$301,MATCH($B897,Students!$A$2:$A$301,0))),""))</f>
        <v/>
      </c>
      <c r="K897" s="25" t="str">
        <f aca="false">IF($A897="","",IF(D897="Withdrawn",0,IF(E897&lt;&gt;"",N(E897),IFERROR(N(INDEX(Activities!$I$2:$I$201,MATCH($A897,Activities!$A$2:$A$201,0))),0))))</f>
        <v/>
      </c>
      <c r="L897" s="24" t="str">
        <f aca="false">IF(AND($A897="",$B897=""),"",IF(ISNA(MATCH($A897,Activities!$A$2:$A$201,0)),"Unknown activity",IF(ISNA(MATCH($B897,Students!$A$2:$A$301,0)),"Unknown student",IF(D897="","No status",IF(COUNTIFS($A$2:$A$1001,$A897,$B$2:$B$1001,$B897)&gt;1,"Duplicate",IF(AND(D897&lt;&gt;"Withdrawn",G897&lt;&gt;"",COUNTIFS($B$2:$B$1001,$B897,$G$2:$G$1001,G897,$D$2:$D$1001,"&lt;&gt;Withdrawn")&gt;1),"Same-day clash","OK"))))))</f>
        <v/>
      </c>
    </row>
    <row r="898" customFormat="false" ht="15" hidden="false" customHeight="false" outlineLevel="0" collapsed="false">
      <c r="E898" s="26"/>
      <c r="G898" s="23" t="str">
        <f aca="false">IF($A898="","",IFERROR(IF(INDEX(Activities!$C$2:$C$201,MATCH($A898,Activities!$A$2:$A$201,0))="","",INDEX(Activities!$C$2:$C$201,MATCH($A898,Activities!$A$2:$A$201,0))),""))</f>
        <v/>
      </c>
      <c r="H898" s="24" t="str">
        <f aca="false">IF($A898="","",IFERROR(IF(INDEX(Activities!$B$2:$B$201,MATCH($A898,Activities!$A$2:$A$201,0))="","",INDEX(Activities!$B$2:$B$201,MATCH($A898,Activities!$A$2:$A$201,0))),""))</f>
        <v/>
      </c>
      <c r="I898" s="24" t="str">
        <f aca="false">IF($B898="","",IFERROR(IF(INDEX(Students!$C$2:$C$301,MATCH($B898,Students!$A$2:$A$301,0))="","",INDEX(Students!$C$2:$C$301,MATCH($B898,Students!$A$2:$A$301,0))),""))</f>
        <v/>
      </c>
      <c r="J898" s="24" t="str">
        <f aca="false">IF($B898="","",IFERROR(IF(INDEX(Students!$B$2:$B$301,MATCH($B898,Students!$A$2:$A$301,0))="","",INDEX(Students!$B$2:$B$301,MATCH($B898,Students!$A$2:$A$301,0))),""))</f>
        <v/>
      </c>
      <c r="K898" s="25" t="str">
        <f aca="false">IF($A898="","",IF(D898="Withdrawn",0,IF(E898&lt;&gt;"",N(E898),IFERROR(N(INDEX(Activities!$I$2:$I$201,MATCH($A898,Activities!$A$2:$A$201,0))),0))))</f>
        <v/>
      </c>
      <c r="L898" s="24" t="str">
        <f aca="false">IF(AND($A898="",$B898=""),"",IF(ISNA(MATCH($A898,Activities!$A$2:$A$201,0)),"Unknown activity",IF(ISNA(MATCH($B898,Students!$A$2:$A$301,0)),"Unknown student",IF(D898="","No status",IF(COUNTIFS($A$2:$A$1001,$A898,$B$2:$B$1001,$B898)&gt;1,"Duplicate",IF(AND(D898&lt;&gt;"Withdrawn",G898&lt;&gt;"",COUNTIFS($B$2:$B$1001,$B898,$G$2:$G$1001,G898,$D$2:$D$1001,"&lt;&gt;Withdrawn")&gt;1),"Same-day clash","OK"))))))</f>
        <v/>
      </c>
    </row>
    <row r="899" customFormat="false" ht="15" hidden="false" customHeight="false" outlineLevel="0" collapsed="false">
      <c r="E899" s="26"/>
      <c r="G899" s="23" t="str">
        <f aca="false">IF($A899="","",IFERROR(IF(INDEX(Activities!$C$2:$C$201,MATCH($A899,Activities!$A$2:$A$201,0))="","",INDEX(Activities!$C$2:$C$201,MATCH($A899,Activities!$A$2:$A$201,0))),""))</f>
        <v/>
      </c>
      <c r="H899" s="24" t="str">
        <f aca="false">IF($A899="","",IFERROR(IF(INDEX(Activities!$B$2:$B$201,MATCH($A899,Activities!$A$2:$A$201,0))="","",INDEX(Activities!$B$2:$B$201,MATCH($A899,Activities!$A$2:$A$201,0))),""))</f>
        <v/>
      </c>
      <c r="I899" s="24" t="str">
        <f aca="false">IF($B899="","",IFERROR(IF(INDEX(Students!$C$2:$C$301,MATCH($B899,Students!$A$2:$A$301,0))="","",INDEX(Students!$C$2:$C$301,MATCH($B899,Students!$A$2:$A$301,0))),""))</f>
        <v/>
      </c>
      <c r="J899" s="24" t="str">
        <f aca="false">IF($B899="","",IFERROR(IF(INDEX(Students!$B$2:$B$301,MATCH($B899,Students!$A$2:$A$301,0))="","",INDEX(Students!$B$2:$B$301,MATCH($B899,Students!$A$2:$A$301,0))),""))</f>
        <v/>
      </c>
      <c r="K899" s="25" t="str">
        <f aca="false">IF($A899="","",IF(D899="Withdrawn",0,IF(E899&lt;&gt;"",N(E899),IFERROR(N(INDEX(Activities!$I$2:$I$201,MATCH($A899,Activities!$A$2:$A$201,0))),0))))</f>
        <v/>
      </c>
      <c r="L899" s="24" t="str">
        <f aca="false">IF(AND($A899="",$B899=""),"",IF(ISNA(MATCH($A899,Activities!$A$2:$A$201,0)),"Unknown activity",IF(ISNA(MATCH($B899,Students!$A$2:$A$301,0)),"Unknown student",IF(D899="","No status",IF(COUNTIFS($A$2:$A$1001,$A899,$B$2:$B$1001,$B899)&gt;1,"Duplicate",IF(AND(D899&lt;&gt;"Withdrawn",G899&lt;&gt;"",COUNTIFS($B$2:$B$1001,$B899,$G$2:$G$1001,G899,$D$2:$D$1001,"&lt;&gt;Withdrawn")&gt;1),"Same-day clash","OK"))))))</f>
        <v/>
      </c>
    </row>
    <row r="900" customFormat="false" ht="15" hidden="false" customHeight="false" outlineLevel="0" collapsed="false">
      <c r="E900" s="26"/>
      <c r="G900" s="23" t="str">
        <f aca="false">IF($A900="","",IFERROR(IF(INDEX(Activities!$C$2:$C$201,MATCH($A900,Activities!$A$2:$A$201,0))="","",INDEX(Activities!$C$2:$C$201,MATCH($A900,Activities!$A$2:$A$201,0))),""))</f>
        <v/>
      </c>
      <c r="H900" s="24" t="str">
        <f aca="false">IF($A900="","",IFERROR(IF(INDEX(Activities!$B$2:$B$201,MATCH($A900,Activities!$A$2:$A$201,0))="","",INDEX(Activities!$B$2:$B$201,MATCH($A900,Activities!$A$2:$A$201,0))),""))</f>
        <v/>
      </c>
      <c r="I900" s="24" t="str">
        <f aca="false">IF($B900="","",IFERROR(IF(INDEX(Students!$C$2:$C$301,MATCH($B900,Students!$A$2:$A$301,0))="","",INDEX(Students!$C$2:$C$301,MATCH($B900,Students!$A$2:$A$301,0))),""))</f>
        <v/>
      </c>
      <c r="J900" s="24" t="str">
        <f aca="false">IF($B900="","",IFERROR(IF(INDEX(Students!$B$2:$B$301,MATCH($B900,Students!$A$2:$A$301,0))="","",INDEX(Students!$B$2:$B$301,MATCH($B900,Students!$A$2:$A$301,0))),""))</f>
        <v/>
      </c>
      <c r="K900" s="25" t="str">
        <f aca="false">IF($A900="","",IF(D900="Withdrawn",0,IF(E900&lt;&gt;"",N(E900),IFERROR(N(INDEX(Activities!$I$2:$I$201,MATCH($A900,Activities!$A$2:$A$201,0))),0))))</f>
        <v/>
      </c>
      <c r="L900" s="24" t="str">
        <f aca="false">IF(AND($A900="",$B900=""),"",IF(ISNA(MATCH($A900,Activities!$A$2:$A$201,0)),"Unknown activity",IF(ISNA(MATCH($B900,Students!$A$2:$A$301,0)),"Unknown student",IF(D900="","No status",IF(COUNTIFS($A$2:$A$1001,$A900,$B$2:$B$1001,$B900)&gt;1,"Duplicate",IF(AND(D900&lt;&gt;"Withdrawn",G900&lt;&gt;"",COUNTIFS($B$2:$B$1001,$B900,$G$2:$G$1001,G900,$D$2:$D$1001,"&lt;&gt;Withdrawn")&gt;1),"Same-day clash","OK"))))))</f>
        <v/>
      </c>
    </row>
    <row r="901" customFormat="false" ht="15" hidden="false" customHeight="false" outlineLevel="0" collapsed="false">
      <c r="E901" s="26"/>
      <c r="G901" s="23" t="str">
        <f aca="false">IF($A901="","",IFERROR(IF(INDEX(Activities!$C$2:$C$201,MATCH($A901,Activities!$A$2:$A$201,0))="","",INDEX(Activities!$C$2:$C$201,MATCH($A901,Activities!$A$2:$A$201,0))),""))</f>
        <v/>
      </c>
      <c r="H901" s="24" t="str">
        <f aca="false">IF($A901="","",IFERROR(IF(INDEX(Activities!$B$2:$B$201,MATCH($A901,Activities!$A$2:$A$201,0))="","",INDEX(Activities!$B$2:$B$201,MATCH($A901,Activities!$A$2:$A$201,0))),""))</f>
        <v/>
      </c>
      <c r="I901" s="24" t="str">
        <f aca="false">IF($B901="","",IFERROR(IF(INDEX(Students!$C$2:$C$301,MATCH($B901,Students!$A$2:$A$301,0))="","",INDEX(Students!$C$2:$C$301,MATCH($B901,Students!$A$2:$A$301,0))),""))</f>
        <v/>
      </c>
      <c r="J901" s="24" t="str">
        <f aca="false">IF($B901="","",IFERROR(IF(INDEX(Students!$B$2:$B$301,MATCH($B901,Students!$A$2:$A$301,0))="","",INDEX(Students!$B$2:$B$301,MATCH($B901,Students!$A$2:$A$301,0))),""))</f>
        <v/>
      </c>
      <c r="K901" s="25" t="str">
        <f aca="false">IF($A901="","",IF(D901="Withdrawn",0,IF(E901&lt;&gt;"",N(E901),IFERROR(N(INDEX(Activities!$I$2:$I$201,MATCH($A901,Activities!$A$2:$A$201,0))),0))))</f>
        <v/>
      </c>
      <c r="L901" s="24" t="str">
        <f aca="false">IF(AND($A901="",$B901=""),"",IF(ISNA(MATCH($A901,Activities!$A$2:$A$201,0)),"Unknown activity",IF(ISNA(MATCH($B901,Students!$A$2:$A$301,0)),"Unknown student",IF(D901="","No status",IF(COUNTIFS($A$2:$A$1001,$A901,$B$2:$B$1001,$B901)&gt;1,"Duplicate",IF(AND(D901&lt;&gt;"Withdrawn",G901&lt;&gt;"",COUNTIFS($B$2:$B$1001,$B901,$G$2:$G$1001,G901,$D$2:$D$1001,"&lt;&gt;Withdrawn")&gt;1),"Same-day clash","OK"))))))</f>
        <v/>
      </c>
    </row>
    <row r="902" customFormat="false" ht="15" hidden="false" customHeight="false" outlineLevel="0" collapsed="false">
      <c r="E902" s="26"/>
      <c r="G902" s="23" t="str">
        <f aca="false">IF($A902="","",IFERROR(IF(INDEX(Activities!$C$2:$C$201,MATCH($A902,Activities!$A$2:$A$201,0))="","",INDEX(Activities!$C$2:$C$201,MATCH($A902,Activities!$A$2:$A$201,0))),""))</f>
        <v/>
      </c>
      <c r="H902" s="24" t="str">
        <f aca="false">IF($A902="","",IFERROR(IF(INDEX(Activities!$B$2:$B$201,MATCH($A902,Activities!$A$2:$A$201,0))="","",INDEX(Activities!$B$2:$B$201,MATCH($A902,Activities!$A$2:$A$201,0))),""))</f>
        <v/>
      </c>
      <c r="I902" s="24" t="str">
        <f aca="false">IF($B902="","",IFERROR(IF(INDEX(Students!$C$2:$C$301,MATCH($B902,Students!$A$2:$A$301,0))="","",INDEX(Students!$C$2:$C$301,MATCH($B902,Students!$A$2:$A$301,0))),""))</f>
        <v/>
      </c>
      <c r="J902" s="24" t="str">
        <f aca="false">IF($B902="","",IFERROR(IF(INDEX(Students!$B$2:$B$301,MATCH($B902,Students!$A$2:$A$301,0))="","",INDEX(Students!$B$2:$B$301,MATCH($B902,Students!$A$2:$A$301,0))),""))</f>
        <v/>
      </c>
      <c r="K902" s="25" t="str">
        <f aca="false">IF($A902="","",IF(D902="Withdrawn",0,IF(E902&lt;&gt;"",N(E902),IFERROR(N(INDEX(Activities!$I$2:$I$201,MATCH($A902,Activities!$A$2:$A$201,0))),0))))</f>
        <v/>
      </c>
      <c r="L902" s="24" t="str">
        <f aca="false">IF(AND($A902="",$B902=""),"",IF(ISNA(MATCH($A902,Activities!$A$2:$A$201,0)),"Unknown activity",IF(ISNA(MATCH($B902,Students!$A$2:$A$301,0)),"Unknown student",IF(D902="","No status",IF(COUNTIFS($A$2:$A$1001,$A902,$B$2:$B$1001,$B902)&gt;1,"Duplicate",IF(AND(D902&lt;&gt;"Withdrawn",G902&lt;&gt;"",COUNTIFS($B$2:$B$1001,$B902,$G$2:$G$1001,G902,$D$2:$D$1001,"&lt;&gt;Withdrawn")&gt;1),"Same-day clash","OK"))))))</f>
        <v/>
      </c>
    </row>
    <row r="903" customFormat="false" ht="15" hidden="false" customHeight="false" outlineLevel="0" collapsed="false">
      <c r="E903" s="26"/>
      <c r="G903" s="23" t="str">
        <f aca="false">IF($A903="","",IFERROR(IF(INDEX(Activities!$C$2:$C$201,MATCH($A903,Activities!$A$2:$A$201,0))="","",INDEX(Activities!$C$2:$C$201,MATCH($A903,Activities!$A$2:$A$201,0))),""))</f>
        <v/>
      </c>
      <c r="H903" s="24" t="str">
        <f aca="false">IF($A903="","",IFERROR(IF(INDEX(Activities!$B$2:$B$201,MATCH($A903,Activities!$A$2:$A$201,0))="","",INDEX(Activities!$B$2:$B$201,MATCH($A903,Activities!$A$2:$A$201,0))),""))</f>
        <v/>
      </c>
      <c r="I903" s="24" t="str">
        <f aca="false">IF($B903="","",IFERROR(IF(INDEX(Students!$C$2:$C$301,MATCH($B903,Students!$A$2:$A$301,0))="","",INDEX(Students!$C$2:$C$301,MATCH($B903,Students!$A$2:$A$301,0))),""))</f>
        <v/>
      </c>
      <c r="J903" s="24" t="str">
        <f aca="false">IF($B903="","",IFERROR(IF(INDEX(Students!$B$2:$B$301,MATCH($B903,Students!$A$2:$A$301,0))="","",INDEX(Students!$B$2:$B$301,MATCH($B903,Students!$A$2:$A$301,0))),""))</f>
        <v/>
      </c>
      <c r="K903" s="25" t="str">
        <f aca="false">IF($A903="","",IF(D903="Withdrawn",0,IF(E903&lt;&gt;"",N(E903),IFERROR(N(INDEX(Activities!$I$2:$I$201,MATCH($A903,Activities!$A$2:$A$201,0))),0))))</f>
        <v/>
      </c>
      <c r="L903" s="24" t="str">
        <f aca="false">IF(AND($A903="",$B903=""),"",IF(ISNA(MATCH($A903,Activities!$A$2:$A$201,0)),"Unknown activity",IF(ISNA(MATCH($B903,Students!$A$2:$A$301,0)),"Unknown student",IF(D903="","No status",IF(COUNTIFS($A$2:$A$1001,$A903,$B$2:$B$1001,$B903)&gt;1,"Duplicate",IF(AND(D903&lt;&gt;"Withdrawn",G903&lt;&gt;"",COUNTIFS($B$2:$B$1001,$B903,$G$2:$G$1001,G903,$D$2:$D$1001,"&lt;&gt;Withdrawn")&gt;1),"Same-day clash","OK"))))))</f>
        <v/>
      </c>
    </row>
    <row r="904" customFormat="false" ht="15" hidden="false" customHeight="false" outlineLevel="0" collapsed="false">
      <c r="E904" s="26"/>
      <c r="G904" s="23" t="str">
        <f aca="false">IF($A904="","",IFERROR(IF(INDEX(Activities!$C$2:$C$201,MATCH($A904,Activities!$A$2:$A$201,0))="","",INDEX(Activities!$C$2:$C$201,MATCH($A904,Activities!$A$2:$A$201,0))),""))</f>
        <v/>
      </c>
      <c r="H904" s="24" t="str">
        <f aca="false">IF($A904="","",IFERROR(IF(INDEX(Activities!$B$2:$B$201,MATCH($A904,Activities!$A$2:$A$201,0))="","",INDEX(Activities!$B$2:$B$201,MATCH($A904,Activities!$A$2:$A$201,0))),""))</f>
        <v/>
      </c>
      <c r="I904" s="24" t="str">
        <f aca="false">IF($B904="","",IFERROR(IF(INDEX(Students!$C$2:$C$301,MATCH($B904,Students!$A$2:$A$301,0))="","",INDEX(Students!$C$2:$C$301,MATCH($B904,Students!$A$2:$A$301,0))),""))</f>
        <v/>
      </c>
      <c r="J904" s="24" t="str">
        <f aca="false">IF($B904="","",IFERROR(IF(INDEX(Students!$B$2:$B$301,MATCH($B904,Students!$A$2:$A$301,0))="","",INDEX(Students!$B$2:$B$301,MATCH($B904,Students!$A$2:$A$301,0))),""))</f>
        <v/>
      </c>
      <c r="K904" s="25" t="str">
        <f aca="false">IF($A904="","",IF(D904="Withdrawn",0,IF(E904&lt;&gt;"",N(E904),IFERROR(N(INDEX(Activities!$I$2:$I$201,MATCH($A904,Activities!$A$2:$A$201,0))),0))))</f>
        <v/>
      </c>
      <c r="L904" s="24" t="str">
        <f aca="false">IF(AND($A904="",$B904=""),"",IF(ISNA(MATCH($A904,Activities!$A$2:$A$201,0)),"Unknown activity",IF(ISNA(MATCH($B904,Students!$A$2:$A$301,0)),"Unknown student",IF(D904="","No status",IF(COUNTIFS($A$2:$A$1001,$A904,$B$2:$B$1001,$B904)&gt;1,"Duplicate",IF(AND(D904&lt;&gt;"Withdrawn",G904&lt;&gt;"",COUNTIFS($B$2:$B$1001,$B904,$G$2:$G$1001,G904,$D$2:$D$1001,"&lt;&gt;Withdrawn")&gt;1),"Same-day clash","OK"))))))</f>
        <v/>
      </c>
    </row>
    <row r="905" customFormat="false" ht="15" hidden="false" customHeight="false" outlineLevel="0" collapsed="false">
      <c r="E905" s="26"/>
      <c r="G905" s="23" t="str">
        <f aca="false">IF($A905="","",IFERROR(IF(INDEX(Activities!$C$2:$C$201,MATCH($A905,Activities!$A$2:$A$201,0))="","",INDEX(Activities!$C$2:$C$201,MATCH($A905,Activities!$A$2:$A$201,0))),""))</f>
        <v/>
      </c>
      <c r="H905" s="24" t="str">
        <f aca="false">IF($A905="","",IFERROR(IF(INDEX(Activities!$B$2:$B$201,MATCH($A905,Activities!$A$2:$A$201,0))="","",INDEX(Activities!$B$2:$B$201,MATCH($A905,Activities!$A$2:$A$201,0))),""))</f>
        <v/>
      </c>
      <c r="I905" s="24" t="str">
        <f aca="false">IF($B905="","",IFERROR(IF(INDEX(Students!$C$2:$C$301,MATCH($B905,Students!$A$2:$A$301,0))="","",INDEX(Students!$C$2:$C$301,MATCH($B905,Students!$A$2:$A$301,0))),""))</f>
        <v/>
      </c>
      <c r="J905" s="24" t="str">
        <f aca="false">IF($B905="","",IFERROR(IF(INDEX(Students!$B$2:$B$301,MATCH($B905,Students!$A$2:$A$301,0))="","",INDEX(Students!$B$2:$B$301,MATCH($B905,Students!$A$2:$A$301,0))),""))</f>
        <v/>
      </c>
      <c r="K905" s="25" t="str">
        <f aca="false">IF($A905="","",IF(D905="Withdrawn",0,IF(E905&lt;&gt;"",N(E905),IFERROR(N(INDEX(Activities!$I$2:$I$201,MATCH($A905,Activities!$A$2:$A$201,0))),0))))</f>
        <v/>
      </c>
      <c r="L905" s="24" t="str">
        <f aca="false">IF(AND($A905="",$B905=""),"",IF(ISNA(MATCH($A905,Activities!$A$2:$A$201,0)),"Unknown activity",IF(ISNA(MATCH($B905,Students!$A$2:$A$301,0)),"Unknown student",IF(D905="","No status",IF(COUNTIFS($A$2:$A$1001,$A905,$B$2:$B$1001,$B905)&gt;1,"Duplicate",IF(AND(D905&lt;&gt;"Withdrawn",G905&lt;&gt;"",COUNTIFS($B$2:$B$1001,$B905,$G$2:$G$1001,G905,$D$2:$D$1001,"&lt;&gt;Withdrawn")&gt;1),"Same-day clash","OK"))))))</f>
        <v/>
      </c>
    </row>
    <row r="906" customFormat="false" ht="15" hidden="false" customHeight="false" outlineLevel="0" collapsed="false">
      <c r="E906" s="26"/>
      <c r="G906" s="23" t="str">
        <f aca="false">IF($A906="","",IFERROR(IF(INDEX(Activities!$C$2:$C$201,MATCH($A906,Activities!$A$2:$A$201,0))="","",INDEX(Activities!$C$2:$C$201,MATCH($A906,Activities!$A$2:$A$201,0))),""))</f>
        <v/>
      </c>
      <c r="H906" s="24" t="str">
        <f aca="false">IF($A906="","",IFERROR(IF(INDEX(Activities!$B$2:$B$201,MATCH($A906,Activities!$A$2:$A$201,0))="","",INDEX(Activities!$B$2:$B$201,MATCH($A906,Activities!$A$2:$A$201,0))),""))</f>
        <v/>
      </c>
      <c r="I906" s="24" t="str">
        <f aca="false">IF($B906="","",IFERROR(IF(INDEX(Students!$C$2:$C$301,MATCH($B906,Students!$A$2:$A$301,0))="","",INDEX(Students!$C$2:$C$301,MATCH($B906,Students!$A$2:$A$301,0))),""))</f>
        <v/>
      </c>
      <c r="J906" s="24" t="str">
        <f aca="false">IF($B906="","",IFERROR(IF(INDEX(Students!$B$2:$B$301,MATCH($B906,Students!$A$2:$A$301,0))="","",INDEX(Students!$B$2:$B$301,MATCH($B906,Students!$A$2:$A$301,0))),""))</f>
        <v/>
      </c>
      <c r="K906" s="25" t="str">
        <f aca="false">IF($A906="","",IF(D906="Withdrawn",0,IF(E906&lt;&gt;"",N(E906),IFERROR(N(INDEX(Activities!$I$2:$I$201,MATCH($A906,Activities!$A$2:$A$201,0))),0))))</f>
        <v/>
      </c>
      <c r="L906" s="24" t="str">
        <f aca="false">IF(AND($A906="",$B906=""),"",IF(ISNA(MATCH($A906,Activities!$A$2:$A$201,0)),"Unknown activity",IF(ISNA(MATCH($B906,Students!$A$2:$A$301,0)),"Unknown student",IF(D906="","No status",IF(COUNTIFS($A$2:$A$1001,$A906,$B$2:$B$1001,$B906)&gt;1,"Duplicate",IF(AND(D906&lt;&gt;"Withdrawn",G906&lt;&gt;"",COUNTIFS($B$2:$B$1001,$B906,$G$2:$G$1001,G906,$D$2:$D$1001,"&lt;&gt;Withdrawn")&gt;1),"Same-day clash","OK"))))))</f>
        <v/>
      </c>
    </row>
    <row r="907" customFormat="false" ht="15" hidden="false" customHeight="false" outlineLevel="0" collapsed="false">
      <c r="E907" s="26"/>
      <c r="G907" s="23" t="str">
        <f aca="false">IF($A907="","",IFERROR(IF(INDEX(Activities!$C$2:$C$201,MATCH($A907,Activities!$A$2:$A$201,0))="","",INDEX(Activities!$C$2:$C$201,MATCH($A907,Activities!$A$2:$A$201,0))),""))</f>
        <v/>
      </c>
      <c r="H907" s="24" t="str">
        <f aca="false">IF($A907="","",IFERROR(IF(INDEX(Activities!$B$2:$B$201,MATCH($A907,Activities!$A$2:$A$201,0))="","",INDEX(Activities!$B$2:$B$201,MATCH($A907,Activities!$A$2:$A$201,0))),""))</f>
        <v/>
      </c>
      <c r="I907" s="24" t="str">
        <f aca="false">IF($B907="","",IFERROR(IF(INDEX(Students!$C$2:$C$301,MATCH($B907,Students!$A$2:$A$301,0))="","",INDEX(Students!$C$2:$C$301,MATCH($B907,Students!$A$2:$A$301,0))),""))</f>
        <v/>
      </c>
      <c r="J907" s="24" t="str">
        <f aca="false">IF($B907="","",IFERROR(IF(INDEX(Students!$B$2:$B$301,MATCH($B907,Students!$A$2:$A$301,0))="","",INDEX(Students!$B$2:$B$301,MATCH($B907,Students!$A$2:$A$301,0))),""))</f>
        <v/>
      </c>
      <c r="K907" s="25" t="str">
        <f aca="false">IF($A907="","",IF(D907="Withdrawn",0,IF(E907&lt;&gt;"",N(E907),IFERROR(N(INDEX(Activities!$I$2:$I$201,MATCH($A907,Activities!$A$2:$A$201,0))),0))))</f>
        <v/>
      </c>
      <c r="L907" s="24" t="str">
        <f aca="false">IF(AND($A907="",$B907=""),"",IF(ISNA(MATCH($A907,Activities!$A$2:$A$201,0)),"Unknown activity",IF(ISNA(MATCH($B907,Students!$A$2:$A$301,0)),"Unknown student",IF(D907="","No status",IF(COUNTIFS($A$2:$A$1001,$A907,$B$2:$B$1001,$B907)&gt;1,"Duplicate",IF(AND(D907&lt;&gt;"Withdrawn",G907&lt;&gt;"",COUNTIFS($B$2:$B$1001,$B907,$G$2:$G$1001,G907,$D$2:$D$1001,"&lt;&gt;Withdrawn")&gt;1),"Same-day clash","OK"))))))</f>
        <v/>
      </c>
    </row>
    <row r="908" customFormat="false" ht="15" hidden="false" customHeight="false" outlineLevel="0" collapsed="false">
      <c r="E908" s="26"/>
      <c r="G908" s="23" t="str">
        <f aca="false">IF($A908="","",IFERROR(IF(INDEX(Activities!$C$2:$C$201,MATCH($A908,Activities!$A$2:$A$201,0))="","",INDEX(Activities!$C$2:$C$201,MATCH($A908,Activities!$A$2:$A$201,0))),""))</f>
        <v/>
      </c>
      <c r="H908" s="24" t="str">
        <f aca="false">IF($A908="","",IFERROR(IF(INDEX(Activities!$B$2:$B$201,MATCH($A908,Activities!$A$2:$A$201,0))="","",INDEX(Activities!$B$2:$B$201,MATCH($A908,Activities!$A$2:$A$201,0))),""))</f>
        <v/>
      </c>
      <c r="I908" s="24" t="str">
        <f aca="false">IF($B908="","",IFERROR(IF(INDEX(Students!$C$2:$C$301,MATCH($B908,Students!$A$2:$A$301,0))="","",INDEX(Students!$C$2:$C$301,MATCH($B908,Students!$A$2:$A$301,0))),""))</f>
        <v/>
      </c>
      <c r="J908" s="24" t="str">
        <f aca="false">IF($B908="","",IFERROR(IF(INDEX(Students!$B$2:$B$301,MATCH($B908,Students!$A$2:$A$301,0))="","",INDEX(Students!$B$2:$B$301,MATCH($B908,Students!$A$2:$A$301,0))),""))</f>
        <v/>
      </c>
      <c r="K908" s="25" t="str">
        <f aca="false">IF($A908="","",IF(D908="Withdrawn",0,IF(E908&lt;&gt;"",N(E908),IFERROR(N(INDEX(Activities!$I$2:$I$201,MATCH($A908,Activities!$A$2:$A$201,0))),0))))</f>
        <v/>
      </c>
      <c r="L908" s="24" t="str">
        <f aca="false">IF(AND($A908="",$B908=""),"",IF(ISNA(MATCH($A908,Activities!$A$2:$A$201,0)),"Unknown activity",IF(ISNA(MATCH($B908,Students!$A$2:$A$301,0)),"Unknown student",IF(D908="","No status",IF(COUNTIFS($A$2:$A$1001,$A908,$B$2:$B$1001,$B908)&gt;1,"Duplicate",IF(AND(D908&lt;&gt;"Withdrawn",G908&lt;&gt;"",COUNTIFS($B$2:$B$1001,$B908,$G$2:$G$1001,G908,$D$2:$D$1001,"&lt;&gt;Withdrawn")&gt;1),"Same-day clash","OK"))))))</f>
        <v/>
      </c>
    </row>
    <row r="909" customFormat="false" ht="15" hidden="false" customHeight="false" outlineLevel="0" collapsed="false">
      <c r="E909" s="26"/>
      <c r="G909" s="23" t="str">
        <f aca="false">IF($A909="","",IFERROR(IF(INDEX(Activities!$C$2:$C$201,MATCH($A909,Activities!$A$2:$A$201,0))="","",INDEX(Activities!$C$2:$C$201,MATCH($A909,Activities!$A$2:$A$201,0))),""))</f>
        <v/>
      </c>
      <c r="H909" s="24" t="str">
        <f aca="false">IF($A909="","",IFERROR(IF(INDEX(Activities!$B$2:$B$201,MATCH($A909,Activities!$A$2:$A$201,0))="","",INDEX(Activities!$B$2:$B$201,MATCH($A909,Activities!$A$2:$A$201,0))),""))</f>
        <v/>
      </c>
      <c r="I909" s="24" t="str">
        <f aca="false">IF($B909="","",IFERROR(IF(INDEX(Students!$C$2:$C$301,MATCH($B909,Students!$A$2:$A$301,0))="","",INDEX(Students!$C$2:$C$301,MATCH($B909,Students!$A$2:$A$301,0))),""))</f>
        <v/>
      </c>
      <c r="J909" s="24" t="str">
        <f aca="false">IF($B909="","",IFERROR(IF(INDEX(Students!$B$2:$B$301,MATCH($B909,Students!$A$2:$A$301,0))="","",INDEX(Students!$B$2:$B$301,MATCH($B909,Students!$A$2:$A$301,0))),""))</f>
        <v/>
      </c>
      <c r="K909" s="25" t="str">
        <f aca="false">IF($A909="","",IF(D909="Withdrawn",0,IF(E909&lt;&gt;"",N(E909),IFERROR(N(INDEX(Activities!$I$2:$I$201,MATCH($A909,Activities!$A$2:$A$201,0))),0))))</f>
        <v/>
      </c>
      <c r="L909" s="24" t="str">
        <f aca="false">IF(AND($A909="",$B909=""),"",IF(ISNA(MATCH($A909,Activities!$A$2:$A$201,0)),"Unknown activity",IF(ISNA(MATCH($B909,Students!$A$2:$A$301,0)),"Unknown student",IF(D909="","No status",IF(COUNTIFS($A$2:$A$1001,$A909,$B$2:$B$1001,$B909)&gt;1,"Duplicate",IF(AND(D909&lt;&gt;"Withdrawn",G909&lt;&gt;"",COUNTIFS($B$2:$B$1001,$B909,$G$2:$G$1001,G909,$D$2:$D$1001,"&lt;&gt;Withdrawn")&gt;1),"Same-day clash","OK"))))))</f>
        <v/>
      </c>
    </row>
    <row r="910" customFormat="false" ht="15" hidden="false" customHeight="false" outlineLevel="0" collapsed="false">
      <c r="E910" s="26"/>
      <c r="G910" s="23" t="str">
        <f aca="false">IF($A910="","",IFERROR(IF(INDEX(Activities!$C$2:$C$201,MATCH($A910,Activities!$A$2:$A$201,0))="","",INDEX(Activities!$C$2:$C$201,MATCH($A910,Activities!$A$2:$A$201,0))),""))</f>
        <v/>
      </c>
      <c r="H910" s="24" t="str">
        <f aca="false">IF($A910="","",IFERROR(IF(INDEX(Activities!$B$2:$B$201,MATCH($A910,Activities!$A$2:$A$201,0))="","",INDEX(Activities!$B$2:$B$201,MATCH($A910,Activities!$A$2:$A$201,0))),""))</f>
        <v/>
      </c>
      <c r="I910" s="24" t="str">
        <f aca="false">IF($B910="","",IFERROR(IF(INDEX(Students!$C$2:$C$301,MATCH($B910,Students!$A$2:$A$301,0))="","",INDEX(Students!$C$2:$C$301,MATCH($B910,Students!$A$2:$A$301,0))),""))</f>
        <v/>
      </c>
      <c r="J910" s="24" t="str">
        <f aca="false">IF($B910="","",IFERROR(IF(INDEX(Students!$B$2:$B$301,MATCH($B910,Students!$A$2:$A$301,0))="","",INDEX(Students!$B$2:$B$301,MATCH($B910,Students!$A$2:$A$301,0))),""))</f>
        <v/>
      </c>
      <c r="K910" s="25" t="str">
        <f aca="false">IF($A910="","",IF(D910="Withdrawn",0,IF(E910&lt;&gt;"",N(E910),IFERROR(N(INDEX(Activities!$I$2:$I$201,MATCH($A910,Activities!$A$2:$A$201,0))),0))))</f>
        <v/>
      </c>
      <c r="L910" s="24" t="str">
        <f aca="false">IF(AND($A910="",$B910=""),"",IF(ISNA(MATCH($A910,Activities!$A$2:$A$201,0)),"Unknown activity",IF(ISNA(MATCH($B910,Students!$A$2:$A$301,0)),"Unknown student",IF(D910="","No status",IF(COUNTIFS($A$2:$A$1001,$A910,$B$2:$B$1001,$B910)&gt;1,"Duplicate",IF(AND(D910&lt;&gt;"Withdrawn",G910&lt;&gt;"",COUNTIFS($B$2:$B$1001,$B910,$G$2:$G$1001,G910,$D$2:$D$1001,"&lt;&gt;Withdrawn")&gt;1),"Same-day clash","OK"))))))</f>
        <v/>
      </c>
    </row>
    <row r="911" customFormat="false" ht="15" hidden="false" customHeight="false" outlineLevel="0" collapsed="false">
      <c r="E911" s="26"/>
      <c r="G911" s="23" t="str">
        <f aca="false">IF($A911="","",IFERROR(IF(INDEX(Activities!$C$2:$C$201,MATCH($A911,Activities!$A$2:$A$201,0))="","",INDEX(Activities!$C$2:$C$201,MATCH($A911,Activities!$A$2:$A$201,0))),""))</f>
        <v/>
      </c>
      <c r="H911" s="24" t="str">
        <f aca="false">IF($A911="","",IFERROR(IF(INDEX(Activities!$B$2:$B$201,MATCH($A911,Activities!$A$2:$A$201,0))="","",INDEX(Activities!$B$2:$B$201,MATCH($A911,Activities!$A$2:$A$201,0))),""))</f>
        <v/>
      </c>
      <c r="I911" s="24" t="str">
        <f aca="false">IF($B911="","",IFERROR(IF(INDEX(Students!$C$2:$C$301,MATCH($B911,Students!$A$2:$A$301,0))="","",INDEX(Students!$C$2:$C$301,MATCH($B911,Students!$A$2:$A$301,0))),""))</f>
        <v/>
      </c>
      <c r="J911" s="24" t="str">
        <f aca="false">IF($B911="","",IFERROR(IF(INDEX(Students!$B$2:$B$301,MATCH($B911,Students!$A$2:$A$301,0))="","",INDEX(Students!$B$2:$B$301,MATCH($B911,Students!$A$2:$A$301,0))),""))</f>
        <v/>
      </c>
      <c r="K911" s="25" t="str">
        <f aca="false">IF($A911="","",IF(D911="Withdrawn",0,IF(E911&lt;&gt;"",N(E911),IFERROR(N(INDEX(Activities!$I$2:$I$201,MATCH($A911,Activities!$A$2:$A$201,0))),0))))</f>
        <v/>
      </c>
      <c r="L911" s="24" t="str">
        <f aca="false">IF(AND($A911="",$B911=""),"",IF(ISNA(MATCH($A911,Activities!$A$2:$A$201,0)),"Unknown activity",IF(ISNA(MATCH($B911,Students!$A$2:$A$301,0)),"Unknown student",IF(D911="","No status",IF(COUNTIFS($A$2:$A$1001,$A911,$B$2:$B$1001,$B911)&gt;1,"Duplicate",IF(AND(D911&lt;&gt;"Withdrawn",G911&lt;&gt;"",COUNTIFS($B$2:$B$1001,$B911,$G$2:$G$1001,G911,$D$2:$D$1001,"&lt;&gt;Withdrawn")&gt;1),"Same-day clash","OK"))))))</f>
        <v/>
      </c>
    </row>
    <row r="912" customFormat="false" ht="15" hidden="false" customHeight="false" outlineLevel="0" collapsed="false">
      <c r="E912" s="26"/>
      <c r="G912" s="23" t="str">
        <f aca="false">IF($A912="","",IFERROR(IF(INDEX(Activities!$C$2:$C$201,MATCH($A912,Activities!$A$2:$A$201,0))="","",INDEX(Activities!$C$2:$C$201,MATCH($A912,Activities!$A$2:$A$201,0))),""))</f>
        <v/>
      </c>
      <c r="H912" s="24" t="str">
        <f aca="false">IF($A912="","",IFERROR(IF(INDEX(Activities!$B$2:$B$201,MATCH($A912,Activities!$A$2:$A$201,0))="","",INDEX(Activities!$B$2:$B$201,MATCH($A912,Activities!$A$2:$A$201,0))),""))</f>
        <v/>
      </c>
      <c r="I912" s="24" t="str">
        <f aca="false">IF($B912="","",IFERROR(IF(INDEX(Students!$C$2:$C$301,MATCH($B912,Students!$A$2:$A$301,0))="","",INDEX(Students!$C$2:$C$301,MATCH($B912,Students!$A$2:$A$301,0))),""))</f>
        <v/>
      </c>
      <c r="J912" s="24" t="str">
        <f aca="false">IF($B912="","",IFERROR(IF(INDEX(Students!$B$2:$B$301,MATCH($B912,Students!$A$2:$A$301,0))="","",INDEX(Students!$B$2:$B$301,MATCH($B912,Students!$A$2:$A$301,0))),""))</f>
        <v/>
      </c>
      <c r="K912" s="25" t="str">
        <f aca="false">IF($A912="","",IF(D912="Withdrawn",0,IF(E912&lt;&gt;"",N(E912),IFERROR(N(INDEX(Activities!$I$2:$I$201,MATCH($A912,Activities!$A$2:$A$201,0))),0))))</f>
        <v/>
      </c>
      <c r="L912" s="24" t="str">
        <f aca="false">IF(AND($A912="",$B912=""),"",IF(ISNA(MATCH($A912,Activities!$A$2:$A$201,0)),"Unknown activity",IF(ISNA(MATCH($B912,Students!$A$2:$A$301,0)),"Unknown student",IF(D912="","No status",IF(COUNTIFS($A$2:$A$1001,$A912,$B$2:$B$1001,$B912)&gt;1,"Duplicate",IF(AND(D912&lt;&gt;"Withdrawn",G912&lt;&gt;"",COUNTIFS($B$2:$B$1001,$B912,$G$2:$G$1001,G912,$D$2:$D$1001,"&lt;&gt;Withdrawn")&gt;1),"Same-day clash","OK"))))))</f>
        <v/>
      </c>
    </row>
    <row r="913" customFormat="false" ht="15" hidden="false" customHeight="false" outlineLevel="0" collapsed="false">
      <c r="E913" s="26"/>
      <c r="G913" s="23" t="str">
        <f aca="false">IF($A913="","",IFERROR(IF(INDEX(Activities!$C$2:$C$201,MATCH($A913,Activities!$A$2:$A$201,0))="","",INDEX(Activities!$C$2:$C$201,MATCH($A913,Activities!$A$2:$A$201,0))),""))</f>
        <v/>
      </c>
      <c r="H913" s="24" t="str">
        <f aca="false">IF($A913="","",IFERROR(IF(INDEX(Activities!$B$2:$B$201,MATCH($A913,Activities!$A$2:$A$201,0))="","",INDEX(Activities!$B$2:$B$201,MATCH($A913,Activities!$A$2:$A$201,0))),""))</f>
        <v/>
      </c>
      <c r="I913" s="24" t="str">
        <f aca="false">IF($B913="","",IFERROR(IF(INDEX(Students!$C$2:$C$301,MATCH($B913,Students!$A$2:$A$301,0))="","",INDEX(Students!$C$2:$C$301,MATCH($B913,Students!$A$2:$A$301,0))),""))</f>
        <v/>
      </c>
      <c r="J913" s="24" t="str">
        <f aca="false">IF($B913="","",IFERROR(IF(INDEX(Students!$B$2:$B$301,MATCH($B913,Students!$A$2:$A$301,0))="","",INDEX(Students!$B$2:$B$301,MATCH($B913,Students!$A$2:$A$301,0))),""))</f>
        <v/>
      </c>
      <c r="K913" s="25" t="str">
        <f aca="false">IF($A913="","",IF(D913="Withdrawn",0,IF(E913&lt;&gt;"",N(E913),IFERROR(N(INDEX(Activities!$I$2:$I$201,MATCH($A913,Activities!$A$2:$A$201,0))),0))))</f>
        <v/>
      </c>
      <c r="L913" s="24" t="str">
        <f aca="false">IF(AND($A913="",$B913=""),"",IF(ISNA(MATCH($A913,Activities!$A$2:$A$201,0)),"Unknown activity",IF(ISNA(MATCH($B913,Students!$A$2:$A$301,0)),"Unknown student",IF(D913="","No status",IF(COUNTIFS($A$2:$A$1001,$A913,$B$2:$B$1001,$B913)&gt;1,"Duplicate",IF(AND(D913&lt;&gt;"Withdrawn",G913&lt;&gt;"",COUNTIFS($B$2:$B$1001,$B913,$G$2:$G$1001,G913,$D$2:$D$1001,"&lt;&gt;Withdrawn")&gt;1),"Same-day clash","OK"))))))</f>
        <v/>
      </c>
    </row>
    <row r="914" customFormat="false" ht="15" hidden="false" customHeight="false" outlineLevel="0" collapsed="false">
      <c r="E914" s="26"/>
      <c r="G914" s="23" t="str">
        <f aca="false">IF($A914="","",IFERROR(IF(INDEX(Activities!$C$2:$C$201,MATCH($A914,Activities!$A$2:$A$201,0))="","",INDEX(Activities!$C$2:$C$201,MATCH($A914,Activities!$A$2:$A$201,0))),""))</f>
        <v/>
      </c>
      <c r="H914" s="24" t="str">
        <f aca="false">IF($A914="","",IFERROR(IF(INDEX(Activities!$B$2:$B$201,MATCH($A914,Activities!$A$2:$A$201,0))="","",INDEX(Activities!$B$2:$B$201,MATCH($A914,Activities!$A$2:$A$201,0))),""))</f>
        <v/>
      </c>
      <c r="I914" s="24" t="str">
        <f aca="false">IF($B914="","",IFERROR(IF(INDEX(Students!$C$2:$C$301,MATCH($B914,Students!$A$2:$A$301,0))="","",INDEX(Students!$C$2:$C$301,MATCH($B914,Students!$A$2:$A$301,0))),""))</f>
        <v/>
      </c>
      <c r="J914" s="24" t="str">
        <f aca="false">IF($B914="","",IFERROR(IF(INDEX(Students!$B$2:$B$301,MATCH($B914,Students!$A$2:$A$301,0))="","",INDEX(Students!$B$2:$B$301,MATCH($B914,Students!$A$2:$A$301,0))),""))</f>
        <v/>
      </c>
      <c r="K914" s="25" t="str">
        <f aca="false">IF($A914="","",IF(D914="Withdrawn",0,IF(E914&lt;&gt;"",N(E914),IFERROR(N(INDEX(Activities!$I$2:$I$201,MATCH($A914,Activities!$A$2:$A$201,0))),0))))</f>
        <v/>
      </c>
      <c r="L914" s="24" t="str">
        <f aca="false">IF(AND($A914="",$B914=""),"",IF(ISNA(MATCH($A914,Activities!$A$2:$A$201,0)),"Unknown activity",IF(ISNA(MATCH($B914,Students!$A$2:$A$301,0)),"Unknown student",IF(D914="","No status",IF(COUNTIFS($A$2:$A$1001,$A914,$B$2:$B$1001,$B914)&gt;1,"Duplicate",IF(AND(D914&lt;&gt;"Withdrawn",G914&lt;&gt;"",COUNTIFS($B$2:$B$1001,$B914,$G$2:$G$1001,G914,$D$2:$D$1001,"&lt;&gt;Withdrawn")&gt;1),"Same-day clash","OK"))))))</f>
        <v/>
      </c>
    </row>
    <row r="915" customFormat="false" ht="15" hidden="false" customHeight="false" outlineLevel="0" collapsed="false">
      <c r="E915" s="26"/>
      <c r="G915" s="23" t="str">
        <f aca="false">IF($A915="","",IFERROR(IF(INDEX(Activities!$C$2:$C$201,MATCH($A915,Activities!$A$2:$A$201,0))="","",INDEX(Activities!$C$2:$C$201,MATCH($A915,Activities!$A$2:$A$201,0))),""))</f>
        <v/>
      </c>
      <c r="H915" s="24" t="str">
        <f aca="false">IF($A915="","",IFERROR(IF(INDEX(Activities!$B$2:$B$201,MATCH($A915,Activities!$A$2:$A$201,0))="","",INDEX(Activities!$B$2:$B$201,MATCH($A915,Activities!$A$2:$A$201,0))),""))</f>
        <v/>
      </c>
      <c r="I915" s="24" t="str">
        <f aca="false">IF($B915="","",IFERROR(IF(INDEX(Students!$C$2:$C$301,MATCH($B915,Students!$A$2:$A$301,0))="","",INDEX(Students!$C$2:$C$301,MATCH($B915,Students!$A$2:$A$301,0))),""))</f>
        <v/>
      </c>
      <c r="J915" s="24" t="str">
        <f aca="false">IF($B915="","",IFERROR(IF(INDEX(Students!$B$2:$B$301,MATCH($B915,Students!$A$2:$A$301,0))="","",INDEX(Students!$B$2:$B$301,MATCH($B915,Students!$A$2:$A$301,0))),""))</f>
        <v/>
      </c>
      <c r="K915" s="25" t="str">
        <f aca="false">IF($A915="","",IF(D915="Withdrawn",0,IF(E915&lt;&gt;"",N(E915),IFERROR(N(INDEX(Activities!$I$2:$I$201,MATCH($A915,Activities!$A$2:$A$201,0))),0))))</f>
        <v/>
      </c>
      <c r="L915" s="24" t="str">
        <f aca="false">IF(AND($A915="",$B915=""),"",IF(ISNA(MATCH($A915,Activities!$A$2:$A$201,0)),"Unknown activity",IF(ISNA(MATCH($B915,Students!$A$2:$A$301,0)),"Unknown student",IF(D915="","No status",IF(COUNTIFS($A$2:$A$1001,$A915,$B$2:$B$1001,$B915)&gt;1,"Duplicate",IF(AND(D915&lt;&gt;"Withdrawn",G915&lt;&gt;"",COUNTIFS($B$2:$B$1001,$B915,$G$2:$G$1001,G915,$D$2:$D$1001,"&lt;&gt;Withdrawn")&gt;1),"Same-day clash","OK"))))))</f>
        <v/>
      </c>
    </row>
    <row r="916" customFormat="false" ht="15" hidden="false" customHeight="false" outlineLevel="0" collapsed="false">
      <c r="E916" s="26"/>
      <c r="G916" s="23" t="str">
        <f aca="false">IF($A916="","",IFERROR(IF(INDEX(Activities!$C$2:$C$201,MATCH($A916,Activities!$A$2:$A$201,0))="","",INDEX(Activities!$C$2:$C$201,MATCH($A916,Activities!$A$2:$A$201,0))),""))</f>
        <v/>
      </c>
      <c r="H916" s="24" t="str">
        <f aca="false">IF($A916="","",IFERROR(IF(INDEX(Activities!$B$2:$B$201,MATCH($A916,Activities!$A$2:$A$201,0))="","",INDEX(Activities!$B$2:$B$201,MATCH($A916,Activities!$A$2:$A$201,0))),""))</f>
        <v/>
      </c>
      <c r="I916" s="24" t="str">
        <f aca="false">IF($B916="","",IFERROR(IF(INDEX(Students!$C$2:$C$301,MATCH($B916,Students!$A$2:$A$301,0))="","",INDEX(Students!$C$2:$C$301,MATCH($B916,Students!$A$2:$A$301,0))),""))</f>
        <v/>
      </c>
      <c r="J916" s="24" t="str">
        <f aca="false">IF($B916="","",IFERROR(IF(INDEX(Students!$B$2:$B$301,MATCH($B916,Students!$A$2:$A$301,0))="","",INDEX(Students!$B$2:$B$301,MATCH($B916,Students!$A$2:$A$301,0))),""))</f>
        <v/>
      </c>
      <c r="K916" s="25" t="str">
        <f aca="false">IF($A916="","",IF(D916="Withdrawn",0,IF(E916&lt;&gt;"",N(E916),IFERROR(N(INDEX(Activities!$I$2:$I$201,MATCH($A916,Activities!$A$2:$A$201,0))),0))))</f>
        <v/>
      </c>
      <c r="L916" s="24" t="str">
        <f aca="false">IF(AND($A916="",$B916=""),"",IF(ISNA(MATCH($A916,Activities!$A$2:$A$201,0)),"Unknown activity",IF(ISNA(MATCH($B916,Students!$A$2:$A$301,0)),"Unknown student",IF(D916="","No status",IF(COUNTIFS($A$2:$A$1001,$A916,$B$2:$B$1001,$B916)&gt;1,"Duplicate",IF(AND(D916&lt;&gt;"Withdrawn",G916&lt;&gt;"",COUNTIFS($B$2:$B$1001,$B916,$G$2:$G$1001,G916,$D$2:$D$1001,"&lt;&gt;Withdrawn")&gt;1),"Same-day clash","OK"))))))</f>
        <v/>
      </c>
    </row>
    <row r="917" customFormat="false" ht="15" hidden="false" customHeight="false" outlineLevel="0" collapsed="false">
      <c r="E917" s="26"/>
      <c r="G917" s="23" t="str">
        <f aca="false">IF($A917="","",IFERROR(IF(INDEX(Activities!$C$2:$C$201,MATCH($A917,Activities!$A$2:$A$201,0))="","",INDEX(Activities!$C$2:$C$201,MATCH($A917,Activities!$A$2:$A$201,0))),""))</f>
        <v/>
      </c>
      <c r="H917" s="24" t="str">
        <f aca="false">IF($A917="","",IFERROR(IF(INDEX(Activities!$B$2:$B$201,MATCH($A917,Activities!$A$2:$A$201,0))="","",INDEX(Activities!$B$2:$B$201,MATCH($A917,Activities!$A$2:$A$201,0))),""))</f>
        <v/>
      </c>
      <c r="I917" s="24" t="str">
        <f aca="false">IF($B917="","",IFERROR(IF(INDEX(Students!$C$2:$C$301,MATCH($B917,Students!$A$2:$A$301,0))="","",INDEX(Students!$C$2:$C$301,MATCH($B917,Students!$A$2:$A$301,0))),""))</f>
        <v/>
      </c>
      <c r="J917" s="24" t="str">
        <f aca="false">IF($B917="","",IFERROR(IF(INDEX(Students!$B$2:$B$301,MATCH($B917,Students!$A$2:$A$301,0))="","",INDEX(Students!$B$2:$B$301,MATCH($B917,Students!$A$2:$A$301,0))),""))</f>
        <v/>
      </c>
      <c r="K917" s="25" t="str">
        <f aca="false">IF($A917="","",IF(D917="Withdrawn",0,IF(E917&lt;&gt;"",N(E917),IFERROR(N(INDEX(Activities!$I$2:$I$201,MATCH($A917,Activities!$A$2:$A$201,0))),0))))</f>
        <v/>
      </c>
      <c r="L917" s="24" t="str">
        <f aca="false">IF(AND($A917="",$B917=""),"",IF(ISNA(MATCH($A917,Activities!$A$2:$A$201,0)),"Unknown activity",IF(ISNA(MATCH($B917,Students!$A$2:$A$301,0)),"Unknown student",IF(D917="","No status",IF(COUNTIFS($A$2:$A$1001,$A917,$B$2:$B$1001,$B917)&gt;1,"Duplicate",IF(AND(D917&lt;&gt;"Withdrawn",G917&lt;&gt;"",COUNTIFS($B$2:$B$1001,$B917,$G$2:$G$1001,G917,$D$2:$D$1001,"&lt;&gt;Withdrawn")&gt;1),"Same-day clash","OK"))))))</f>
        <v/>
      </c>
    </row>
    <row r="918" customFormat="false" ht="15" hidden="false" customHeight="false" outlineLevel="0" collapsed="false">
      <c r="E918" s="26"/>
      <c r="G918" s="23" t="str">
        <f aca="false">IF($A918="","",IFERROR(IF(INDEX(Activities!$C$2:$C$201,MATCH($A918,Activities!$A$2:$A$201,0))="","",INDEX(Activities!$C$2:$C$201,MATCH($A918,Activities!$A$2:$A$201,0))),""))</f>
        <v/>
      </c>
      <c r="H918" s="24" t="str">
        <f aca="false">IF($A918="","",IFERROR(IF(INDEX(Activities!$B$2:$B$201,MATCH($A918,Activities!$A$2:$A$201,0))="","",INDEX(Activities!$B$2:$B$201,MATCH($A918,Activities!$A$2:$A$201,0))),""))</f>
        <v/>
      </c>
      <c r="I918" s="24" t="str">
        <f aca="false">IF($B918="","",IFERROR(IF(INDEX(Students!$C$2:$C$301,MATCH($B918,Students!$A$2:$A$301,0))="","",INDEX(Students!$C$2:$C$301,MATCH($B918,Students!$A$2:$A$301,0))),""))</f>
        <v/>
      </c>
      <c r="J918" s="24" t="str">
        <f aca="false">IF($B918="","",IFERROR(IF(INDEX(Students!$B$2:$B$301,MATCH($B918,Students!$A$2:$A$301,0))="","",INDEX(Students!$B$2:$B$301,MATCH($B918,Students!$A$2:$A$301,0))),""))</f>
        <v/>
      </c>
      <c r="K918" s="25" t="str">
        <f aca="false">IF($A918="","",IF(D918="Withdrawn",0,IF(E918&lt;&gt;"",N(E918),IFERROR(N(INDEX(Activities!$I$2:$I$201,MATCH($A918,Activities!$A$2:$A$201,0))),0))))</f>
        <v/>
      </c>
      <c r="L918" s="24" t="str">
        <f aca="false">IF(AND($A918="",$B918=""),"",IF(ISNA(MATCH($A918,Activities!$A$2:$A$201,0)),"Unknown activity",IF(ISNA(MATCH($B918,Students!$A$2:$A$301,0)),"Unknown student",IF(D918="","No status",IF(COUNTIFS($A$2:$A$1001,$A918,$B$2:$B$1001,$B918)&gt;1,"Duplicate",IF(AND(D918&lt;&gt;"Withdrawn",G918&lt;&gt;"",COUNTIFS($B$2:$B$1001,$B918,$G$2:$G$1001,G918,$D$2:$D$1001,"&lt;&gt;Withdrawn")&gt;1),"Same-day clash","OK"))))))</f>
        <v/>
      </c>
    </row>
    <row r="919" customFormat="false" ht="15" hidden="false" customHeight="false" outlineLevel="0" collapsed="false">
      <c r="E919" s="26"/>
      <c r="G919" s="23" t="str">
        <f aca="false">IF($A919="","",IFERROR(IF(INDEX(Activities!$C$2:$C$201,MATCH($A919,Activities!$A$2:$A$201,0))="","",INDEX(Activities!$C$2:$C$201,MATCH($A919,Activities!$A$2:$A$201,0))),""))</f>
        <v/>
      </c>
      <c r="H919" s="24" t="str">
        <f aca="false">IF($A919="","",IFERROR(IF(INDEX(Activities!$B$2:$B$201,MATCH($A919,Activities!$A$2:$A$201,0))="","",INDEX(Activities!$B$2:$B$201,MATCH($A919,Activities!$A$2:$A$201,0))),""))</f>
        <v/>
      </c>
      <c r="I919" s="24" t="str">
        <f aca="false">IF($B919="","",IFERROR(IF(INDEX(Students!$C$2:$C$301,MATCH($B919,Students!$A$2:$A$301,0))="","",INDEX(Students!$C$2:$C$301,MATCH($B919,Students!$A$2:$A$301,0))),""))</f>
        <v/>
      </c>
      <c r="J919" s="24" t="str">
        <f aca="false">IF($B919="","",IFERROR(IF(INDEX(Students!$B$2:$B$301,MATCH($B919,Students!$A$2:$A$301,0))="","",INDEX(Students!$B$2:$B$301,MATCH($B919,Students!$A$2:$A$301,0))),""))</f>
        <v/>
      </c>
      <c r="K919" s="25" t="str">
        <f aca="false">IF($A919="","",IF(D919="Withdrawn",0,IF(E919&lt;&gt;"",N(E919),IFERROR(N(INDEX(Activities!$I$2:$I$201,MATCH($A919,Activities!$A$2:$A$201,0))),0))))</f>
        <v/>
      </c>
      <c r="L919" s="24" t="str">
        <f aca="false">IF(AND($A919="",$B919=""),"",IF(ISNA(MATCH($A919,Activities!$A$2:$A$201,0)),"Unknown activity",IF(ISNA(MATCH($B919,Students!$A$2:$A$301,0)),"Unknown student",IF(D919="","No status",IF(COUNTIFS($A$2:$A$1001,$A919,$B$2:$B$1001,$B919)&gt;1,"Duplicate",IF(AND(D919&lt;&gt;"Withdrawn",G919&lt;&gt;"",COUNTIFS($B$2:$B$1001,$B919,$G$2:$G$1001,G919,$D$2:$D$1001,"&lt;&gt;Withdrawn")&gt;1),"Same-day clash","OK"))))))</f>
        <v/>
      </c>
    </row>
    <row r="920" customFormat="false" ht="15" hidden="false" customHeight="false" outlineLevel="0" collapsed="false">
      <c r="E920" s="26"/>
      <c r="G920" s="23" t="str">
        <f aca="false">IF($A920="","",IFERROR(IF(INDEX(Activities!$C$2:$C$201,MATCH($A920,Activities!$A$2:$A$201,0))="","",INDEX(Activities!$C$2:$C$201,MATCH($A920,Activities!$A$2:$A$201,0))),""))</f>
        <v/>
      </c>
      <c r="H920" s="24" t="str">
        <f aca="false">IF($A920="","",IFERROR(IF(INDEX(Activities!$B$2:$B$201,MATCH($A920,Activities!$A$2:$A$201,0))="","",INDEX(Activities!$B$2:$B$201,MATCH($A920,Activities!$A$2:$A$201,0))),""))</f>
        <v/>
      </c>
      <c r="I920" s="24" t="str">
        <f aca="false">IF($B920="","",IFERROR(IF(INDEX(Students!$C$2:$C$301,MATCH($B920,Students!$A$2:$A$301,0))="","",INDEX(Students!$C$2:$C$301,MATCH($B920,Students!$A$2:$A$301,0))),""))</f>
        <v/>
      </c>
      <c r="J920" s="24" t="str">
        <f aca="false">IF($B920="","",IFERROR(IF(INDEX(Students!$B$2:$B$301,MATCH($B920,Students!$A$2:$A$301,0))="","",INDEX(Students!$B$2:$B$301,MATCH($B920,Students!$A$2:$A$301,0))),""))</f>
        <v/>
      </c>
      <c r="K920" s="25" t="str">
        <f aca="false">IF($A920="","",IF(D920="Withdrawn",0,IF(E920&lt;&gt;"",N(E920),IFERROR(N(INDEX(Activities!$I$2:$I$201,MATCH($A920,Activities!$A$2:$A$201,0))),0))))</f>
        <v/>
      </c>
      <c r="L920" s="24" t="str">
        <f aca="false">IF(AND($A920="",$B920=""),"",IF(ISNA(MATCH($A920,Activities!$A$2:$A$201,0)),"Unknown activity",IF(ISNA(MATCH($B920,Students!$A$2:$A$301,0)),"Unknown student",IF(D920="","No status",IF(COUNTIFS($A$2:$A$1001,$A920,$B$2:$B$1001,$B920)&gt;1,"Duplicate",IF(AND(D920&lt;&gt;"Withdrawn",G920&lt;&gt;"",COUNTIFS($B$2:$B$1001,$B920,$G$2:$G$1001,G920,$D$2:$D$1001,"&lt;&gt;Withdrawn")&gt;1),"Same-day clash","OK"))))))</f>
        <v/>
      </c>
    </row>
    <row r="921" customFormat="false" ht="15" hidden="false" customHeight="false" outlineLevel="0" collapsed="false">
      <c r="E921" s="26"/>
      <c r="G921" s="23" t="str">
        <f aca="false">IF($A921="","",IFERROR(IF(INDEX(Activities!$C$2:$C$201,MATCH($A921,Activities!$A$2:$A$201,0))="","",INDEX(Activities!$C$2:$C$201,MATCH($A921,Activities!$A$2:$A$201,0))),""))</f>
        <v/>
      </c>
      <c r="H921" s="24" t="str">
        <f aca="false">IF($A921="","",IFERROR(IF(INDEX(Activities!$B$2:$B$201,MATCH($A921,Activities!$A$2:$A$201,0))="","",INDEX(Activities!$B$2:$B$201,MATCH($A921,Activities!$A$2:$A$201,0))),""))</f>
        <v/>
      </c>
      <c r="I921" s="24" t="str">
        <f aca="false">IF($B921="","",IFERROR(IF(INDEX(Students!$C$2:$C$301,MATCH($B921,Students!$A$2:$A$301,0))="","",INDEX(Students!$C$2:$C$301,MATCH($B921,Students!$A$2:$A$301,0))),""))</f>
        <v/>
      </c>
      <c r="J921" s="24" t="str">
        <f aca="false">IF($B921="","",IFERROR(IF(INDEX(Students!$B$2:$B$301,MATCH($B921,Students!$A$2:$A$301,0))="","",INDEX(Students!$B$2:$B$301,MATCH($B921,Students!$A$2:$A$301,0))),""))</f>
        <v/>
      </c>
      <c r="K921" s="25" t="str">
        <f aca="false">IF($A921="","",IF(D921="Withdrawn",0,IF(E921&lt;&gt;"",N(E921),IFERROR(N(INDEX(Activities!$I$2:$I$201,MATCH($A921,Activities!$A$2:$A$201,0))),0))))</f>
        <v/>
      </c>
      <c r="L921" s="24" t="str">
        <f aca="false">IF(AND($A921="",$B921=""),"",IF(ISNA(MATCH($A921,Activities!$A$2:$A$201,0)),"Unknown activity",IF(ISNA(MATCH($B921,Students!$A$2:$A$301,0)),"Unknown student",IF(D921="","No status",IF(COUNTIFS($A$2:$A$1001,$A921,$B$2:$B$1001,$B921)&gt;1,"Duplicate",IF(AND(D921&lt;&gt;"Withdrawn",G921&lt;&gt;"",COUNTIFS($B$2:$B$1001,$B921,$G$2:$G$1001,G921,$D$2:$D$1001,"&lt;&gt;Withdrawn")&gt;1),"Same-day clash","OK"))))))</f>
        <v/>
      </c>
    </row>
    <row r="922" customFormat="false" ht="15" hidden="false" customHeight="false" outlineLevel="0" collapsed="false">
      <c r="E922" s="26"/>
      <c r="G922" s="23" t="str">
        <f aca="false">IF($A922="","",IFERROR(IF(INDEX(Activities!$C$2:$C$201,MATCH($A922,Activities!$A$2:$A$201,0))="","",INDEX(Activities!$C$2:$C$201,MATCH($A922,Activities!$A$2:$A$201,0))),""))</f>
        <v/>
      </c>
      <c r="H922" s="24" t="str">
        <f aca="false">IF($A922="","",IFERROR(IF(INDEX(Activities!$B$2:$B$201,MATCH($A922,Activities!$A$2:$A$201,0))="","",INDEX(Activities!$B$2:$B$201,MATCH($A922,Activities!$A$2:$A$201,0))),""))</f>
        <v/>
      </c>
      <c r="I922" s="24" t="str">
        <f aca="false">IF($B922="","",IFERROR(IF(INDEX(Students!$C$2:$C$301,MATCH($B922,Students!$A$2:$A$301,0))="","",INDEX(Students!$C$2:$C$301,MATCH($B922,Students!$A$2:$A$301,0))),""))</f>
        <v/>
      </c>
      <c r="J922" s="24" t="str">
        <f aca="false">IF($B922="","",IFERROR(IF(INDEX(Students!$B$2:$B$301,MATCH($B922,Students!$A$2:$A$301,0))="","",INDEX(Students!$B$2:$B$301,MATCH($B922,Students!$A$2:$A$301,0))),""))</f>
        <v/>
      </c>
      <c r="K922" s="25" t="str">
        <f aca="false">IF($A922="","",IF(D922="Withdrawn",0,IF(E922&lt;&gt;"",N(E922),IFERROR(N(INDEX(Activities!$I$2:$I$201,MATCH($A922,Activities!$A$2:$A$201,0))),0))))</f>
        <v/>
      </c>
      <c r="L922" s="24" t="str">
        <f aca="false">IF(AND($A922="",$B922=""),"",IF(ISNA(MATCH($A922,Activities!$A$2:$A$201,0)),"Unknown activity",IF(ISNA(MATCH($B922,Students!$A$2:$A$301,0)),"Unknown student",IF(D922="","No status",IF(COUNTIFS($A$2:$A$1001,$A922,$B$2:$B$1001,$B922)&gt;1,"Duplicate",IF(AND(D922&lt;&gt;"Withdrawn",G922&lt;&gt;"",COUNTIFS($B$2:$B$1001,$B922,$G$2:$G$1001,G922,$D$2:$D$1001,"&lt;&gt;Withdrawn")&gt;1),"Same-day clash","OK"))))))</f>
        <v/>
      </c>
    </row>
    <row r="923" customFormat="false" ht="15" hidden="false" customHeight="false" outlineLevel="0" collapsed="false">
      <c r="E923" s="26"/>
      <c r="G923" s="23" t="str">
        <f aca="false">IF($A923="","",IFERROR(IF(INDEX(Activities!$C$2:$C$201,MATCH($A923,Activities!$A$2:$A$201,0))="","",INDEX(Activities!$C$2:$C$201,MATCH($A923,Activities!$A$2:$A$201,0))),""))</f>
        <v/>
      </c>
      <c r="H923" s="24" t="str">
        <f aca="false">IF($A923="","",IFERROR(IF(INDEX(Activities!$B$2:$B$201,MATCH($A923,Activities!$A$2:$A$201,0))="","",INDEX(Activities!$B$2:$B$201,MATCH($A923,Activities!$A$2:$A$201,0))),""))</f>
        <v/>
      </c>
      <c r="I923" s="24" t="str">
        <f aca="false">IF($B923="","",IFERROR(IF(INDEX(Students!$C$2:$C$301,MATCH($B923,Students!$A$2:$A$301,0))="","",INDEX(Students!$C$2:$C$301,MATCH($B923,Students!$A$2:$A$301,0))),""))</f>
        <v/>
      </c>
      <c r="J923" s="24" t="str">
        <f aca="false">IF($B923="","",IFERROR(IF(INDEX(Students!$B$2:$B$301,MATCH($B923,Students!$A$2:$A$301,0))="","",INDEX(Students!$B$2:$B$301,MATCH($B923,Students!$A$2:$A$301,0))),""))</f>
        <v/>
      </c>
      <c r="K923" s="25" t="str">
        <f aca="false">IF($A923="","",IF(D923="Withdrawn",0,IF(E923&lt;&gt;"",N(E923),IFERROR(N(INDEX(Activities!$I$2:$I$201,MATCH($A923,Activities!$A$2:$A$201,0))),0))))</f>
        <v/>
      </c>
      <c r="L923" s="24" t="str">
        <f aca="false">IF(AND($A923="",$B923=""),"",IF(ISNA(MATCH($A923,Activities!$A$2:$A$201,0)),"Unknown activity",IF(ISNA(MATCH($B923,Students!$A$2:$A$301,0)),"Unknown student",IF(D923="","No status",IF(COUNTIFS($A$2:$A$1001,$A923,$B$2:$B$1001,$B923)&gt;1,"Duplicate",IF(AND(D923&lt;&gt;"Withdrawn",G923&lt;&gt;"",COUNTIFS($B$2:$B$1001,$B923,$G$2:$G$1001,G923,$D$2:$D$1001,"&lt;&gt;Withdrawn")&gt;1),"Same-day clash","OK"))))))</f>
        <v/>
      </c>
    </row>
    <row r="924" customFormat="false" ht="15" hidden="false" customHeight="false" outlineLevel="0" collapsed="false">
      <c r="E924" s="26"/>
      <c r="G924" s="23" t="str">
        <f aca="false">IF($A924="","",IFERROR(IF(INDEX(Activities!$C$2:$C$201,MATCH($A924,Activities!$A$2:$A$201,0))="","",INDEX(Activities!$C$2:$C$201,MATCH($A924,Activities!$A$2:$A$201,0))),""))</f>
        <v/>
      </c>
      <c r="H924" s="24" t="str">
        <f aca="false">IF($A924="","",IFERROR(IF(INDEX(Activities!$B$2:$B$201,MATCH($A924,Activities!$A$2:$A$201,0))="","",INDEX(Activities!$B$2:$B$201,MATCH($A924,Activities!$A$2:$A$201,0))),""))</f>
        <v/>
      </c>
      <c r="I924" s="24" t="str">
        <f aca="false">IF($B924="","",IFERROR(IF(INDEX(Students!$C$2:$C$301,MATCH($B924,Students!$A$2:$A$301,0))="","",INDEX(Students!$C$2:$C$301,MATCH($B924,Students!$A$2:$A$301,0))),""))</f>
        <v/>
      </c>
      <c r="J924" s="24" t="str">
        <f aca="false">IF($B924="","",IFERROR(IF(INDEX(Students!$B$2:$B$301,MATCH($B924,Students!$A$2:$A$301,0))="","",INDEX(Students!$B$2:$B$301,MATCH($B924,Students!$A$2:$A$301,0))),""))</f>
        <v/>
      </c>
      <c r="K924" s="25" t="str">
        <f aca="false">IF($A924="","",IF(D924="Withdrawn",0,IF(E924&lt;&gt;"",N(E924),IFERROR(N(INDEX(Activities!$I$2:$I$201,MATCH($A924,Activities!$A$2:$A$201,0))),0))))</f>
        <v/>
      </c>
      <c r="L924" s="24" t="str">
        <f aca="false">IF(AND($A924="",$B924=""),"",IF(ISNA(MATCH($A924,Activities!$A$2:$A$201,0)),"Unknown activity",IF(ISNA(MATCH($B924,Students!$A$2:$A$301,0)),"Unknown student",IF(D924="","No status",IF(COUNTIFS($A$2:$A$1001,$A924,$B$2:$B$1001,$B924)&gt;1,"Duplicate",IF(AND(D924&lt;&gt;"Withdrawn",G924&lt;&gt;"",COUNTIFS($B$2:$B$1001,$B924,$G$2:$G$1001,G924,$D$2:$D$1001,"&lt;&gt;Withdrawn")&gt;1),"Same-day clash","OK"))))))</f>
        <v/>
      </c>
    </row>
    <row r="925" customFormat="false" ht="15" hidden="false" customHeight="false" outlineLevel="0" collapsed="false">
      <c r="E925" s="26"/>
      <c r="G925" s="23" t="str">
        <f aca="false">IF($A925="","",IFERROR(IF(INDEX(Activities!$C$2:$C$201,MATCH($A925,Activities!$A$2:$A$201,0))="","",INDEX(Activities!$C$2:$C$201,MATCH($A925,Activities!$A$2:$A$201,0))),""))</f>
        <v/>
      </c>
      <c r="H925" s="24" t="str">
        <f aca="false">IF($A925="","",IFERROR(IF(INDEX(Activities!$B$2:$B$201,MATCH($A925,Activities!$A$2:$A$201,0))="","",INDEX(Activities!$B$2:$B$201,MATCH($A925,Activities!$A$2:$A$201,0))),""))</f>
        <v/>
      </c>
      <c r="I925" s="24" t="str">
        <f aca="false">IF($B925="","",IFERROR(IF(INDEX(Students!$C$2:$C$301,MATCH($B925,Students!$A$2:$A$301,0))="","",INDEX(Students!$C$2:$C$301,MATCH($B925,Students!$A$2:$A$301,0))),""))</f>
        <v/>
      </c>
      <c r="J925" s="24" t="str">
        <f aca="false">IF($B925="","",IFERROR(IF(INDEX(Students!$B$2:$B$301,MATCH($B925,Students!$A$2:$A$301,0))="","",INDEX(Students!$B$2:$B$301,MATCH($B925,Students!$A$2:$A$301,0))),""))</f>
        <v/>
      </c>
      <c r="K925" s="25" t="str">
        <f aca="false">IF($A925="","",IF(D925="Withdrawn",0,IF(E925&lt;&gt;"",N(E925),IFERROR(N(INDEX(Activities!$I$2:$I$201,MATCH($A925,Activities!$A$2:$A$201,0))),0))))</f>
        <v/>
      </c>
      <c r="L925" s="24" t="str">
        <f aca="false">IF(AND($A925="",$B925=""),"",IF(ISNA(MATCH($A925,Activities!$A$2:$A$201,0)),"Unknown activity",IF(ISNA(MATCH($B925,Students!$A$2:$A$301,0)),"Unknown student",IF(D925="","No status",IF(COUNTIFS($A$2:$A$1001,$A925,$B$2:$B$1001,$B925)&gt;1,"Duplicate",IF(AND(D925&lt;&gt;"Withdrawn",G925&lt;&gt;"",COUNTIFS($B$2:$B$1001,$B925,$G$2:$G$1001,G925,$D$2:$D$1001,"&lt;&gt;Withdrawn")&gt;1),"Same-day clash","OK"))))))</f>
        <v/>
      </c>
    </row>
    <row r="926" customFormat="false" ht="15" hidden="false" customHeight="false" outlineLevel="0" collapsed="false">
      <c r="E926" s="26"/>
      <c r="G926" s="23" t="str">
        <f aca="false">IF($A926="","",IFERROR(IF(INDEX(Activities!$C$2:$C$201,MATCH($A926,Activities!$A$2:$A$201,0))="","",INDEX(Activities!$C$2:$C$201,MATCH($A926,Activities!$A$2:$A$201,0))),""))</f>
        <v/>
      </c>
      <c r="H926" s="24" t="str">
        <f aca="false">IF($A926="","",IFERROR(IF(INDEX(Activities!$B$2:$B$201,MATCH($A926,Activities!$A$2:$A$201,0))="","",INDEX(Activities!$B$2:$B$201,MATCH($A926,Activities!$A$2:$A$201,0))),""))</f>
        <v/>
      </c>
      <c r="I926" s="24" t="str">
        <f aca="false">IF($B926="","",IFERROR(IF(INDEX(Students!$C$2:$C$301,MATCH($B926,Students!$A$2:$A$301,0))="","",INDEX(Students!$C$2:$C$301,MATCH($B926,Students!$A$2:$A$301,0))),""))</f>
        <v/>
      </c>
      <c r="J926" s="24" t="str">
        <f aca="false">IF($B926="","",IFERROR(IF(INDEX(Students!$B$2:$B$301,MATCH($B926,Students!$A$2:$A$301,0))="","",INDEX(Students!$B$2:$B$301,MATCH($B926,Students!$A$2:$A$301,0))),""))</f>
        <v/>
      </c>
      <c r="K926" s="25" t="str">
        <f aca="false">IF($A926="","",IF(D926="Withdrawn",0,IF(E926&lt;&gt;"",N(E926),IFERROR(N(INDEX(Activities!$I$2:$I$201,MATCH($A926,Activities!$A$2:$A$201,0))),0))))</f>
        <v/>
      </c>
      <c r="L926" s="24" t="str">
        <f aca="false">IF(AND($A926="",$B926=""),"",IF(ISNA(MATCH($A926,Activities!$A$2:$A$201,0)),"Unknown activity",IF(ISNA(MATCH($B926,Students!$A$2:$A$301,0)),"Unknown student",IF(D926="","No status",IF(COUNTIFS($A$2:$A$1001,$A926,$B$2:$B$1001,$B926)&gt;1,"Duplicate",IF(AND(D926&lt;&gt;"Withdrawn",G926&lt;&gt;"",COUNTIFS($B$2:$B$1001,$B926,$G$2:$G$1001,G926,$D$2:$D$1001,"&lt;&gt;Withdrawn")&gt;1),"Same-day clash","OK"))))))</f>
        <v/>
      </c>
    </row>
    <row r="927" customFormat="false" ht="15" hidden="false" customHeight="false" outlineLevel="0" collapsed="false">
      <c r="E927" s="26"/>
      <c r="G927" s="23" t="str">
        <f aca="false">IF($A927="","",IFERROR(IF(INDEX(Activities!$C$2:$C$201,MATCH($A927,Activities!$A$2:$A$201,0))="","",INDEX(Activities!$C$2:$C$201,MATCH($A927,Activities!$A$2:$A$201,0))),""))</f>
        <v/>
      </c>
      <c r="H927" s="24" t="str">
        <f aca="false">IF($A927="","",IFERROR(IF(INDEX(Activities!$B$2:$B$201,MATCH($A927,Activities!$A$2:$A$201,0))="","",INDEX(Activities!$B$2:$B$201,MATCH($A927,Activities!$A$2:$A$201,0))),""))</f>
        <v/>
      </c>
      <c r="I927" s="24" t="str">
        <f aca="false">IF($B927="","",IFERROR(IF(INDEX(Students!$C$2:$C$301,MATCH($B927,Students!$A$2:$A$301,0))="","",INDEX(Students!$C$2:$C$301,MATCH($B927,Students!$A$2:$A$301,0))),""))</f>
        <v/>
      </c>
      <c r="J927" s="24" t="str">
        <f aca="false">IF($B927="","",IFERROR(IF(INDEX(Students!$B$2:$B$301,MATCH($B927,Students!$A$2:$A$301,0))="","",INDEX(Students!$B$2:$B$301,MATCH($B927,Students!$A$2:$A$301,0))),""))</f>
        <v/>
      </c>
      <c r="K927" s="25" t="str">
        <f aca="false">IF($A927="","",IF(D927="Withdrawn",0,IF(E927&lt;&gt;"",N(E927),IFERROR(N(INDEX(Activities!$I$2:$I$201,MATCH($A927,Activities!$A$2:$A$201,0))),0))))</f>
        <v/>
      </c>
      <c r="L927" s="24" t="str">
        <f aca="false">IF(AND($A927="",$B927=""),"",IF(ISNA(MATCH($A927,Activities!$A$2:$A$201,0)),"Unknown activity",IF(ISNA(MATCH($B927,Students!$A$2:$A$301,0)),"Unknown student",IF(D927="","No status",IF(COUNTIFS($A$2:$A$1001,$A927,$B$2:$B$1001,$B927)&gt;1,"Duplicate",IF(AND(D927&lt;&gt;"Withdrawn",G927&lt;&gt;"",COUNTIFS($B$2:$B$1001,$B927,$G$2:$G$1001,G927,$D$2:$D$1001,"&lt;&gt;Withdrawn")&gt;1),"Same-day clash","OK"))))))</f>
        <v/>
      </c>
    </row>
    <row r="928" customFormat="false" ht="15" hidden="false" customHeight="false" outlineLevel="0" collapsed="false">
      <c r="E928" s="26"/>
      <c r="G928" s="23" t="str">
        <f aca="false">IF($A928="","",IFERROR(IF(INDEX(Activities!$C$2:$C$201,MATCH($A928,Activities!$A$2:$A$201,0))="","",INDEX(Activities!$C$2:$C$201,MATCH($A928,Activities!$A$2:$A$201,0))),""))</f>
        <v/>
      </c>
      <c r="H928" s="24" t="str">
        <f aca="false">IF($A928="","",IFERROR(IF(INDEX(Activities!$B$2:$B$201,MATCH($A928,Activities!$A$2:$A$201,0))="","",INDEX(Activities!$B$2:$B$201,MATCH($A928,Activities!$A$2:$A$201,0))),""))</f>
        <v/>
      </c>
      <c r="I928" s="24" t="str">
        <f aca="false">IF($B928="","",IFERROR(IF(INDEX(Students!$C$2:$C$301,MATCH($B928,Students!$A$2:$A$301,0))="","",INDEX(Students!$C$2:$C$301,MATCH($B928,Students!$A$2:$A$301,0))),""))</f>
        <v/>
      </c>
      <c r="J928" s="24" t="str">
        <f aca="false">IF($B928="","",IFERROR(IF(INDEX(Students!$B$2:$B$301,MATCH($B928,Students!$A$2:$A$301,0))="","",INDEX(Students!$B$2:$B$301,MATCH($B928,Students!$A$2:$A$301,0))),""))</f>
        <v/>
      </c>
      <c r="K928" s="25" t="str">
        <f aca="false">IF($A928="","",IF(D928="Withdrawn",0,IF(E928&lt;&gt;"",N(E928),IFERROR(N(INDEX(Activities!$I$2:$I$201,MATCH($A928,Activities!$A$2:$A$201,0))),0))))</f>
        <v/>
      </c>
      <c r="L928" s="24" t="str">
        <f aca="false">IF(AND($A928="",$B928=""),"",IF(ISNA(MATCH($A928,Activities!$A$2:$A$201,0)),"Unknown activity",IF(ISNA(MATCH($B928,Students!$A$2:$A$301,0)),"Unknown student",IF(D928="","No status",IF(COUNTIFS($A$2:$A$1001,$A928,$B$2:$B$1001,$B928)&gt;1,"Duplicate",IF(AND(D928&lt;&gt;"Withdrawn",G928&lt;&gt;"",COUNTIFS($B$2:$B$1001,$B928,$G$2:$G$1001,G928,$D$2:$D$1001,"&lt;&gt;Withdrawn")&gt;1),"Same-day clash","OK"))))))</f>
        <v/>
      </c>
    </row>
    <row r="929" customFormat="false" ht="15" hidden="false" customHeight="false" outlineLevel="0" collapsed="false">
      <c r="E929" s="26"/>
      <c r="G929" s="23" t="str">
        <f aca="false">IF($A929="","",IFERROR(IF(INDEX(Activities!$C$2:$C$201,MATCH($A929,Activities!$A$2:$A$201,0))="","",INDEX(Activities!$C$2:$C$201,MATCH($A929,Activities!$A$2:$A$201,0))),""))</f>
        <v/>
      </c>
      <c r="H929" s="24" t="str">
        <f aca="false">IF($A929="","",IFERROR(IF(INDEX(Activities!$B$2:$B$201,MATCH($A929,Activities!$A$2:$A$201,0))="","",INDEX(Activities!$B$2:$B$201,MATCH($A929,Activities!$A$2:$A$201,0))),""))</f>
        <v/>
      </c>
      <c r="I929" s="24" t="str">
        <f aca="false">IF($B929="","",IFERROR(IF(INDEX(Students!$C$2:$C$301,MATCH($B929,Students!$A$2:$A$301,0))="","",INDEX(Students!$C$2:$C$301,MATCH($B929,Students!$A$2:$A$301,0))),""))</f>
        <v/>
      </c>
      <c r="J929" s="24" t="str">
        <f aca="false">IF($B929="","",IFERROR(IF(INDEX(Students!$B$2:$B$301,MATCH($B929,Students!$A$2:$A$301,0))="","",INDEX(Students!$B$2:$B$301,MATCH($B929,Students!$A$2:$A$301,0))),""))</f>
        <v/>
      </c>
      <c r="K929" s="25" t="str">
        <f aca="false">IF($A929="","",IF(D929="Withdrawn",0,IF(E929&lt;&gt;"",N(E929),IFERROR(N(INDEX(Activities!$I$2:$I$201,MATCH($A929,Activities!$A$2:$A$201,0))),0))))</f>
        <v/>
      </c>
      <c r="L929" s="24" t="str">
        <f aca="false">IF(AND($A929="",$B929=""),"",IF(ISNA(MATCH($A929,Activities!$A$2:$A$201,0)),"Unknown activity",IF(ISNA(MATCH($B929,Students!$A$2:$A$301,0)),"Unknown student",IF(D929="","No status",IF(COUNTIFS($A$2:$A$1001,$A929,$B$2:$B$1001,$B929)&gt;1,"Duplicate",IF(AND(D929&lt;&gt;"Withdrawn",G929&lt;&gt;"",COUNTIFS($B$2:$B$1001,$B929,$G$2:$G$1001,G929,$D$2:$D$1001,"&lt;&gt;Withdrawn")&gt;1),"Same-day clash","OK"))))))</f>
        <v/>
      </c>
    </row>
    <row r="930" customFormat="false" ht="15" hidden="false" customHeight="false" outlineLevel="0" collapsed="false">
      <c r="E930" s="26"/>
      <c r="G930" s="23" t="str">
        <f aca="false">IF($A930="","",IFERROR(IF(INDEX(Activities!$C$2:$C$201,MATCH($A930,Activities!$A$2:$A$201,0))="","",INDEX(Activities!$C$2:$C$201,MATCH($A930,Activities!$A$2:$A$201,0))),""))</f>
        <v/>
      </c>
      <c r="H930" s="24" t="str">
        <f aca="false">IF($A930="","",IFERROR(IF(INDEX(Activities!$B$2:$B$201,MATCH($A930,Activities!$A$2:$A$201,0))="","",INDEX(Activities!$B$2:$B$201,MATCH($A930,Activities!$A$2:$A$201,0))),""))</f>
        <v/>
      </c>
      <c r="I930" s="24" t="str">
        <f aca="false">IF($B930="","",IFERROR(IF(INDEX(Students!$C$2:$C$301,MATCH($B930,Students!$A$2:$A$301,0))="","",INDEX(Students!$C$2:$C$301,MATCH($B930,Students!$A$2:$A$301,0))),""))</f>
        <v/>
      </c>
      <c r="J930" s="24" t="str">
        <f aca="false">IF($B930="","",IFERROR(IF(INDEX(Students!$B$2:$B$301,MATCH($B930,Students!$A$2:$A$301,0))="","",INDEX(Students!$B$2:$B$301,MATCH($B930,Students!$A$2:$A$301,0))),""))</f>
        <v/>
      </c>
      <c r="K930" s="25" t="str">
        <f aca="false">IF($A930="","",IF(D930="Withdrawn",0,IF(E930&lt;&gt;"",N(E930),IFERROR(N(INDEX(Activities!$I$2:$I$201,MATCH($A930,Activities!$A$2:$A$201,0))),0))))</f>
        <v/>
      </c>
      <c r="L930" s="24" t="str">
        <f aca="false">IF(AND($A930="",$B930=""),"",IF(ISNA(MATCH($A930,Activities!$A$2:$A$201,0)),"Unknown activity",IF(ISNA(MATCH($B930,Students!$A$2:$A$301,0)),"Unknown student",IF(D930="","No status",IF(COUNTIFS($A$2:$A$1001,$A930,$B$2:$B$1001,$B930)&gt;1,"Duplicate",IF(AND(D930&lt;&gt;"Withdrawn",G930&lt;&gt;"",COUNTIFS($B$2:$B$1001,$B930,$G$2:$G$1001,G930,$D$2:$D$1001,"&lt;&gt;Withdrawn")&gt;1),"Same-day clash","OK"))))))</f>
        <v/>
      </c>
    </row>
    <row r="931" customFormat="false" ht="15" hidden="false" customHeight="false" outlineLevel="0" collapsed="false">
      <c r="E931" s="26"/>
      <c r="G931" s="23" t="str">
        <f aca="false">IF($A931="","",IFERROR(IF(INDEX(Activities!$C$2:$C$201,MATCH($A931,Activities!$A$2:$A$201,0))="","",INDEX(Activities!$C$2:$C$201,MATCH($A931,Activities!$A$2:$A$201,0))),""))</f>
        <v/>
      </c>
      <c r="H931" s="24" t="str">
        <f aca="false">IF($A931="","",IFERROR(IF(INDEX(Activities!$B$2:$B$201,MATCH($A931,Activities!$A$2:$A$201,0))="","",INDEX(Activities!$B$2:$B$201,MATCH($A931,Activities!$A$2:$A$201,0))),""))</f>
        <v/>
      </c>
      <c r="I931" s="24" t="str">
        <f aca="false">IF($B931="","",IFERROR(IF(INDEX(Students!$C$2:$C$301,MATCH($B931,Students!$A$2:$A$301,0))="","",INDEX(Students!$C$2:$C$301,MATCH($B931,Students!$A$2:$A$301,0))),""))</f>
        <v/>
      </c>
      <c r="J931" s="24" t="str">
        <f aca="false">IF($B931="","",IFERROR(IF(INDEX(Students!$B$2:$B$301,MATCH($B931,Students!$A$2:$A$301,0))="","",INDEX(Students!$B$2:$B$301,MATCH($B931,Students!$A$2:$A$301,0))),""))</f>
        <v/>
      </c>
      <c r="K931" s="25" t="str">
        <f aca="false">IF($A931="","",IF(D931="Withdrawn",0,IF(E931&lt;&gt;"",N(E931),IFERROR(N(INDEX(Activities!$I$2:$I$201,MATCH($A931,Activities!$A$2:$A$201,0))),0))))</f>
        <v/>
      </c>
      <c r="L931" s="24" t="str">
        <f aca="false">IF(AND($A931="",$B931=""),"",IF(ISNA(MATCH($A931,Activities!$A$2:$A$201,0)),"Unknown activity",IF(ISNA(MATCH($B931,Students!$A$2:$A$301,0)),"Unknown student",IF(D931="","No status",IF(COUNTIFS($A$2:$A$1001,$A931,$B$2:$B$1001,$B931)&gt;1,"Duplicate",IF(AND(D931&lt;&gt;"Withdrawn",G931&lt;&gt;"",COUNTIFS($B$2:$B$1001,$B931,$G$2:$G$1001,G931,$D$2:$D$1001,"&lt;&gt;Withdrawn")&gt;1),"Same-day clash","OK"))))))</f>
        <v/>
      </c>
    </row>
    <row r="932" customFormat="false" ht="15" hidden="false" customHeight="false" outlineLevel="0" collapsed="false">
      <c r="E932" s="26"/>
      <c r="G932" s="23" t="str">
        <f aca="false">IF($A932="","",IFERROR(IF(INDEX(Activities!$C$2:$C$201,MATCH($A932,Activities!$A$2:$A$201,0))="","",INDEX(Activities!$C$2:$C$201,MATCH($A932,Activities!$A$2:$A$201,0))),""))</f>
        <v/>
      </c>
      <c r="H932" s="24" t="str">
        <f aca="false">IF($A932="","",IFERROR(IF(INDEX(Activities!$B$2:$B$201,MATCH($A932,Activities!$A$2:$A$201,0))="","",INDEX(Activities!$B$2:$B$201,MATCH($A932,Activities!$A$2:$A$201,0))),""))</f>
        <v/>
      </c>
      <c r="I932" s="24" t="str">
        <f aca="false">IF($B932="","",IFERROR(IF(INDEX(Students!$C$2:$C$301,MATCH($B932,Students!$A$2:$A$301,0))="","",INDEX(Students!$C$2:$C$301,MATCH($B932,Students!$A$2:$A$301,0))),""))</f>
        <v/>
      </c>
      <c r="J932" s="24" t="str">
        <f aca="false">IF($B932="","",IFERROR(IF(INDEX(Students!$B$2:$B$301,MATCH($B932,Students!$A$2:$A$301,0))="","",INDEX(Students!$B$2:$B$301,MATCH($B932,Students!$A$2:$A$301,0))),""))</f>
        <v/>
      </c>
      <c r="K932" s="25" t="str">
        <f aca="false">IF($A932="","",IF(D932="Withdrawn",0,IF(E932&lt;&gt;"",N(E932),IFERROR(N(INDEX(Activities!$I$2:$I$201,MATCH($A932,Activities!$A$2:$A$201,0))),0))))</f>
        <v/>
      </c>
      <c r="L932" s="24" t="str">
        <f aca="false">IF(AND($A932="",$B932=""),"",IF(ISNA(MATCH($A932,Activities!$A$2:$A$201,0)),"Unknown activity",IF(ISNA(MATCH($B932,Students!$A$2:$A$301,0)),"Unknown student",IF(D932="","No status",IF(COUNTIFS($A$2:$A$1001,$A932,$B$2:$B$1001,$B932)&gt;1,"Duplicate",IF(AND(D932&lt;&gt;"Withdrawn",G932&lt;&gt;"",COUNTIFS($B$2:$B$1001,$B932,$G$2:$G$1001,G932,$D$2:$D$1001,"&lt;&gt;Withdrawn")&gt;1),"Same-day clash","OK"))))))</f>
        <v/>
      </c>
    </row>
    <row r="933" customFormat="false" ht="15" hidden="false" customHeight="false" outlineLevel="0" collapsed="false">
      <c r="E933" s="26"/>
      <c r="G933" s="23" t="str">
        <f aca="false">IF($A933="","",IFERROR(IF(INDEX(Activities!$C$2:$C$201,MATCH($A933,Activities!$A$2:$A$201,0))="","",INDEX(Activities!$C$2:$C$201,MATCH($A933,Activities!$A$2:$A$201,0))),""))</f>
        <v/>
      </c>
      <c r="H933" s="24" t="str">
        <f aca="false">IF($A933="","",IFERROR(IF(INDEX(Activities!$B$2:$B$201,MATCH($A933,Activities!$A$2:$A$201,0))="","",INDEX(Activities!$B$2:$B$201,MATCH($A933,Activities!$A$2:$A$201,0))),""))</f>
        <v/>
      </c>
      <c r="I933" s="24" t="str">
        <f aca="false">IF($B933="","",IFERROR(IF(INDEX(Students!$C$2:$C$301,MATCH($B933,Students!$A$2:$A$301,0))="","",INDEX(Students!$C$2:$C$301,MATCH($B933,Students!$A$2:$A$301,0))),""))</f>
        <v/>
      </c>
      <c r="J933" s="24" t="str">
        <f aca="false">IF($B933="","",IFERROR(IF(INDEX(Students!$B$2:$B$301,MATCH($B933,Students!$A$2:$A$301,0))="","",INDEX(Students!$B$2:$B$301,MATCH($B933,Students!$A$2:$A$301,0))),""))</f>
        <v/>
      </c>
      <c r="K933" s="25" t="str">
        <f aca="false">IF($A933="","",IF(D933="Withdrawn",0,IF(E933&lt;&gt;"",N(E933),IFERROR(N(INDEX(Activities!$I$2:$I$201,MATCH($A933,Activities!$A$2:$A$201,0))),0))))</f>
        <v/>
      </c>
      <c r="L933" s="24" t="str">
        <f aca="false">IF(AND($A933="",$B933=""),"",IF(ISNA(MATCH($A933,Activities!$A$2:$A$201,0)),"Unknown activity",IF(ISNA(MATCH($B933,Students!$A$2:$A$301,0)),"Unknown student",IF(D933="","No status",IF(COUNTIFS($A$2:$A$1001,$A933,$B$2:$B$1001,$B933)&gt;1,"Duplicate",IF(AND(D933&lt;&gt;"Withdrawn",G933&lt;&gt;"",COUNTIFS($B$2:$B$1001,$B933,$G$2:$G$1001,G933,$D$2:$D$1001,"&lt;&gt;Withdrawn")&gt;1),"Same-day clash","OK"))))))</f>
        <v/>
      </c>
    </row>
    <row r="934" customFormat="false" ht="15" hidden="false" customHeight="false" outlineLevel="0" collapsed="false">
      <c r="E934" s="26"/>
      <c r="G934" s="23" t="str">
        <f aca="false">IF($A934="","",IFERROR(IF(INDEX(Activities!$C$2:$C$201,MATCH($A934,Activities!$A$2:$A$201,0))="","",INDEX(Activities!$C$2:$C$201,MATCH($A934,Activities!$A$2:$A$201,0))),""))</f>
        <v/>
      </c>
      <c r="H934" s="24" t="str">
        <f aca="false">IF($A934="","",IFERROR(IF(INDEX(Activities!$B$2:$B$201,MATCH($A934,Activities!$A$2:$A$201,0))="","",INDEX(Activities!$B$2:$B$201,MATCH($A934,Activities!$A$2:$A$201,0))),""))</f>
        <v/>
      </c>
      <c r="I934" s="24" t="str">
        <f aca="false">IF($B934="","",IFERROR(IF(INDEX(Students!$C$2:$C$301,MATCH($B934,Students!$A$2:$A$301,0))="","",INDEX(Students!$C$2:$C$301,MATCH($B934,Students!$A$2:$A$301,0))),""))</f>
        <v/>
      </c>
      <c r="J934" s="24" t="str">
        <f aca="false">IF($B934="","",IFERROR(IF(INDEX(Students!$B$2:$B$301,MATCH($B934,Students!$A$2:$A$301,0))="","",INDEX(Students!$B$2:$B$301,MATCH($B934,Students!$A$2:$A$301,0))),""))</f>
        <v/>
      </c>
      <c r="K934" s="25" t="str">
        <f aca="false">IF($A934="","",IF(D934="Withdrawn",0,IF(E934&lt;&gt;"",N(E934),IFERROR(N(INDEX(Activities!$I$2:$I$201,MATCH($A934,Activities!$A$2:$A$201,0))),0))))</f>
        <v/>
      </c>
      <c r="L934" s="24" t="str">
        <f aca="false">IF(AND($A934="",$B934=""),"",IF(ISNA(MATCH($A934,Activities!$A$2:$A$201,0)),"Unknown activity",IF(ISNA(MATCH($B934,Students!$A$2:$A$301,0)),"Unknown student",IF(D934="","No status",IF(COUNTIFS($A$2:$A$1001,$A934,$B$2:$B$1001,$B934)&gt;1,"Duplicate",IF(AND(D934&lt;&gt;"Withdrawn",G934&lt;&gt;"",COUNTIFS($B$2:$B$1001,$B934,$G$2:$G$1001,G934,$D$2:$D$1001,"&lt;&gt;Withdrawn")&gt;1),"Same-day clash","OK"))))))</f>
        <v/>
      </c>
    </row>
    <row r="935" customFormat="false" ht="15" hidden="false" customHeight="false" outlineLevel="0" collapsed="false">
      <c r="E935" s="26"/>
      <c r="G935" s="23" t="str">
        <f aca="false">IF($A935="","",IFERROR(IF(INDEX(Activities!$C$2:$C$201,MATCH($A935,Activities!$A$2:$A$201,0))="","",INDEX(Activities!$C$2:$C$201,MATCH($A935,Activities!$A$2:$A$201,0))),""))</f>
        <v/>
      </c>
      <c r="H935" s="24" t="str">
        <f aca="false">IF($A935="","",IFERROR(IF(INDEX(Activities!$B$2:$B$201,MATCH($A935,Activities!$A$2:$A$201,0))="","",INDEX(Activities!$B$2:$B$201,MATCH($A935,Activities!$A$2:$A$201,0))),""))</f>
        <v/>
      </c>
      <c r="I935" s="24" t="str">
        <f aca="false">IF($B935="","",IFERROR(IF(INDEX(Students!$C$2:$C$301,MATCH($B935,Students!$A$2:$A$301,0))="","",INDEX(Students!$C$2:$C$301,MATCH($B935,Students!$A$2:$A$301,0))),""))</f>
        <v/>
      </c>
      <c r="J935" s="24" t="str">
        <f aca="false">IF($B935="","",IFERROR(IF(INDEX(Students!$B$2:$B$301,MATCH($B935,Students!$A$2:$A$301,0))="","",INDEX(Students!$B$2:$B$301,MATCH($B935,Students!$A$2:$A$301,0))),""))</f>
        <v/>
      </c>
      <c r="K935" s="25" t="str">
        <f aca="false">IF($A935="","",IF(D935="Withdrawn",0,IF(E935&lt;&gt;"",N(E935),IFERROR(N(INDEX(Activities!$I$2:$I$201,MATCH($A935,Activities!$A$2:$A$201,0))),0))))</f>
        <v/>
      </c>
      <c r="L935" s="24" t="str">
        <f aca="false">IF(AND($A935="",$B935=""),"",IF(ISNA(MATCH($A935,Activities!$A$2:$A$201,0)),"Unknown activity",IF(ISNA(MATCH($B935,Students!$A$2:$A$301,0)),"Unknown student",IF(D935="","No status",IF(COUNTIFS($A$2:$A$1001,$A935,$B$2:$B$1001,$B935)&gt;1,"Duplicate",IF(AND(D935&lt;&gt;"Withdrawn",G935&lt;&gt;"",COUNTIFS($B$2:$B$1001,$B935,$G$2:$G$1001,G935,$D$2:$D$1001,"&lt;&gt;Withdrawn")&gt;1),"Same-day clash","OK"))))))</f>
        <v/>
      </c>
    </row>
    <row r="936" customFormat="false" ht="15" hidden="false" customHeight="false" outlineLevel="0" collapsed="false">
      <c r="E936" s="26"/>
      <c r="G936" s="23" t="str">
        <f aca="false">IF($A936="","",IFERROR(IF(INDEX(Activities!$C$2:$C$201,MATCH($A936,Activities!$A$2:$A$201,0))="","",INDEX(Activities!$C$2:$C$201,MATCH($A936,Activities!$A$2:$A$201,0))),""))</f>
        <v/>
      </c>
      <c r="H936" s="24" t="str">
        <f aca="false">IF($A936="","",IFERROR(IF(INDEX(Activities!$B$2:$B$201,MATCH($A936,Activities!$A$2:$A$201,0))="","",INDEX(Activities!$B$2:$B$201,MATCH($A936,Activities!$A$2:$A$201,0))),""))</f>
        <v/>
      </c>
      <c r="I936" s="24" t="str">
        <f aca="false">IF($B936="","",IFERROR(IF(INDEX(Students!$C$2:$C$301,MATCH($B936,Students!$A$2:$A$301,0))="","",INDEX(Students!$C$2:$C$301,MATCH($B936,Students!$A$2:$A$301,0))),""))</f>
        <v/>
      </c>
      <c r="J936" s="24" t="str">
        <f aca="false">IF($B936="","",IFERROR(IF(INDEX(Students!$B$2:$B$301,MATCH($B936,Students!$A$2:$A$301,0))="","",INDEX(Students!$B$2:$B$301,MATCH($B936,Students!$A$2:$A$301,0))),""))</f>
        <v/>
      </c>
      <c r="K936" s="25" t="str">
        <f aca="false">IF($A936="","",IF(D936="Withdrawn",0,IF(E936&lt;&gt;"",N(E936),IFERROR(N(INDEX(Activities!$I$2:$I$201,MATCH($A936,Activities!$A$2:$A$201,0))),0))))</f>
        <v/>
      </c>
      <c r="L936" s="24" t="str">
        <f aca="false">IF(AND($A936="",$B936=""),"",IF(ISNA(MATCH($A936,Activities!$A$2:$A$201,0)),"Unknown activity",IF(ISNA(MATCH($B936,Students!$A$2:$A$301,0)),"Unknown student",IF(D936="","No status",IF(COUNTIFS($A$2:$A$1001,$A936,$B$2:$B$1001,$B936)&gt;1,"Duplicate",IF(AND(D936&lt;&gt;"Withdrawn",G936&lt;&gt;"",COUNTIFS($B$2:$B$1001,$B936,$G$2:$G$1001,G936,$D$2:$D$1001,"&lt;&gt;Withdrawn")&gt;1),"Same-day clash","OK"))))))</f>
        <v/>
      </c>
    </row>
    <row r="937" customFormat="false" ht="15" hidden="false" customHeight="false" outlineLevel="0" collapsed="false">
      <c r="E937" s="26"/>
      <c r="G937" s="23" t="str">
        <f aca="false">IF($A937="","",IFERROR(IF(INDEX(Activities!$C$2:$C$201,MATCH($A937,Activities!$A$2:$A$201,0))="","",INDEX(Activities!$C$2:$C$201,MATCH($A937,Activities!$A$2:$A$201,0))),""))</f>
        <v/>
      </c>
      <c r="H937" s="24" t="str">
        <f aca="false">IF($A937="","",IFERROR(IF(INDEX(Activities!$B$2:$B$201,MATCH($A937,Activities!$A$2:$A$201,0))="","",INDEX(Activities!$B$2:$B$201,MATCH($A937,Activities!$A$2:$A$201,0))),""))</f>
        <v/>
      </c>
      <c r="I937" s="24" t="str">
        <f aca="false">IF($B937="","",IFERROR(IF(INDEX(Students!$C$2:$C$301,MATCH($B937,Students!$A$2:$A$301,0))="","",INDEX(Students!$C$2:$C$301,MATCH($B937,Students!$A$2:$A$301,0))),""))</f>
        <v/>
      </c>
      <c r="J937" s="24" t="str">
        <f aca="false">IF($B937="","",IFERROR(IF(INDEX(Students!$B$2:$B$301,MATCH($B937,Students!$A$2:$A$301,0))="","",INDEX(Students!$B$2:$B$301,MATCH($B937,Students!$A$2:$A$301,0))),""))</f>
        <v/>
      </c>
      <c r="K937" s="25" t="str">
        <f aca="false">IF($A937="","",IF(D937="Withdrawn",0,IF(E937&lt;&gt;"",N(E937),IFERROR(N(INDEX(Activities!$I$2:$I$201,MATCH($A937,Activities!$A$2:$A$201,0))),0))))</f>
        <v/>
      </c>
      <c r="L937" s="24" t="str">
        <f aca="false">IF(AND($A937="",$B937=""),"",IF(ISNA(MATCH($A937,Activities!$A$2:$A$201,0)),"Unknown activity",IF(ISNA(MATCH($B937,Students!$A$2:$A$301,0)),"Unknown student",IF(D937="","No status",IF(COUNTIFS($A$2:$A$1001,$A937,$B$2:$B$1001,$B937)&gt;1,"Duplicate",IF(AND(D937&lt;&gt;"Withdrawn",G937&lt;&gt;"",COUNTIFS($B$2:$B$1001,$B937,$G$2:$G$1001,G937,$D$2:$D$1001,"&lt;&gt;Withdrawn")&gt;1),"Same-day clash","OK"))))))</f>
        <v/>
      </c>
    </row>
    <row r="938" customFormat="false" ht="15" hidden="false" customHeight="false" outlineLevel="0" collapsed="false">
      <c r="E938" s="26"/>
      <c r="G938" s="23" t="str">
        <f aca="false">IF($A938="","",IFERROR(IF(INDEX(Activities!$C$2:$C$201,MATCH($A938,Activities!$A$2:$A$201,0))="","",INDEX(Activities!$C$2:$C$201,MATCH($A938,Activities!$A$2:$A$201,0))),""))</f>
        <v/>
      </c>
      <c r="H938" s="24" t="str">
        <f aca="false">IF($A938="","",IFERROR(IF(INDEX(Activities!$B$2:$B$201,MATCH($A938,Activities!$A$2:$A$201,0))="","",INDEX(Activities!$B$2:$B$201,MATCH($A938,Activities!$A$2:$A$201,0))),""))</f>
        <v/>
      </c>
      <c r="I938" s="24" t="str">
        <f aca="false">IF($B938="","",IFERROR(IF(INDEX(Students!$C$2:$C$301,MATCH($B938,Students!$A$2:$A$301,0))="","",INDEX(Students!$C$2:$C$301,MATCH($B938,Students!$A$2:$A$301,0))),""))</f>
        <v/>
      </c>
      <c r="J938" s="24" t="str">
        <f aca="false">IF($B938="","",IFERROR(IF(INDEX(Students!$B$2:$B$301,MATCH($B938,Students!$A$2:$A$301,0))="","",INDEX(Students!$B$2:$B$301,MATCH($B938,Students!$A$2:$A$301,0))),""))</f>
        <v/>
      </c>
      <c r="K938" s="25" t="str">
        <f aca="false">IF($A938="","",IF(D938="Withdrawn",0,IF(E938&lt;&gt;"",N(E938),IFERROR(N(INDEX(Activities!$I$2:$I$201,MATCH($A938,Activities!$A$2:$A$201,0))),0))))</f>
        <v/>
      </c>
      <c r="L938" s="24" t="str">
        <f aca="false">IF(AND($A938="",$B938=""),"",IF(ISNA(MATCH($A938,Activities!$A$2:$A$201,0)),"Unknown activity",IF(ISNA(MATCH($B938,Students!$A$2:$A$301,0)),"Unknown student",IF(D938="","No status",IF(COUNTIFS($A$2:$A$1001,$A938,$B$2:$B$1001,$B938)&gt;1,"Duplicate",IF(AND(D938&lt;&gt;"Withdrawn",G938&lt;&gt;"",COUNTIFS($B$2:$B$1001,$B938,$G$2:$G$1001,G938,$D$2:$D$1001,"&lt;&gt;Withdrawn")&gt;1),"Same-day clash","OK"))))))</f>
        <v/>
      </c>
    </row>
    <row r="939" customFormat="false" ht="15" hidden="false" customHeight="false" outlineLevel="0" collapsed="false">
      <c r="E939" s="26"/>
      <c r="G939" s="23" t="str">
        <f aca="false">IF($A939="","",IFERROR(IF(INDEX(Activities!$C$2:$C$201,MATCH($A939,Activities!$A$2:$A$201,0))="","",INDEX(Activities!$C$2:$C$201,MATCH($A939,Activities!$A$2:$A$201,0))),""))</f>
        <v/>
      </c>
      <c r="H939" s="24" t="str">
        <f aca="false">IF($A939="","",IFERROR(IF(INDEX(Activities!$B$2:$B$201,MATCH($A939,Activities!$A$2:$A$201,0))="","",INDEX(Activities!$B$2:$B$201,MATCH($A939,Activities!$A$2:$A$201,0))),""))</f>
        <v/>
      </c>
      <c r="I939" s="24" t="str">
        <f aca="false">IF($B939="","",IFERROR(IF(INDEX(Students!$C$2:$C$301,MATCH($B939,Students!$A$2:$A$301,0))="","",INDEX(Students!$C$2:$C$301,MATCH($B939,Students!$A$2:$A$301,0))),""))</f>
        <v/>
      </c>
      <c r="J939" s="24" t="str">
        <f aca="false">IF($B939="","",IFERROR(IF(INDEX(Students!$B$2:$B$301,MATCH($B939,Students!$A$2:$A$301,0))="","",INDEX(Students!$B$2:$B$301,MATCH($B939,Students!$A$2:$A$301,0))),""))</f>
        <v/>
      </c>
      <c r="K939" s="25" t="str">
        <f aca="false">IF($A939="","",IF(D939="Withdrawn",0,IF(E939&lt;&gt;"",N(E939),IFERROR(N(INDEX(Activities!$I$2:$I$201,MATCH($A939,Activities!$A$2:$A$201,0))),0))))</f>
        <v/>
      </c>
      <c r="L939" s="24" t="str">
        <f aca="false">IF(AND($A939="",$B939=""),"",IF(ISNA(MATCH($A939,Activities!$A$2:$A$201,0)),"Unknown activity",IF(ISNA(MATCH($B939,Students!$A$2:$A$301,0)),"Unknown student",IF(D939="","No status",IF(COUNTIFS($A$2:$A$1001,$A939,$B$2:$B$1001,$B939)&gt;1,"Duplicate",IF(AND(D939&lt;&gt;"Withdrawn",G939&lt;&gt;"",COUNTIFS($B$2:$B$1001,$B939,$G$2:$G$1001,G939,$D$2:$D$1001,"&lt;&gt;Withdrawn")&gt;1),"Same-day clash","OK"))))))</f>
        <v/>
      </c>
    </row>
    <row r="940" customFormat="false" ht="15" hidden="false" customHeight="false" outlineLevel="0" collapsed="false">
      <c r="E940" s="26"/>
      <c r="G940" s="23" t="str">
        <f aca="false">IF($A940="","",IFERROR(IF(INDEX(Activities!$C$2:$C$201,MATCH($A940,Activities!$A$2:$A$201,0))="","",INDEX(Activities!$C$2:$C$201,MATCH($A940,Activities!$A$2:$A$201,0))),""))</f>
        <v/>
      </c>
      <c r="H940" s="24" t="str">
        <f aca="false">IF($A940="","",IFERROR(IF(INDEX(Activities!$B$2:$B$201,MATCH($A940,Activities!$A$2:$A$201,0))="","",INDEX(Activities!$B$2:$B$201,MATCH($A940,Activities!$A$2:$A$201,0))),""))</f>
        <v/>
      </c>
      <c r="I940" s="24" t="str">
        <f aca="false">IF($B940="","",IFERROR(IF(INDEX(Students!$C$2:$C$301,MATCH($B940,Students!$A$2:$A$301,0))="","",INDEX(Students!$C$2:$C$301,MATCH($B940,Students!$A$2:$A$301,0))),""))</f>
        <v/>
      </c>
      <c r="J940" s="24" t="str">
        <f aca="false">IF($B940="","",IFERROR(IF(INDEX(Students!$B$2:$B$301,MATCH($B940,Students!$A$2:$A$301,0))="","",INDEX(Students!$B$2:$B$301,MATCH($B940,Students!$A$2:$A$301,0))),""))</f>
        <v/>
      </c>
      <c r="K940" s="25" t="str">
        <f aca="false">IF($A940="","",IF(D940="Withdrawn",0,IF(E940&lt;&gt;"",N(E940),IFERROR(N(INDEX(Activities!$I$2:$I$201,MATCH($A940,Activities!$A$2:$A$201,0))),0))))</f>
        <v/>
      </c>
      <c r="L940" s="24" t="str">
        <f aca="false">IF(AND($A940="",$B940=""),"",IF(ISNA(MATCH($A940,Activities!$A$2:$A$201,0)),"Unknown activity",IF(ISNA(MATCH($B940,Students!$A$2:$A$301,0)),"Unknown student",IF(D940="","No status",IF(COUNTIFS($A$2:$A$1001,$A940,$B$2:$B$1001,$B940)&gt;1,"Duplicate",IF(AND(D940&lt;&gt;"Withdrawn",G940&lt;&gt;"",COUNTIFS($B$2:$B$1001,$B940,$G$2:$G$1001,G940,$D$2:$D$1001,"&lt;&gt;Withdrawn")&gt;1),"Same-day clash","OK"))))))</f>
        <v/>
      </c>
    </row>
    <row r="941" customFormat="false" ht="15" hidden="false" customHeight="false" outlineLevel="0" collapsed="false">
      <c r="E941" s="26"/>
      <c r="G941" s="23" t="str">
        <f aca="false">IF($A941="","",IFERROR(IF(INDEX(Activities!$C$2:$C$201,MATCH($A941,Activities!$A$2:$A$201,0))="","",INDEX(Activities!$C$2:$C$201,MATCH($A941,Activities!$A$2:$A$201,0))),""))</f>
        <v/>
      </c>
      <c r="H941" s="24" t="str">
        <f aca="false">IF($A941="","",IFERROR(IF(INDEX(Activities!$B$2:$B$201,MATCH($A941,Activities!$A$2:$A$201,0))="","",INDEX(Activities!$B$2:$B$201,MATCH($A941,Activities!$A$2:$A$201,0))),""))</f>
        <v/>
      </c>
      <c r="I941" s="24" t="str">
        <f aca="false">IF($B941="","",IFERROR(IF(INDEX(Students!$C$2:$C$301,MATCH($B941,Students!$A$2:$A$301,0))="","",INDEX(Students!$C$2:$C$301,MATCH($B941,Students!$A$2:$A$301,0))),""))</f>
        <v/>
      </c>
      <c r="J941" s="24" t="str">
        <f aca="false">IF($B941="","",IFERROR(IF(INDEX(Students!$B$2:$B$301,MATCH($B941,Students!$A$2:$A$301,0))="","",INDEX(Students!$B$2:$B$301,MATCH($B941,Students!$A$2:$A$301,0))),""))</f>
        <v/>
      </c>
      <c r="K941" s="25" t="str">
        <f aca="false">IF($A941="","",IF(D941="Withdrawn",0,IF(E941&lt;&gt;"",N(E941),IFERROR(N(INDEX(Activities!$I$2:$I$201,MATCH($A941,Activities!$A$2:$A$201,0))),0))))</f>
        <v/>
      </c>
      <c r="L941" s="24" t="str">
        <f aca="false">IF(AND($A941="",$B941=""),"",IF(ISNA(MATCH($A941,Activities!$A$2:$A$201,0)),"Unknown activity",IF(ISNA(MATCH($B941,Students!$A$2:$A$301,0)),"Unknown student",IF(D941="","No status",IF(COUNTIFS($A$2:$A$1001,$A941,$B$2:$B$1001,$B941)&gt;1,"Duplicate",IF(AND(D941&lt;&gt;"Withdrawn",G941&lt;&gt;"",COUNTIFS($B$2:$B$1001,$B941,$G$2:$G$1001,G941,$D$2:$D$1001,"&lt;&gt;Withdrawn")&gt;1),"Same-day clash","OK"))))))</f>
        <v/>
      </c>
    </row>
    <row r="942" customFormat="false" ht="15" hidden="false" customHeight="false" outlineLevel="0" collapsed="false">
      <c r="E942" s="26"/>
      <c r="G942" s="23" t="str">
        <f aca="false">IF($A942="","",IFERROR(IF(INDEX(Activities!$C$2:$C$201,MATCH($A942,Activities!$A$2:$A$201,0))="","",INDEX(Activities!$C$2:$C$201,MATCH($A942,Activities!$A$2:$A$201,0))),""))</f>
        <v/>
      </c>
      <c r="H942" s="24" t="str">
        <f aca="false">IF($A942="","",IFERROR(IF(INDEX(Activities!$B$2:$B$201,MATCH($A942,Activities!$A$2:$A$201,0))="","",INDEX(Activities!$B$2:$B$201,MATCH($A942,Activities!$A$2:$A$201,0))),""))</f>
        <v/>
      </c>
      <c r="I942" s="24" t="str">
        <f aca="false">IF($B942="","",IFERROR(IF(INDEX(Students!$C$2:$C$301,MATCH($B942,Students!$A$2:$A$301,0))="","",INDEX(Students!$C$2:$C$301,MATCH($B942,Students!$A$2:$A$301,0))),""))</f>
        <v/>
      </c>
      <c r="J942" s="24" t="str">
        <f aca="false">IF($B942="","",IFERROR(IF(INDEX(Students!$B$2:$B$301,MATCH($B942,Students!$A$2:$A$301,0))="","",INDEX(Students!$B$2:$B$301,MATCH($B942,Students!$A$2:$A$301,0))),""))</f>
        <v/>
      </c>
      <c r="K942" s="25" t="str">
        <f aca="false">IF($A942="","",IF(D942="Withdrawn",0,IF(E942&lt;&gt;"",N(E942),IFERROR(N(INDEX(Activities!$I$2:$I$201,MATCH($A942,Activities!$A$2:$A$201,0))),0))))</f>
        <v/>
      </c>
      <c r="L942" s="24" t="str">
        <f aca="false">IF(AND($A942="",$B942=""),"",IF(ISNA(MATCH($A942,Activities!$A$2:$A$201,0)),"Unknown activity",IF(ISNA(MATCH($B942,Students!$A$2:$A$301,0)),"Unknown student",IF(D942="","No status",IF(COUNTIFS($A$2:$A$1001,$A942,$B$2:$B$1001,$B942)&gt;1,"Duplicate",IF(AND(D942&lt;&gt;"Withdrawn",G942&lt;&gt;"",COUNTIFS($B$2:$B$1001,$B942,$G$2:$G$1001,G942,$D$2:$D$1001,"&lt;&gt;Withdrawn")&gt;1),"Same-day clash","OK"))))))</f>
        <v/>
      </c>
    </row>
    <row r="943" customFormat="false" ht="15" hidden="false" customHeight="false" outlineLevel="0" collapsed="false">
      <c r="E943" s="26"/>
      <c r="G943" s="23" t="str">
        <f aca="false">IF($A943="","",IFERROR(IF(INDEX(Activities!$C$2:$C$201,MATCH($A943,Activities!$A$2:$A$201,0))="","",INDEX(Activities!$C$2:$C$201,MATCH($A943,Activities!$A$2:$A$201,0))),""))</f>
        <v/>
      </c>
      <c r="H943" s="24" t="str">
        <f aca="false">IF($A943="","",IFERROR(IF(INDEX(Activities!$B$2:$B$201,MATCH($A943,Activities!$A$2:$A$201,0))="","",INDEX(Activities!$B$2:$B$201,MATCH($A943,Activities!$A$2:$A$201,0))),""))</f>
        <v/>
      </c>
      <c r="I943" s="24" t="str">
        <f aca="false">IF($B943="","",IFERROR(IF(INDEX(Students!$C$2:$C$301,MATCH($B943,Students!$A$2:$A$301,0))="","",INDEX(Students!$C$2:$C$301,MATCH($B943,Students!$A$2:$A$301,0))),""))</f>
        <v/>
      </c>
      <c r="J943" s="24" t="str">
        <f aca="false">IF($B943="","",IFERROR(IF(INDEX(Students!$B$2:$B$301,MATCH($B943,Students!$A$2:$A$301,0))="","",INDEX(Students!$B$2:$B$301,MATCH($B943,Students!$A$2:$A$301,0))),""))</f>
        <v/>
      </c>
      <c r="K943" s="25" t="str">
        <f aca="false">IF($A943="","",IF(D943="Withdrawn",0,IF(E943&lt;&gt;"",N(E943),IFERROR(N(INDEX(Activities!$I$2:$I$201,MATCH($A943,Activities!$A$2:$A$201,0))),0))))</f>
        <v/>
      </c>
      <c r="L943" s="24" t="str">
        <f aca="false">IF(AND($A943="",$B943=""),"",IF(ISNA(MATCH($A943,Activities!$A$2:$A$201,0)),"Unknown activity",IF(ISNA(MATCH($B943,Students!$A$2:$A$301,0)),"Unknown student",IF(D943="","No status",IF(COUNTIFS($A$2:$A$1001,$A943,$B$2:$B$1001,$B943)&gt;1,"Duplicate",IF(AND(D943&lt;&gt;"Withdrawn",G943&lt;&gt;"",COUNTIFS($B$2:$B$1001,$B943,$G$2:$G$1001,G943,$D$2:$D$1001,"&lt;&gt;Withdrawn")&gt;1),"Same-day clash","OK"))))))</f>
        <v/>
      </c>
    </row>
    <row r="944" customFormat="false" ht="15" hidden="false" customHeight="false" outlineLevel="0" collapsed="false">
      <c r="E944" s="26"/>
      <c r="G944" s="23" t="str">
        <f aca="false">IF($A944="","",IFERROR(IF(INDEX(Activities!$C$2:$C$201,MATCH($A944,Activities!$A$2:$A$201,0))="","",INDEX(Activities!$C$2:$C$201,MATCH($A944,Activities!$A$2:$A$201,0))),""))</f>
        <v/>
      </c>
      <c r="H944" s="24" t="str">
        <f aca="false">IF($A944="","",IFERROR(IF(INDEX(Activities!$B$2:$B$201,MATCH($A944,Activities!$A$2:$A$201,0))="","",INDEX(Activities!$B$2:$B$201,MATCH($A944,Activities!$A$2:$A$201,0))),""))</f>
        <v/>
      </c>
      <c r="I944" s="24" t="str">
        <f aca="false">IF($B944="","",IFERROR(IF(INDEX(Students!$C$2:$C$301,MATCH($B944,Students!$A$2:$A$301,0))="","",INDEX(Students!$C$2:$C$301,MATCH($B944,Students!$A$2:$A$301,0))),""))</f>
        <v/>
      </c>
      <c r="J944" s="24" t="str">
        <f aca="false">IF($B944="","",IFERROR(IF(INDEX(Students!$B$2:$B$301,MATCH($B944,Students!$A$2:$A$301,0))="","",INDEX(Students!$B$2:$B$301,MATCH($B944,Students!$A$2:$A$301,0))),""))</f>
        <v/>
      </c>
      <c r="K944" s="25" t="str">
        <f aca="false">IF($A944="","",IF(D944="Withdrawn",0,IF(E944&lt;&gt;"",N(E944),IFERROR(N(INDEX(Activities!$I$2:$I$201,MATCH($A944,Activities!$A$2:$A$201,0))),0))))</f>
        <v/>
      </c>
      <c r="L944" s="24" t="str">
        <f aca="false">IF(AND($A944="",$B944=""),"",IF(ISNA(MATCH($A944,Activities!$A$2:$A$201,0)),"Unknown activity",IF(ISNA(MATCH($B944,Students!$A$2:$A$301,0)),"Unknown student",IF(D944="","No status",IF(COUNTIFS($A$2:$A$1001,$A944,$B$2:$B$1001,$B944)&gt;1,"Duplicate",IF(AND(D944&lt;&gt;"Withdrawn",G944&lt;&gt;"",COUNTIFS($B$2:$B$1001,$B944,$G$2:$G$1001,G944,$D$2:$D$1001,"&lt;&gt;Withdrawn")&gt;1),"Same-day clash","OK"))))))</f>
        <v/>
      </c>
    </row>
    <row r="945" customFormat="false" ht="15" hidden="false" customHeight="false" outlineLevel="0" collapsed="false">
      <c r="E945" s="26"/>
      <c r="G945" s="23" t="str">
        <f aca="false">IF($A945="","",IFERROR(IF(INDEX(Activities!$C$2:$C$201,MATCH($A945,Activities!$A$2:$A$201,0))="","",INDEX(Activities!$C$2:$C$201,MATCH($A945,Activities!$A$2:$A$201,0))),""))</f>
        <v/>
      </c>
      <c r="H945" s="24" t="str">
        <f aca="false">IF($A945="","",IFERROR(IF(INDEX(Activities!$B$2:$B$201,MATCH($A945,Activities!$A$2:$A$201,0))="","",INDEX(Activities!$B$2:$B$201,MATCH($A945,Activities!$A$2:$A$201,0))),""))</f>
        <v/>
      </c>
      <c r="I945" s="24" t="str">
        <f aca="false">IF($B945="","",IFERROR(IF(INDEX(Students!$C$2:$C$301,MATCH($B945,Students!$A$2:$A$301,0))="","",INDEX(Students!$C$2:$C$301,MATCH($B945,Students!$A$2:$A$301,0))),""))</f>
        <v/>
      </c>
      <c r="J945" s="24" t="str">
        <f aca="false">IF($B945="","",IFERROR(IF(INDEX(Students!$B$2:$B$301,MATCH($B945,Students!$A$2:$A$301,0))="","",INDEX(Students!$B$2:$B$301,MATCH($B945,Students!$A$2:$A$301,0))),""))</f>
        <v/>
      </c>
      <c r="K945" s="25" t="str">
        <f aca="false">IF($A945="","",IF(D945="Withdrawn",0,IF(E945&lt;&gt;"",N(E945),IFERROR(N(INDEX(Activities!$I$2:$I$201,MATCH($A945,Activities!$A$2:$A$201,0))),0))))</f>
        <v/>
      </c>
      <c r="L945" s="24" t="str">
        <f aca="false">IF(AND($A945="",$B945=""),"",IF(ISNA(MATCH($A945,Activities!$A$2:$A$201,0)),"Unknown activity",IF(ISNA(MATCH($B945,Students!$A$2:$A$301,0)),"Unknown student",IF(D945="","No status",IF(COUNTIFS($A$2:$A$1001,$A945,$B$2:$B$1001,$B945)&gt;1,"Duplicate",IF(AND(D945&lt;&gt;"Withdrawn",G945&lt;&gt;"",COUNTIFS($B$2:$B$1001,$B945,$G$2:$G$1001,G945,$D$2:$D$1001,"&lt;&gt;Withdrawn")&gt;1),"Same-day clash","OK"))))))</f>
        <v/>
      </c>
    </row>
    <row r="946" customFormat="false" ht="15" hidden="false" customHeight="false" outlineLevel="0" collapsed="false">
      <c r="E946" s="26"/>
      <c r="G946" s="23" t="str">
        <f aca="false">IF($A946="","",IFERROR(IF(INDEX(Activities!$C$2:$C$201,MATCH($A946,Activities!$A$2:$A$201,0))="","",INDEX(Activities!$C$2:$C$201,MATCH($A946,Activities!$A$2:$A$201,0))),""))</f>
        <v/>
      </c>
      <c r="H946" s="24" t="str">
        <f aca="false">IF($A946="","",IFERROR(IF(INDEX(Activities!$B$2:$B$201,MATCH($A946,Activities!$A$2:$A$201,0))="","",INDEX(Activities!$B$2:$B$201,MATCH($A946,Activities!$A$2:$A$201,0))),""))</f>
        <v/>
      </c>
      <c r="I946" s="24" t="str">
        <f aca="false">IF($B946="","",IFERROR(IF(INDEX(Students!$C$2:$C$301,MATCH($B946,Students!$A$2:$A$301,0))="","",INDEX(Students!$C$2:$C$301,MATCH($B946,Students!$A$2:$A$301,0))),""))</f>
        <v/>
      </c>
      <c r="J946" s="24" t="str">
        <f aca="false">IF($B946="","",IFERROR(IF(INDEX(Students!$B$2:$B$301,MATCH($B946,Students!$A$2:$A$301,0))="","",INDEX(Students!$B$2:$B$301,MATCH($B946,Students!$A$2:$A$301,0))),""))</f>
        <v/>
      </c>
      <c r="K946" s="25" t="str">
        <f aca="false">IF($A946="","",IF(D946="Withdrawn",0,IF(E946&lt;&gt;"",N(E946),IFERROR(N(INDEX(Activities!$I$2:$I$201,MATCH($A946,Activities!$A$2:$A$201,0))),0))))</f>
        <v/>
      </c>
      <c r="L946" s="24" t="str">
        <f aca="false">IF(AND($A946="",$B946=""),"",IF(ISNA(MATCH($A946,Activities!$A$2:$A$201,0)),"Unknown activity",IF(ISNA(MATCH($B946,Students!$A$2:$A$301,0)),"Unknown student",IF(D946="","No status",IF(COUNTIFS($A$2:$A$1001,$A946,$B$2:$B$1001,$B946)&gt;1,"Duplicate",IF(AND(D946&lt;&gt;"Withdrawn",G946&lt;&gt;"",COUNTIFS($B$2:$B$1001,$B946,$G$2:$G$1001,G946,$D$2:$D$1001,"&lt;&gt;Withdrawn")&gt;1),"Same-day clash","OK"))))))</f>
        <v/>
      </c>
    </row>
    <row r="947" customFormat="false" ht="15" hidden="false" customHeight="false" outlineLevel="0" collapsed="false">
      <c r="E947" s="26"/>
      <c r="G947" s="23" t="str">
        <f aca="false">IF($A947="","",IFERROR(IF(INDEX(Activities!$C$2:$C$201,MATCH($A947,Activities!$A$2:$A$201,0))="","",INDEX(Activities!$C$2:$C$201,MATCH($A947,Activities!$A$2:$A$201,0))),""))</f>
        <v/>
      </c>
      <c r="H947" s="24" t="str">
        <f aca="false">IF($A947="","",IFERROR(IF(INDEX(Activities!$B$2:$B$201,MATCH($A947,Activities!$A$2:$A$201,0))="","",INDEX(Activities!$B$2:$B$201,MATCH($A947,Activities!$A$2:$A$201,0))),""))</f>
        <v/>
      </c>
      <c r="I947" s="24" t="str">
        <f aca="false">IF($B947="","",IFERROR(IF(INDEX(Students!$C$2:$C$301,MATCH($B947,Students!$A$2:$A$301,0))="","",INDEX(Students!$C$2:$C$301,MATCH($B947,Students!$A$2:$A$301,0))),""))</f>
        <v/>
      </c>
      <c r="J947" s="24" t="str">
        <f aca="false">IF($B947="","",IFERROR(IF(INDEX(Students!$B$2:$B$301,MATCH($B947,Students!$A$2:$A$301,0))="","",INDEX(Students!$B$2:$B$301,MATCH($B947,Students!$A$2:$A$301,0))),""))</f>
        <v/>
      </c>
      <c r="K947" s="25" t="str">
        <f aca="false">IF($A947="","",IF(D947="Withdrawn",0,IF(E947&lt;&gt;"",N(E947),IFERROR(N(INDEX(Activities!$I$2:$I$201,MATCH($A947,Activities!$A$2:$A$201,0))),0))))</f>
        <v/>
      </c>
      <c r="L947" s="24" t="str">
        <f aca="false">IF(AND($A947="",$B947=""),"",IF(ISNA(MATCH($A947,Activities!$A$2:$A$201,0)),"Unknown activity",IF(ISNA(MATCH($B947,Students!$A$2:$A$301,0)),"Unknown student",IF(D947="","No status",IF(COUNTIFS($A$2:$A$1001,$A947,$B$2:$B$1001,$B947)&gt;1,"Duplicate",IF(AND(D947&lt;&gt;"Withdrawn",G947&lt;&gt;"",COUNTIFS($B$2:$B$1001,$B947,$G$2:$G$1001,G947,$D$2:$D$1001,"&lt;&gt;Withdrawn")&gt;1),"Same-day clash","OK"))))))</f>
        <v/>
      </c>
    </row>
    <row r="948" customFormat="false" ht="15" hidden="false" customHeight="false" outlineLevel="0" collapsed="false">
      <c r="E948" s="26"/>
      <c r="G948" s="23" t="str">
        <f aca="false">IF($A948="","",IFERROR(IF(INDEX(Activities!$C$2:$C$201,MATCH($A948,Activities!$A$2:$A$201,0))="","",INDEX(Activities!$C$2:$C$201,MATCH($A948,Activities!$A$2:$A$201,0))),""))</f>
        <v/>
      </c>
      <c r="H948" s="24" t="str">
        <f aca="false">IF($A948="","",IFERROR(IF(INDEX(Activities!$B$2:$B$201,MATCH($A948,Activities!$A$2:$A$201,0))="","",INDEX(Activities!$B$2:$B$201,MATCH($A948,Activities!$A$2:$A$201,0))),""))</f>
        <v/>
      </c>
      <c r="I948" s="24" t="str">
        <f aca="false">IF($B948="","",IFERROR(IF(INDEX(Students!$C$2:$C$301,MATCH($B948,Students!$A$2:$A$301,0))="","",INDEX(Students!$C$2:$C$301,MATCH($B948,Students!$A$2:$A$301,0))),""))</f>
        <v/>
      </c>
      <c r="J948" s="24" t="str">
        <f aca="false">IF($B948="","",IFERROR(IF(INDEX(Students!$B$2:$B$301,MATCH($B948,Students!$A$2:$A$301,0))="","",INDEX(Students!$B$2:$B$301,MATCH($B948,Students!$A$2:$A$301,0))),""))</f>
        <v/>
      </c>
      <c r="K948" s="25" t="str">
        <f aca="false">IF($A948="","",IF(D948="Withdrawn",0,IF(E948&lt;&gt;"",N(E948),IFERROR(N(INDEX(Activities!$I$2:$I$201,MATCH($A948,Activities!$A$2:$A$201,0))),0))))</f>
        <v/>
      </c>
      <c r="L948" s="24" t="str">
        <f aca="false">IF(AND($A948="",$B948=""),"",IF(ISNA(MATCH($A948,Activities!$A$2:$A$201,0)),"Unknown activity",IF(ISNA(MATCH($B948,Students!$A$2:$A$301,0)),"Unknown student",IF(D948="","No status",IF(COUNTIFS($A$2:$A$1001,$A948,$B$2:$B$1001,$B948)&gt;1,"Duplicate",IF(AND(D948&lt;&gt;"Withdrawn",G948&lt;&gt;"",COUNTIFS($B$2:$B$1001,$B948,$G$2:$G$1001,G948,$D$2:$D$1001,"&lt;&gt;Withdrawn")&gt;1),"Same-day clash","OK"))))))</f>
        <v/>
      </c>
    </row>
    <row r="949" customFormat="false" ht="15" hidden="false" customHeight="false" outlineLevel="0" collapsed="false">
      <c r="E949" s="26"/>
      <c r="G949" s="23" t="str">
        <f aca="false">IF($A949="","",IFERROR(IF(INDEX(Activities!$C$2:$C$201,MATCH($A949,Activities!$A$2:$A$201,0))="","",INDEX(Activities!$C$2:$C$201,MATCH($A949,Activities!$A$2:$A$201,0))),""))</f>
        <v/>
      </c>
      <c r="H949" s="24" t="str">
        <f aca="false">IF($A949="","",IFERROR(IF(INDEX(Activities!$B$2:$B$201,MATCH($A949,Activities!$A$2:$A$201,0))="","",INDEX(Activities!$B$2:$B$201,MATCH($A949,Activities!$A$2:$A$201,0))),""))</f>
        <v/>
      </c>
      <c r="I949" s="24" t="str">
        <f aca="false">IF($B949="","",IFERROR(IF(INDEX(Students!$C$2:$C$301,MATCH($B949,Students!$A$2:$A$301,0))="","",INDEX(Students!$C$2:$C$301,MATCH($B949,Students!$A$2:$A$301,0))),""))</f>
        <v/>
      </c>
      <c r="J949" s="24" t="str">
        <f aca="false">IF($B949="","",IFERROR(IF(INDEX(Students!$B$2:$B$301,MATCH($B949,Students!$A$2:$A$301,0))="","",INDEX(Students!$B$2:$B$301,MATCH($B949,Students!$A$2:$A$301,0))),""))</f>
        <v/>
      </c>
      <c r="K949" s="25" t="str">
        <f aca="false">IF($A949="","",IF(D949="Withdrawn",0,IF(E949&lt;&gt;"",N(E949),IFERROR(N(INDEX(Activities!$I$2:$I$201,MATCH($A949,Activities!$A$2:$A$201,0))),0))))</f>
        <v/>
      </c>
      <c r="L949" s="24" t="str">
        <f aca="false">IF(AND($A949="",$B949=""),"",IF(ISNA(MATCH($A949,Activities!$A$2:$A$201,0)),"Unknown activity",IF(ISNA(MATCH($B949,Students!$A$2:$A$301,0)),"Unknown student",IF(D949="","No status",IF(COUNTIFS($A$2:$A$1001,$A949,$B$2:$B$1001,$B949)&gt;1,"Duplicate",IF(AND(D949&lt;&gt;"Withdrawn",G949&lt;&gt;"",COUNTIFS($B$2:$B$1001,$B949,$G$2:$G$1001,G949,$D$2:$D$1001,"&lt;&gt;Withdrawn")&gt;1),"Same-day clash","OK"))))))</f>
        <v/>
      </c>
    </row>
    <row r="950" customFormat="false" ht="15" hidden="false" customHeight="false" outlineLevel="0" collapsed="false">
      <c r="E950" s="26"/>
      <c r="G950" s="23" t="str">
        <f aca="false">IF($A950="","",IFERROR(IF(INDEX(Activities!$C$2:$C$201,MATCH($A950,Activities!$A$2:$A$201,0))="","",INDEX(Activities!$C$2:$C$201,MATCH($A950,Activities!$A$2:$A$201,0))),""))</f>
        <v/>
      </c>
      <c r="H950" s="24" t="str">
        <f aca="false">IF($A950="","",IFERROR(IF(INDEX(Activities!$B$2:$B$201,MATCH($A950,Activities!$A$2:$A$201,0))="","",INDEX(Activities!$B$2:$B$201,MATCH($A950,Activities!$A$2:$A$201,0))),""))</f>
        <v/>
      </c>
      <c r="I950" s="24" t="str">
        <f aca="false">IF($B950="","",IFERROR(IF(INDEX(Students!$C$2:$C$301,MATCH($B950,Students!$A$2:$A$301,0))="","",INDEX(Students!$C$2:$C$301,MATCH($B950,Students!$A$2:$A$301,0))),""))</f>
        <v/>
      </c>
      <c r="J950" s="24" t="str">
        <f aca="false">IF($B950="","",IFERROR(IF(INDEX(Students!$B$2:$B$301,MATCH($B950,Students!$A$2:$A$301,0))="","",INDEX(Students!$B$2:$B$301,MATCH($B950,Students!$A$2:$A$301,0))),""))</f>
        <v/>
      </c>
      <c r="K950" s="25" t="str">
        <f aca="false">IF($A950="","",IF(D950="Withdrawn",0,IF(E950&lt;&gt;"",N(E950),IFERROR(N(INDEX(Activities!$I$2:$I$201,MATCH($A950,Activities!$A$2:$A$201,0))),0))))</f>
        <v/>
      </c>
      <c r="L950" s="24" t="str">
        <f aca="false">IF(AND($A950="",$B950=""),"",IF(ISNA(MATCH($A950,Activities!$A$2:$A$201,0)),"Unknown activity",IF(ISNA(MATCH($B950,Students!$A$2:$A$301,0)),"Unknown student",IF(D950="","No status",IF(COUNTIFS($A$2:$A$1001,$A950,$B$2:$B$1001,$B950)&gt;1,"Duplicate",IF(AND(D950&lt;&gt;"Withdrawn",G950&lt;&gt;"",COUNTIFS($B$2:$B$1001,$B950,$G$2:$G$1001,G950,$D$2:$D$1001,"&lt;&gt;Withdrawn")&gt;1),"Same-day clash","OK"))))))</f>
        <v/>
      </c>
    </row>
    <row r="951" customFormat="false" ht="15" hidden="false" customHeight="false" outlineLevel="0" collapsed="false">
      <c r="E951" s="26"/>
      <c r="G951" s="23" t="str">
        <f aca="false">IF($A951="","",IFERROR(IF(INDEX(Activities!$C$2:$C$201,MATCH($A951,Activities!$A$2:$A$201,0))="","",INDEX(Activities!$C$2:$C$201,MATCH($A951,Activities!$A$2:$A$201,0))),""))</f>
        <v/>
      </c>
      <c r="H951" s="24" t="str">
        <f aca="false">IF($A951="","",IFERROR(IF(INDEX(Activities!$B$2:$B$201,MATCH($A951,Activities!$A$2:$A$201,0))="","",INDEX(Activities!$B$2:$B$201,MATCH($A951,Activities!$A$2:$A$201,0))),""))</f>
        <v/>
      </c>
      <c r="I951" s="24" t="str">
        <f aca="false">IF($B951="","",IFERROR(IF(INDEX(Students!$C$2:$C$301,MATCH($B951,Students!$A$2:$A$301,0))="","",INDEX(Students!$C$2:$C$301,MATCH($B951,Students!$A$2:$A$301,0))),""))</f>
        <v/>
      </c>
      <c r="J951" s="24" t="str">
        <f aca="false">IF($B951="","",IFERROR(IF(INDEX(Students!$B$2:$B$301,MATCH($B951,Students!$A$2:$A$301,0))="","",INDEX(Students!$B$2:$B$301,MATCH($B951,Students!$A$2:$A$301,0))),""))</f>
        <v/>
      </c>
      <c r="K951" s="25" t="str">
        <f aca="false">IF($A951="","",IF(D951="Withdrawn",0,IF(E951&lt;&gt;"",N(E951),IFERROR(N(INDEX(Activities!$I$2:$I$201,MATCH($A951,Activities!$A$2:$A$201,0))),0))))</f>
        <v/>
      </c>
      <c r="L951" s="24" t="str">
        <f aca="false">IF(AND($A951="",$B951=""),"",IF(ISNA(MATCH($A951,Activities!$A$2:$A$201,0)),"Unknown activity",IF(ISNA(MATCH($B951,Students!$A$2:$A$301,0)),"Unknown student",IF(D951="","No status",IF(COUNTIFS($A$2:$A$1001,$A951,$B$2:$B$1001,$B951)&gt;1,"Duplicate",IF(AND(D951&lt;&gt;"Withdrawn",G951&lt;&gt;"",COUNTIFS($B$2:$B$1001,$B951,$G$2:$G$1001,G951,$D$2:$D$1001,"&lt;&gt;Withdrawn")&gt;1),"Same-day clash","OK"))))))</f>
        <v/>
      </c>
    </row>
    <row r="952" customFormat="false" ht="15" hidden="false" customHeight="false" outlineLevel="0" collapsed="false">
      <c r="E952" s="26"/>
      <c r="G952" s="23" t="str">
        <f aca="false">IF($A952="","",IFERROR(IF(INDEX(Activities!$C$2:$C$201,MATCH($A952,Activities!$A$2:$A$201,0))="","",INDEX(Activities!$C$2:$C$201,MATCH($A952,Activities!$A$2:$A$201,0))),""))</f>
        <v/>
      </c>
      <c r="H952" s="24" t="str">
        <f aca="false">IF($A952="","",IFERROR(IF(INDEX(Activities!$B$2:$B$201,MATCH($A952,Activities!$A$2:$A$201,0))="","",INDEX(Activities!$B$2:$B$201,MATCH($A952,Activities!$A$2:$A$201,0))),""))</f>
        <v/>
      </c>
      <c r="I952" s="24" t="str">
        <f aca="false">IF($B952="","",IFERROR(IF(INDEX(Students!$C$2:$C$301,MATCH($B952,Students!$A$2:$A$301,0))="","",INDEX(Students!$C$2:$C$301,MATCH($B952,Students!$A$2:$A$301,0))),""))</f>
        <v/>
      </c>
      <c r="J952" s="24" t="str">
        <f aca="false">IF($B952="","",IFERROR(IF(INDEX(Students!$B$2:$B$301,MATCH($B952,Students!$A$2:$A$301,0))="","",INDEX(Students!$B$2:$B$301,MATCH($B952,Students!$A$2:$A$301,0))),""))</f>
        <v/>
      </c>
      <c r="K952" s="25" t="str">
        <f aca="false">IF($A952="","",IF(D952="Withdrawn",0,IF(E952&lt;&gt;"",N(E952),IFERROR(N(INDEX(Activities!$I$2:$I$201,MATCH($A952,Activities!$A$2:$A$201,0))),0))))</f>
        <v/>
      </c>
      <c r="L952" s="24" t="str">
        <f aca="false">IF(AND($A952="",$B952=""),"",IF(ISNA(MATCH($A952,Activities!$A$2:$A$201,0)),"Unknown activity",IF(ISNA(MATCH($B952,Students!$A$2:$A$301,0)),"Unknown student",IF(D952="","No status",IF(COUNTIFS($A$2:$A$1001,$A952,$B$2:$B$1001,$B952)&gt;1,"Duplicate",IF(AND(D952&lt;&gt;"Withdrawn",G952&lt;&gt;"",COUNTIFS($B$2:$B$1001,$B952,$G$2:$G$1001,G952,$D$2:$D$1001,"&lt;&gt;Withdrawn")&gt;1),"Same-day clash","OK"))))))</f>
        <v/>
      </c>
    </row>
    <row r="953" customFormat="false" ht="15" hidden="false" customHeight="false" outlineLevel="0" collapsed="false">
      <c r="E953" s="26"/>
      <c r="G953" s="23" t="str">
        <f aca="false">IF($A953="","",IFERROR(IF(INDEX(Activities!$C$2:$C$201,MATCH($A953,Activities!$A$2:$A$201,0))="","",INDEX(Activities!$C$2:$C$201,MATCH($A953,Activities!$A$2:$A$201,0))),""))</f>
        <v/>
      </c>
      <c r="H953" s="24" t="str">
        <f aca="false">IF($A953="","",IFERROR(IF(INDEX(Activities!$B$2:$B$201,MATCH($A953,Activities!$A$2:$A$201,0))="","",INDEX(Activities!$B$2:$B$201,MATCH($A953,Activities!$A$2:$A$201,0))),""))</f>
        <v/>
      </c>
      <c r="I953" s="24" t="str">
        <f aca="false">IF($B953="","",IFERROR(IF(INDEX(Students!$C$2:$C$301,MATCH($B953,Students!$A$2:$A$301,0))="","",INDEX(Students!$C$2:$C$301,MATCH($B953,Students!$A$2:$A$301,0))),""))</f>
        <v/>
      </c>
      <c r="J953" s="24" t="str">
        <f aca="false">IF($B953="","",IFERROR(IF(INDEX(Students!$B$2:$B$301,MATCH($B953,Students!$A$2:$A$301,0))="","",INDEX(Students!$B$2:$B$301,MATCH($B953,Students!$A$2:$A$301,0))),""))</f>
        <v/>
      </c>
      <c r="K953" s="25" t="str">
        <f aca="false">IF($A953="","",IF(D953="Withdrawn",0,IF(E953&lt;&gt;"",N(E953),IFERROR(N(INDEX(Activities!$I$2:$I$201,MATCH($A953,Activities!$A$2:$A$201,0))),0))))</f>
        <v/>
      </c>
      <c r="L953" s="24" t="str">
        <f aca="false">IF(AND($A953="",$B953=""),"",IF(ISNA(MATCH($A953,Activities!$A$2:$A$201,0)),"Unknown activity",IF(ISNA(MATCH($B953,Students!$A$2:$A$301,0)),"Unknown student",IF(D953="","No status",IF(COUNTIFS($A$2:$A$1001,$A953,$B$2:$B$1001,$B953)&gt;1,"Duplicate",IF(AND(D953&lt;&gt;"Withdrawn",G953&lt;&gt;"",COUNTIFS($B$2:$B$1001,$B953,$G$2:$G$1001,G953,$D$2:$D$1001,"&lt;&gt;Withdrawn")&gt;1),"Same-day clash","OK"))))))</f>
        <v/>
      </c>
    </row>
    <row r="954" customFormat="false" ht="15" hidden="false" customHeight="false" outlineLevel="0" collapsed="false">
      <c r="E954" s="26"/>
      <c r="G954" s="23" t="str">
        <f aca="false">IF($A954="","",IFERROR(IF(INDEX(Activities!$C$2:$C$201,MATCH($A954,Activities!$A$2:$A$201,0))="","",INDEX(Activities!$C$2:$C$201,MATCH($A954,Activities!$A$2:$A$201,0))),""))</f>
        <v/>
      </c>
      <c r="H954" s="24" t="str">
        <f aca="false">IF($A954="","",IFERROR(IF(INDEX(Activities!$B$2:$B$201,MATCH($A954,Activities!$A$2:$A$201,0))="","",INDEX(Activities!$B$2:$B$201,MATCH($A954,Activities!$A$2:$A$201,0))),""))</f>
        <v/>
      </c>
      <c r="I954" s="24" t="str">
        <f aca="false">IF($B954="","",IFERROR(IF(INDEX(Students!$C$2:$C$301,MATCH($B954,Students!$A$2:$A$301,0))="","",INDEX(Students!$C$2:$C$301,MATCH($B954,Students!$A$2:$A$301,0))),""))</f>
        <v/>
      </c>
      <c r="J954" s="24" t="str">
        <f aca="false">IF($B954="","",IFERROR(IF(INDEX(Students!$B$2:$B$301,MATCH($B954,Students!$A$2:$A$301,0))="","",INDEX(Students!$B$2:$B$301,MATCH($B954,Students!$A$2:$A$301,0))),""))</f>
        <v/>
      </c>
      <c r="K954" s="25" t="str">
        <f aca="false">IF($A954="","",IF(D954="Withdrawn",0,IF(E954&lt;&gt;"",N(E954),IFERROR(N(INDEX(Activities!$I$2:$I$201,MATCH($A954,Activities!$A$2:$A$201,0))),0))))</f>
        <v/>
      </c>
      <c r="L954" s="24" t="str">
        <f aca="false">IF(AND($A954="",$B954=""),"",IF(ISNA(MATCH($A954,Activities!$A$2:$A$201,0)),"Unknown activity",IF(ISNA(MATCH($B954,Students!$A$2:$A$301,0)),"Unknown student",IF(D954="","No status",IF(COUNTIFS($A$2:$A$1001,$A954,$B$2:$B$1001,$B954)&gt;1,"Duplicate",IF(AND(D954&lt;&gt;"Withdrawn",G954&lt;&gt;"",COUNTIFS($B$2:$B$1001,$B954,$G$2:$G$1001,G954,$D$2:$D$1001,"&lt;&gt;Withdrawn")&gt;1),"Same-day clash","OK"))))))</f>
        <v/>
      </c>
    </row>
    <row r="955" customFormat="false" ht="15" hidden="false" customHeight="false" outlineLevel="0" collapsed="false">
      <c r="E955" s="26"/>
      <c r="G955" s="23" t="str">
        <f aca="false">IF($A955="","",IFERROR(IF(INDEX(Activities!$C$2:$C$201,MATCH($A955,Activities!$A$2:$A$201,0))="","",INDEX(Activities!$C$2:$C$201,MATCH($A955,Activities!$A$2:$A$201,0))),""))</f>
        <v/>
      </c>
      <c r="H955" s="24" t="str">
        <f aca="false">IF($A955="","",IFERROR(IF(INDEX(Activities!$B$2:$B$201,MATCH($A955,Activities!$A$2:$A$201,0))="","",INDEX(Activities!$B$2:$B$201,MATCH($A955,Activities!$A$2:$A$201,0))),""))</f>
        <v/>
      </c>
      <c r="I955" s="24" t="str">
        <f aca="false">IF($B955="","",IFERROR(IF(INDEX(Students!$C$2:$C$301,MATCH($B955,Students!$A$2:$A$301,0))="","",INDEX(Students!$C$2:$C$301,MATCH($B955,Students!$A$2:$A$301,0))),""))</f>
        <v/>
      </c>
      <c r="J955" s="24" t="str">
        <f aca="false">IF($B955="","",IFERROR(IF(INDEX(Students!$B$2:$B$301,MATCH($B955,Students!$A$2:$A$301,0))="","",INDEX(Students!$B$2:$B$301,MATCH($B955,Students!$A$2:$A$301,0))),""))</f>
        <v/>
      </c>
      <c r="K955" s="25" t="str">
        <f aca="false">IF($A955="","",IF(D955="Withdrawn",0,IF(E955&lt;&gt;"",N(E955),IFERROR(N(INDEX(Activities!$I$2:$I$201,MATCH($A955,Activities!$A$2:$A$201,0))),0))))</f>
        <v/>
      </c>
      <c r="L955" s="24" t="str">
        <f aca="false">IF(AND($A955="",$B955=""),"",IF(ISNA(MATCH($A955,Activities!$A$2:$A$201,0)),"Unknown activity",IF(ISNA(MATCH($B955,Students!$A$2:$A$301,0)),"Unknown student",IF(D955="","No status",IF(COUNTIFS($A$2:$A$1001,$A955,$B$2:$B$1001,$B955)&gt;1,"Duplicate",IF(AND(D955&lt;&gt;"Withdrawn",G955&lt;&gt;"",COUNTIFS($B$2:$B$1001,$B955,$G$2:$G$1001,G955,$D$2:$D$1001,"&lt;&gt;Withdrawn")&gt;1),"Same-day clash","OK"))))))</f>
        <v/>
      </c>
    </row>
    <row r="956" customFormat="false" ht="15" hidden="false" customHeight="false" outlineLevel="0" collapsed="false">
      <c r="E956" s="26"/>
      <c r="G956" s="23" t="str">
        <f aca="false">IF($A956="","",IFERROR(IF(INDEX(Activities!$C$2:$C$201,MATCH($A956,Activities!$A$2:$A$201,0))="","",INDEX(Activities!$C$2:$C$201,MATCH($A956,Activities!$A$2:$A$201,0))),""))</f>
        <v/>
      </c>
      <c r="H956" s="24" t="str">
        <f aca="false">IF($A956="","",IFERROR(IF(INDEX(Activities!$B$2:$B$201,MATCH($A956,Activities!$A$2:$A$201,0))="","",INDEX(Activities!$B$2:$B$201,MATCH($A956,Activities!$A$2:$A$201,0))),""))</f>
        <v/>
      </c>
      <c r="I956" s="24" t="str">
        <f aca="false">IF($B956="","",IFERROR(IF(INDEX(Students!$C$2:$C$301,MATCH($B956,Students!$A$2:$A$301,0))="","",INDEX(Students!$C$2:$C$301,MATCH($B956,Students!$A$2:$A$301,0))),""))</f>
        <v/>
      </c>
      <c r="J956" s="24" t="str">
        <f aca="false">IF($B956="","",IFERROR(IF(INDEX(Students!$B$2:$B$301,MATCH($B956,Students!$A$2:$A$301,0))="","",INDEX(Students!$B$2:$B$301,MATCH($B956,Students!$A$2:$A$301,0))),""))</f>
        <v/>
      </c>
      <c r="K956" s="25" t="str">
        <f aca="false">IF($A956="","",IF(D956="Withdrawn",0,IF(E956&lt;&gt;"",N(E956),IFERROR(N(INDEX(Activities!$I$2:$I$201,MATCH($A956,Activities!$A$2:$A$201,0))),0))))</f>
        <v/>
      </c>
      <c r="L956" s="24" t="str">
        <f aca="false">IF(AND($A956="",$B956=""),"",IF(ISNA(MATCH($A956,Activities!$A$2:$A$201,0)),"Unknown activity",IF(ISNA(MATCH($B956,Students!$A$2:$A$301,0)),"Unknown student",IF(D956="","No status",IF(COUNTIFS($A$2:$A$1001,$A956,$B$2:$B$1001,$B956)&gt;1,"Duplicate",IF(AND(D956&lt;&gt;"Withdrawn",G956&lt;&gt;"",COUNTIFS($B$2:$B$1001,$B956,$G$2:$G$1001,G956,$D$2:$D$1001,"&lt;&gt;Withdrawn")&gt;1),"Same-day clash","OK"))))))</f>
        <v/>
      </c>
    </row>
    <row r="957" customFormat="false" ht="15" hidden="false" customHeight="false" outlineLevel="0" collapsed="false">
      <c r="E957" s="26"/>
      <c r="G957" s="23" t="str">
        <f aca="false">IF($A957="","",IFERROR(IF(INDEX(Activities!$C$2:$C$201,MATCH($A957,Activities!$A$2:$A$201,0))="","",INDEX(Activities!$C$2:$C$201,MATCH($A957,Activities!$A$2:$A$201,0))),""))</f>
        <v/>
      </c>
      <c r="H957" s="24" t="str">
        <f aca="false">IF($A957="","",IFERROR(IF(INDEX(Activities!$B$2:$B$201,MATCH($A957,Activities!$A$2:$A$201,0))="","",INDEX(Activities!$B$2:$B$201,MATCH($A957,Activities!$A$2:$A$201,0))),""))</f>
        <v/>
      </c>
      <c r="I957" s="24" t="str">
        <f aca="false">IF($B957="","",IFERROR(IF(INDEX(Students!$C$2:$C$301,MATCH($B957,Students!$A$2:$A$301,0))="","",INDEX(Students!$C$2:$C$301,MATCH($B957,Students!$A$2:$A$301,0))),""))</f>
        <v/>
      </c>
      <c r="J957" s="24" t="str">
        <f aca="false">IF($B957="","",IFERROR(IF(INDEX(Students!$B$2:$B$301,MATCH($B957,Students!$A$2:$A$301,0))="","",INDEX(Students!$B$2:$B$301,MATCH($B957,Students!$A$2:$A$301,0))),""))</f>
        <v/>
      </c>
      <c r="K957" s="25" t="str">
        <f aca="false">IF($A957="","",IF(D957="Withdrawn",0,IF(E957&lt;&gt;"",N(E957),IFERROR(N(INDEX(Activities!$I$2:$I$201,MATCH($A957,Activities!$A$2:$A$201,0))),0))))</f>
        <v/>
      </c>
      <c r="L957" s="24" t="str">
        <f aca="false">IF(AND($A957="",$B957=""),"",IF(ISNA(MATCH($A957,Activities!$A$2:$A$201,0)),"Unknown activity",IF(ISNA(MATCH($B957,Students!$A$2:$A$301,0)),"Unknown student",IF(D957="","No status",IF(COUNTIFS($A$2:$A$1001,$A957,$B$2:$B$1001,$B957)&gt;1,"Duplicate",IF(AND(D957&lt;&gt;"Withdrawn",G957&lt;&gt;"",COUNTIFS($B$2:$B$1001,$B957,$G$2:$G$1001,G957,$D$2:$D$1001,"&lt;&gt;Withdrawn")&gt;1),"Same-day clash","OK"))))))</f>
        <v/>
      </c>
    </row>
    <row r="958" customFormat="false" ht="15" hidden="false" customHeight="false" outlineLevel="0" collapsed="false">
      <c r="E958" s="26"/>
      <c r="G958" s="23" t="str">
        <f aca="false">IF($A958="","",IFERROR(IF(INDEX(Activities!$C$2:$C$201,MATCH($A958,Activities!$A$2:$A$201,0))="","",INDEX(Activities!$C$2:$C$201,MATCH($A958,Activities!$A$2:$A$201,0))),""))</f>
        <v/>
      </c>
      <c r="H958" s="24" t="str">
        <f aca="false">IF($A958="","",IFERROR(IF(INDEX(Activities!$B$2:$B$201,MATCH($A958,Activities!$A$2:$A$201,0))="","",INDEX(Activities!$B$2:$B$201,MATCH($A958,Activities!$A$2:$A$201,0))),""))</f>
        <v/>
      </c>
      <c r="I958" s="24" t="str">
        <f aca="false">IF($B958="","",IFERROR(IF(INDEX(Students!$C$2:$C$301,MATCH($B958,Students!$A$2:$A$301,0))="","",INDEX(Students!$C$2:$C$301,MATCH($B958,Students!$A$2:$A$301,0))),""))</f>
        <v/>
      </c>
      <c r="J958" s="24" t="str">
        <f aca="false">IF($B958="","",IFERROR(IF(INDEX(Students!$B$2:$B$301,MATCH($B958,Students!$A$2:$A$301,0))="","",INDEX(Students!$B$2:$B$301,MATCH($B958,Students!$A$2:$A$301,0))),""))</f>
        <v/>
      </c>
      <c r="K958" s="25" t="str">
        <f aca="false">IF($A958="","",IF(D958="Withdrawn",0,IF(E958&lt;&gt;"",N(E958),IFERROR(N(INDEX(Activities!$I$2:$I$201,MATCH($A958,Activities!$A$2:$A$201,0))),0))))</f>
        <v/>
      </c>
      <c r="L958" s="24" t="str">
        <f aca="false">IF(AND($A958="",$B958=""),"",IF(ISNA(MATCH($A958,Activities!$A$2:$A$201,0)),"Unknown activity",IF(ISNA(MATCH($B958,Students!$A$2:$A$301,0)),"Unknown student",IF(D958="","No status",IF(COUNTIFS($A$2:$A$1001,$A958,$B$2:$B$1001,$B958)&gt;1,"Duplicate",IF(AND(D958&lt;&gt;"Withdrawn",G958&lt;&gt;"",COUNTIFS($B$2:$B$1001,$B958,$G$2:$G$1001,G958,$D$2:$D$1001,"&lt;&gt;Withdrawn")&gt;1),"Same-day clash","OK"))))))</f>
        <v/>
      </c>
    </row>
    <row r="959" customFormat="false" ht="15" hidden="false" customHeight="false" outlineLevel="0" collapsed="false">
      <c r="E959" s="26"/>
      <c r="G959" s="23" t="str">
        <f aca="false">IF($A959="","",IFERROR(IF(INDEX(Activities!$C$2:$C$201,MATCH($A959,Activities!$A$2:$A$201,0))="","",INDEX(Activities!$C$2:$C$201,MATCH($A959,Activities!$A$2:$A$201,0))),""))</f>
        <v/>
      </c>
      <c r="H959" s="24" t="str">
        <f aca="false">IF($A959="","",IFERROR(IF(INDEX(Activities!$B$2:$B$201,MATCH($A959,Activities!$A$2:$A$201,0))="","",INDEX(Activities!$B$2:$B$201,MATCH($A959,Activities!$A$2:$A$201,0))),""))</f>
        <v/>
      </c>
      <c r="I959" s="24" t="str">
        <f aca="false">IF($B959="","",IFERROR(IF(INDEX(Students!$C$2:$C$301,MATCH($B959,Students!$A$2:$A$301,0))="","",INDEX(Students!$C$2:$C$301,MATCH($B959,Students!$A$2:$A$301,0))),""))</f>
        <v/>
      </c>
      <c r="J959" s="24" t="str">
        <f aca="false">IF($B959="","",IFERROR(IF(INDEX(Students!$B$2:$B$301,MATCH($B959,Students!$A$2:$A$301,0))="","",INDEX(Students!$B$2:$B$301,MATCH($B959,Students!$A$2:$A$301,0))),""))</f>
        <v/>
      </c>
      <c r="K959" s="25" t="str">
        <f aca="false">IF($A959="","",IF(D959="Withdrawn",0,IF(E959&lt;&gt;"",N(E959),IFERROR(N(INDEX(Activities!$I$2:$I$201,MATCH($A959,Activities!$A$2:$A$201,0))),0))))</f>
        <v/>
      </c>
      <c r="L959" s="24" t="str">
        <f aca="false">IF(AND($A959="",$B959=""),"",IF(ISNA(MATCH($A959,Activities!$A$2:$A$201,0)),"Unknown activity",IF(ISNA(MATCH($B959,Students!$A$2:$A$301,0)),"Unknown student",IF(D959="","No status",IF(COUNTIFS($A$2:$A$1001,$A959,$B$2:$B$1001,$B959)&gt;1,"Duplicate",IF(AND(D959&lt;&gt;"Withdrawn",G959&lt;&gt;"",COUNTIFS($B$2:$B$1001,$B959,$G$2:$G$1001,G959,$D$2:$D$1001,"&lt;&gt;Withdrawn")&gt;1),"Same-day clash","OK"))))))</f>
        <v/>
      </c>
    </row>
    <row r="960" customFormat="false" ht="15" hidden="false" customHeight="false" outlineLevel="0" collapsed="false">
      <c r="E960" s="26"/>
      <c r="G960" s="23" t="str">
        <f aca="false">IF($A960="","",IFERROR(IF(INDEX(Activities!$C$2:$C$201,MATCH($A960,Activities!$A$2:$A$201,0))="","",INDEX(Activities!$C$2:$C$201,MATCH($A960,Activities!$A$2:$A$201,0))),""))</f>
        <v/>
      </c>
      <c r="H960" s="24" t="str">
        <f aca="false">IF($A960="","",IFERROR(IF(INDEX(Activities!$B$2:$B$201,MATCH($A960,Activities!$A$2:$A$201,0))="","",INDEX(Activities!$B$2:$B$201,MATCH($A960,Activities!$A$2:$A$201,0))),""))</f>
        <v/>
      </c>
      <c r="I960" s="24" t="str">
        <f aca="false">IF($B960="","",IFERROR(IF(INDEX(Students!$C$2:$C$301,MATCH($B960,Students!$A$2:$A$301,0))="","",INDEX(Students!$C$2:$C$301,MATCH($B960,Students!$A$2:$A$301,0))),""))</f>
        <v/>
      </c>
      <c r="J960" s="24" t="str">
        <f aca="false">IF($B960="","",IFERROR(IF(INDEX(Students!$B$2:$B$301,MATCH($B960,Students!$A$2:$A$301,0))="","",INDEX(Students!$B$2:$B$301,MATCH($B960,Students!$A$2:$A$301,0))),""))</f>
        <v/>
      </c>
      <c r="K960" s="25" t="str">
        <f aca="false">IF($A960="","",IF(D960="Withdrawn",0,IF(E960&lt;&gt;"",N(E960),IFERROR(N(INDEX(Activities!$I$2:$I$201,MATCH($A960,Activities!$A$2:$A$201,0))),0))))</f>
        <v/>
      </c>
      <c r="L960" s="24" t="str">
        <f aca="false">IF(AND($A960="",$B960=""),"",IF(ISNA(MATCH($A960,Activities!$A$2:$A$201,0)),"Unknown activity",IF(ISNA(MATCH($B960,Students!$A$2:$A$301,0)),"Unknown student",IF(D960="","No status",IF(COUNTIFS($A$2:$A$1001,$A960,$B$2:$B$1001,$B960)&gt;1,"Duplicate",IF(AND(D960&lt;&gt;"Withdrawn",G960&lt;&gt;"",COUNTIFS($B$2:$B$1001,$B960,$G$2:$G$1001,G960,$D$2:$D$1001,"&lt;&gt;Withdrawn")&gt;1),"Same-day clash","OK"))))))</f>
        <v/>
      </c>
    </row>
    <row r="961" customFormat="false" ht="15" hidden="false" customHeight="false" outlineLevel="0" collapsed="false">
      <c r="E961" s="26"/>
      <c r="G961" s="23" t="str">
        <f aca="false">IF($A961="","",IFERROR(IF(INDEX(Activities!$C$2:$C$201,MATCH($A961,Activities!$A$2:$A$201,0))="","",INDEX(Activities!$C$2:$C$201,MATCH($A961,Activities!$A$2:$A$201,0))),""))</f>
        <v/>
      </c>
      <c r="H961" s="24" t="str">
        <f aca="false">IF($A961="","",IFERROR(IF(INDEX(Activities!$B$2:$B$201,MATCH($A961,Activities!$A$2:$A$201,0))="","",INDEX(Activities!$B$2:$B$201,MATCH($A961,Activities!$A$2:$A$201,0))),""))</f>
        <v/>
      </c>
      <c r="I961" s="24" t="str">
        <f aca="false">IF($B961="","",IFERROR(IF(INDEX(Students!$C$2:$C$301,MATCH($B961,Students!$A$2:$A$301,0))="","",INDEX(Students!$C$2:$C$301,MATCH($B961,Students!$A$2:$A$301,0))),""))</f>
        <v/>
      </c>
      <c r="J961" s="24" t="str">
        <f aca="false">IF($B961="","",IFERROR(IF(INDEX(Students!$B$2:$B$301,MATCH($B961,Students!$A$2:$A$301,0))="","",INDEX(Students!$B$2:$B$301,MATCH($B961,Students!$A$2:$A$301,0))),""))</f>
        <v/>
      </c>
      <c r="K961" s="25" t="str">
        <f aca="false">IF($A961="","",IF(D961="Withdrawn",0,IF(E961&lt;&gt;"",N(E961),IFERROR(N(INDEX(Activities!$I$2:$I$201,MATCH($A961,Activities!$A$2:$A$201,0))),0))))</f>
        <v/>
      </c>
      <c r="L961" s="24" t="str">
        <f aca="false">IF(AND($A961="",$B961=""),"",IF(ISNA(MATCH($A961,Activities!$A$2:$A$201,0)),"Unknown activity",IF(ISNA(MATCH($B961,Students!$A$2:$A$301,0)),"Unknown student",IF(D961="","No status",IF(COUNTIFS($A$2:$A$1001,$A961,$B$2:$B$1001,$B961)&gt;1,"Duplicate",IF(AND(D961&lt;&gt;"Withdrawn",G961&lt;&gt;"",COUNTIFS($B$2:$B$1001,$B961,$G$2:$G$1001,G961,$D$2:$D$1001,"&lt;&gt;Withdrawn")&gt;1),"Same-day clash","OK"))))))</f>
        <v/>
      </c>
    </row>
    <row r="962" customFormat="false" ht="15" hidden="false" customHeight="false" outlineLevel="0" collapsed="false">
      <c r="E962" s="26"/>
      <c r="G962" s="23" t="str">
        <f aca="false">IF($A962="","",IFERROR(IF(INDEX(Activities!$C$2:$C$201,MATCH($A962,Activities!$A$2:$A$201,0))="","",INDEX(Activities!$C$2:$C$201,MATCH($A962,Activities!$A$2:$A$201,0))),""))</f>
        <v/>
      </c>
      <c r="H962" s="24" t="str">
        <f aca="false">IF($A962="","",IFERROR(IF(INDEX(Activities!$B$2:$B$201,MATCH($A962,Activities!$A$2:$A$201,0))="","",INDEX(Activities!$B$2:$B$201,MATCH($A962,Activities!$A$2:$A$201,0))),""))</f>
        <v/>
      </c>
      <c r="I962" s="24" t="str">
        <f aca="false">IF($B962="","",IFERROR(IF(INDEX(Students!$C$2:$C$301,MATCH($B962,Students!$A$2:$A$301,0))="","",INDEX(Students!$C$2:$C$301,MATCH($B962,Students!$A$2:$A$301,0))),""))</f>
        <v/>
      </c>
      <c r="J962" s="24" t="str">
        <f aca="false">IF($B962="","",IFERROR(IF(INDEX(Students!$B$2:$B$301,MATCH($B962,Students!$A$2:$A$301,0))="","",INDEX(Students!$B$2:$B$301,MATCH($B962,Students!$A$2:$A$301,0))),""))</f>
        <v/>
      </c>
      <c r="K962" s="25" t="str">
        <f aca="false">IF($A962="","",IF(D962="Withdrawn",0,IF(E962&lt;&gt;"",N(E962),IFERROR(N(INDEX(Activities!$I$2:$I$201,MATCH($A962,Activities!$A$2:$A$201,0))),0))))</f>
        <v/>
      </c>
      <c r="L962" s="24" t="str">
        <f aca="false">IF(AND($A962="",$B962=""),"",IF(ISNA(MATCH($A962,Activities!$A$2:$A$201,0)),"Unknown activity",IF(ISNA(MATCH($B962,Students!$A$2:$A$301,0)),"Unknown student",IF(D962="","No status",IF(COUNTIFS($A$2:$A$1001,$A962,$B$2:$B$1001,$B962)&gt;1,"Duplicate",IF(AND(D962&lt;&gt;"Withdrawn",G962&lt;&gt;"",COUNTIFS($B$2:$B$1001,$B962,$G$2:$G$1001,G962,$D$2:$D$1001,"&lt;&gt;Withdrawn")&gt;1),"Same-day clash","OK"))))))</f>
        <v/>
      </c>
    </row>
    <row r="963" customFormat="false" ht="15" hidden="false" customHeight="false" outlineLevel="0" collapsed="false">
      <c r="E963" s="26"/>
      <c r="G963" s="23" t="str">
        <f aca="false">IF($A963="","",IFERROR(IF(INDEX(Activities!$C$2:$C$201,MATCH($A963,Activities!$A$2:$A$201,0))="","",INDEX(Activities!$C$2:$C$201,MATCH($A963,Activities!$A$2:$A$201,0))),""))</f>
        <v/>
      </c>
      <c r="H963" s="24" t="str">
        <f aca="false">IF($A963="","",IFERROR(IF(INDEX(Activities!$B$2:$B$201,MATCH($A963,Activities!$A$2:$A$201,0))="","",INDEX(Activities!$B$2:$B$201,MATCH($A963,Activities!$A$2:$A$201,0))),""))</f>
        <v/>
      </c>
      <c r="I963" s="24" t="str">
        <f aca="false">IF($B963="","",IFERROR(IF(INDEX(Students!$C$2:$C$301,MATCH($B963,Students!$A$2:$A$301,0))="","",INDEX(Students!$C$2:$C$301,MATCH($B963,Students!$A$2:$A$301,0))),""))</f>
        <v/>
      </c>
      <c r="J963" s="24" t="str">
        <f aca="false">IF($B963="","",IFERROR(IF(INDEX(Students!$B$2:$B$301,MATCH($B963,Students!$A$2:$A$301,0))="","",INDEX(Students!$B$2:$B$301,MATCH($B963,Students!$A$2:$A$301,0))),""))</f>
        <v/>
      </c>
      <c r="K963" s="25" t="str">
        <f aca="false">IF($A963="","",IF(D963="Withdrawn",0,IF(E963&lt;&gt;"",N(E963),IFERROR(N(INDEX(Activities!$I$2:$I$201,MATCH($A963,Activities!$A$2:$A$201,0))),0))))</f>
        <v/>
      </c>
      <c r="L963" s="24" t="str">
        <f aca="false">IF(AND($A963="",$B963=""),"",IF(ISNA(MATCH($A963,Activities!$A$2:$A$201,0)),"Unknown activity",IF(ISNA(MATCH($B963,Students!$A$2:$A$301,0)),"Unknown student",IF(D963="","No status",IF(COUNTIFS($A$2:$A$1001,$A963,$B$2:$B$1001,$B963)&gt;1,"Duplicate",IF(AND(D963&lt;&gt;"Withdrawn",G963&lt;&gt;"",COUNTIFS($B$2:$B$1001,$B963,$G$2:$G$1001,G963,$D$2:$D$1001,"&lt;&gt;Withdrawn")&gt;1),"Same-day clash","OK"))))))</f>
        <v/>
      </c>
    </row>
    <row r="964" customFormat="false" ht="15" hidden="false" customHeight="false" outlineLevel="0" collapsed="false">
      <c r="E964" s="26"/>
      <c r="G964" s="23" t="str">
        <f aca="false">IF($A964="","",IFERROR(IF(INDEX(Activities!$C$2:$C$201,MATCH($A964,Activities!$A$2:$A$201,0))="","",INDEX(Activities!$C$2:$C$201,MATCH($A964,Activities!$A$2:$A$201,0))),""))</f>
        <v/>
      </c>
      <c r="H964" s="24" t="str">
        <f aca="false">IF($A964="","",IFERROR(IF(INDEX(Activities!$B$2:$B$201,MATCH($A964,Activities!$A$2:$A$201,0))="","",INDEX(Activities!$B$2:$B$201,MATCH($A964,Activities!$A$2:$A$201,0))),""))</f>
        <v/>
      </c>
      <c r="I964" s="24" t="str">
        <f aca="false">IF($B964="","",IFERROR(IF(INDEX(Students!$C$2:$C$301,MATCH($B964,Students!$A$2:$A$301,0))="","",INDEX(Students!$C$2:$C$301,MATCH($B964,Students!$A$2:$A$301,0))),""))</f>
        <v/>
      </c>
      <c r="J964" s="24" t="str">
        <f aca="false">IF($B964="","",IFERROR(IF(INDEX(Students!$B$2:$B$301,MATCH($B964,Students!$A$2:$A$301,0))="","",INDEX(Students!$B$2:$B$301,MATCH($B964,Students!$A$2:$A$301,0))),""))</f>
        <v/>
      </c>
      <c r="K964" s="25" t="str">
        <f aca="false">IF($A964="","",IF(D964="Withdrawn",0,IF(E964&lt;&gt;"",N(E964),IFERROR(N(INDEX(Activities!$I$2:$I$201,MATCH($A964,Activities!$A$2:$A$201,0))),0))))</f>
        <v/>
      </c>
      <c r="L964" s="24" t="str">
        <f aca="false">IF(AND($A964="",$B964=""),"",IF(ISNA(MATCH($A964,Activities!$A$2:$A$201,0)),"Unknown activity",IF(ISNA(MATCH($B964,Students!$A$2:$A$301,0)),"Unknown student",IF(D964="","No status",IF(COUNTIFS($A$2:$A$1001,$A964,$B$2:$B$1001,$B964)&gt;1,"Duplicate",IF(AND(D964&lt;&gt;"Withdrawn",G964&lt;&gt;"",COUNTIFS($B$2:$B$1001,$B964,$G$2:$G$1001,G964,$D$2:$D$1001,"&lt;&gt;Withdrawn")&gt;1),"Same-day clash","OK"))))))</f>
        <v/>
      </c>
    </row>
    <row r="965" customFormat="false" ht="15" hidden="false" customHeight="false" outlineLevel="0" collapsed="false">
      <c r="E965" s="26"/>
      <c r="G965" s="23" t="str">
        <f aca="false">IF($A965="","",IFERROR(IF(INDEX(Activities!$C$2:$C$201,MATCH($A965,Activities!$A$2:$A$201,0))="","",INDEX(Activities!$C$2:$C$201,MATCH($A965,Activities!$A$2:$A$201,0))),""))</f>
        <v/>
      </c>
      <c r="H965" s="24" t="str">
        <f aca="false">IF($A965="","",IFERROR(IF(INDEX(Activities!$B$2:$B$201,MATCH($A965,Activities!$A$2:$A$201,0))="","",INDEX(Activities!$B$2:$B$201,MATCH($A965,Activities!$A$2:$A$201,0))),""))</f>
        <v/>
      </c>
      <c r="I965" s="24" t="str">
        <f aca="false">IF($B965="","",IFERROR(IF(INDEX(Students!$C$2:$C$301,MATCH($B965,Students!$A$2:$A$301,0))="","",INDEX(Students!$C$2:$C$301,MATCH($B965,Students!$A$2:$A$301,0))),""))</f>
        <v/>
      </c>
      <c r="J965" s="24" t="str">
        <f aca="false">IF($B965="","",IFERROR(IF(INDEX(Students!$B$2:$B$301,MATCH($B965,Students!$A$2:$A$301,0))="","",INDEX(Students!$B$2:$B$301,MATCH($B965,Students!$A$2:$A$301,0))),""))</f>
        <v/>
      </c>
      <c r="K965" s="25" t="str">
        <f aca="false">IF($A965="","",IF(D965="Withdrawn",0,IF(E965&lt;&gt;"",N(E965),IFERROR(N(INDEX(Activities!$I$2:$I$201,MATCH($A965,Activities!$A$2:$A$201,0))),0))))</f>
        <v/>
      </c>
      <c r="L965" s="24" t="str">
        <f aca="false">IF(AND($A965="",$B965=""),"",IF(ISNA(MATCH($A965,Activities!$A$2:$A$201,0)),"Unknown activity",IF(ISNA(MATCH($B965,Students!$A$2:$A$301,0)),"Unknown student",IF(D965="","No status",IF(COUNTIFS($A$2:$A$1001,$A965,$B$2:$B$1001,$B965)&gt;1,"Duplicate",IF(AND(D965&lt;&gt;"Withdrawn",G965&lt;&gt;"",COUNTIFS($B$2:$B$1001,$B965,$G$2:$G$1001,G965,$D$2:$D$1001,"&lt;&gt;Withdrawn")&gt;1),"Same-day clash","OK"))))))</f>
        <v/>
      </c>
    </row>
    <row r="966" customFormat="false" ht="15" hidden="false" customHeight="false" outlineLevel="0" collapsed="false">
      <c r="E966" s="26"/>
      <c r="G966" s="23" t="str">
        <f aca="false">IF($A966="","",IFERROR(IF(INDEX(Activities!$C$2:$C$201,MATCH($A966,Activities!$A$2:$A$201,0))="","",INDEX(Activities!$C$2:$C$201,MATCH($A966,Activities!$A$2:$A$201,0))),""))</f>
        <v/>
      </c>
      <c r="H966" s="24" t="str">
        <f aca="false">IF($A966="","",IFERROR(IF(INDEX(Activities!$B$2:$B$201,MATCH($A966,Activities!$A$2:$A$201,0))="","",INDEX(Activities!$B$2:$B$201,MATCH($A966,Activities!$A$2:$A$201,0))),""))</f>
        <v/>
      </c>
      <c r="I966" s="24" t="str">
        <f aca="false">IF($B966="","",IFERROR(IF(INDEX(Students!$C$2:$C$301,MATCH($B966,Students!$A$2:$A$301,0))="","",INDEX(Students!$C$2:$C$301,MATCH($B966,Students!$A$2:$A$301,0))),""))</f>
        <v/>
      </c>
      <c r="J966" s="24" t="str">
        <f aca="false">IF($B966="","",IFERROR(IF(INDEX(Students!$B$2:$B$301,MATCH($B966,Students!$A$2:$A$301,0))="","",INDEX(Students!$B$2:$B$301,MATCH($B966,Students!$A$2:$A$301,0))),""))</f>
        <v/>
      </c>
      <c r="K966" s="25" t="str">
        <f aca="false">IF($A966="","",IF(D966="Withdrawn",0,IF(E966&lt;&gt;"",N(E966),IFERROR(N(INDEX(Activities!$I$2:$I$201,MATCH($A966,Activities!$A$2:$A$201,0))),0))))</f>
        <v/>
      </c>
      <c r="L966" s="24" t="str">
        <f aca="false">IF(AND($A966="",$B966=""),"",IF(ISNA(MATCH($A966,Activities!$A$2:$A$201,0)),"Unknown activity",IF(ISNA(MATCH($B966,Students!$A$2:$A$301,0)),"Unknown student",IF(D966="","No status",IF(COUNTIFS($A$2:$A$1001,$A966,$B$2:$B$1001,$B966)&gt;1,"Duplicate",IF(AND(D966&lt;&gt;"Withdrawn",G966&lt;&gt;"",COUNTIFS($B$2:$B$1001,$B966,$G$2:$G$1001,G966,$D$2:$D$1001,"&lt;&gt;Withdrawn")&gt;1),"Same-day clash","OK"))))))</f>
        <v/>
      </c>
    </row>
    <row r="967" customFormat="false" ht="15" hidden="false" customHeight="false" outlineLevel="0" collapsed="false">
      <c r="E967" s="26"/>
      <c r="G967" s="23" t="str">
        <f aca="false">IF($A967="","",IFERROR(IF(INDEX(Activities!$C$2:$C$201,MATCH($A967,Activities!$A$2:$A$201,0))="","",INDEX(Activities!$C$2:$C$201,MATCH($A967,Activities!$A$2:$A$201,0))),""))</f>
        <v/>
      </c>
      <c r="H967" s="24" t="str">
        <f aca="false">IF($A967="","",IFERROR(IF(INDEX(Activities!$B$2:$B$201,MATCH($A967,Activities!$A$2:$A$201,0))="","",INDEX(Activities!$B$2:$B$201,MATCH($A967,Activities!$A$2:$A$201,0))),""))</f>
        <v/>
      </c>
      <c r="I967" s="24" t="str">
        <f aca="false">IF($B967="","",IFERROR(IF(INDEX(Students!$C$2:$C$301,MATCH($B967,Students!$A$2:$A$301,0))="","",INDEX(Students!$C$2:$C$301,MATCH($B967,Students!$A$2:$A$301,0))),""))</f>
        <v/>
      </c>
      <c r="J967" s="24" t="str">
        <f aca="false">IF($B967="","",IFERROR(IF(INDEX(Students!$B$2:$B$301,MATCH($B967,Students!$A$2:$A$301,0))="","",INDEX(Students!$B$2:$B$301,MATCH($B967,Students!$A$2:$A$301,0))),""))</f>
        <v/>
      </c>
      <c r="K967" s="25" t="str">
        <f aca="false">IF($A967="","",IF(D967="Withdrawn",0,IF(E967&lt;&gt;"",N(E967),IFERROR(N(INDEX(Activities!$I$2:$I$201,MATCH($A967,Activities!$A$2:$A$201,0))),0))))</f>
        <v/>
      </c>
      <c r="L967" s="24" t="str">
        <f aca="false">IF(AND($A967="",$B967=""),"",IF(ISNA(MATCH($A967,Activities!$A$2:$A$201,0)),"Unknown activity",IF(ISNA(MATCH($B967,Students!$A$2:$A$301,0)),"Unknown student",IF(D967="","No status",IF(COUNTIFS($A$2:$A$1001,$A967,$B$2:$B$1001,$B967)&gt;1,"Duplicate",IF(AND(D967&lt;&gt;"Withdrawn",G967&lt;&gt;"",COUNTIFS($B$2:$B$1001,$B967,$G$2:$G$1001,G967,$D$2:$D$1001,"&lt;&gt;Withdrawn")&gt;1),"Same-day clash","OK"))))))</f>
        <v/>
      </c>
    </row>
    <row r="968" customFormat="false" ht="15" hidden="false" customHeight="false" outlineLevel="0" collapsed="false">
      <c r="E968" s="26"/>
      <c r="G968" s="23" t="str">
        <f aca="false">IF($A968="","",IFERROR(IF(INDEX(Activities!$C$2:$C$201,MATCH($A968,Activities!$A$2:$A$201,0))="","",INDEX(Activities!$C$2:$C$201,MATCH($A968,Activities!$A$2:$A$201,0))),""))</f>
        <v/>
      </c>
      <c r="H968" s="24" t="str">
        <f aca="false">IF($A968="","",IFERROR(IF(INDEX(Activities!$B$2:$B$201,MATCH($A968,Activities!$A$2:$A$201,0))="","",INDEX(Activities!$B$2:$B$201,MATCH($A968,Activities!$A$2:$A$201,0))),""))</f>
        <v/>
      </c>
      <c r="I968" s="24" t="str">
        <f aca="false">IF($B968="","",IFERROR(IF(INDEX(Students!$C$2:$C$301,MATCH($B968,Students!$A$2:$A$301,0))="","",INDEX(Students!$C$2:$C$301,MATCH($B968,Students!$A$2:$A$301,0))),""))</f>
        <v/>
      </c>
      <c r="J968" s="24" t="str">
        <f aca="false">IF($B968="","",IFERROR(IF(INDEX(Students!$B$2:$B$301,MATCH($B968,Students!$A$2:$A$301,0))="","",INDEX(Students!$B$2:$B$301,MATCH($B968,Students!$A$2:$A$301,0))),""))</f>
        <v/>
      </c>
      <c r="K968" s="25" t="str">
        <f aca="false">IF($A968="","",IF(D968="Withdrawn",0,IF(E968&lt;&gt;"",N(E968),IFERROR(N(INDEX(Activities!$I$2:$I$201,MATCH($A968,Activities!$A$2:$A$201,0))),0))))</f>
        <v/>
      </c>
      <c r="L968" s="24" t="str">
        <f aca="false">IF(AND($A968="",$B968=""),"",IF(ISNA(MATCH($A968,Activities!$A$2:$A$201,0)),"Unknown activity",IF(ISNA(MATCH($B968,Students!$A$2:$A$301,0)),"Unknown student",IF(D968="","No status",IF(COUNTIFS($A$2:$A$1001,$A968,$B$2:$B$1001,$B968)&gt;1,"Duplicate",IF(AND(D968&lt;&gt;"Withdrawn",G968&lt;&gt;"",COUNTIFS($B$2:$B$1001,$B968,$G$2:$G$1001,G968,$D$2:$D$1001,"&lt;&gt;Withdrawn")&gt;1),"Same-day clash","OK"))))))</f>
        <v/>
      </c>
    </row>
    <row r="969" customFormat="false" ht="15" hidden="false" customHeight="false" outlineLevel="0" collapsed="false">
      <c r="E969" s="26"/>
      <c r="G969" s="23" t="str">
        <f aca="false">IF($A969="","",IFERROR(IF(INDEX(Activities!$C$2:$C$201,MATCH($A969,Activities!$A$2:$A$201,0))="","",INDEX(Activities!$C$2:$C$201,MATCH($A969,Activities!$A$2:$A$201,0))),""))</f>
        <v/>
      </c>
      <c r="H969" s="24" t="str">
        <f aca="false">IF($A969="","",IFERROR(IF(INDEX(Activities!$B$2:$B$201,MATCH($A969,Activities!$A$2:$A$201,0))="","",INDEX(Activities!$B$2:$B$201,MATCH($A969,Activities!$A$2:$A$201,0))),""))</f>
        <v/>
      </c>
      <c r="I969" s="24" t="str">
        <f aca="false">IF($B969="","",IFERROR(IF(INDEX(Students!$C$2:$C$301,MATCH($B969,Students!$A$2:$A$301,0))="","",INDEX(Students!$C$2:$C$301,MATCH($B969,Students!$A$2:$A$301,0))),""))</f>
        <v/>
      </c>
      <c r="J969" s="24" t="str">
        <f aca="false">IF($B969="","",IFERROR(IF(INDEX(Students!$B$2:$B$301,MATCH($B969,Students!$A$2:$A$301,0))="","",INDEX(Students!$B$2:$B$301,MATCH($B969,Students!$A$2:$A$301,0))),""))</f>
        <v/>
      </c>
      <c r="K969" s="25" t="str">
        <f aca="false">IF($A969="","",IF(D969="Withdrawn",0,IF(E969&lt;&gt;"",N(E969),IFERROR(N(INDEX(Activities!$I$2:$I$201,MATCH($A969,Activities!$A$2:$A$201,0))),0))))</f>
        <v/>
      </c>
      <c r="L969" s="24" t="str">
        <f aca="false">IF(AND($A969="",$B969=""),"",IF(ISNA(MATCH($A969,Activities!$A$2:$A$201,0)),"Unknown activity",IF(ISNA(MATCH($B969,Students!$A$2:$A$301,0)),"Unknown student",IF(D969="","No status",IF(COUNTIFS($A$2:$A$1001,$A969,$B$2:$B$1001,$B969)&gt;1,"Duplicate",IF(AND(D969&lt;&gt;"Withdrawn",G969&lt;&gt;"",COUNTIFS($B$2:$B$1001,$B969,$G$2:$G$1001,G969,$D$2:$D$1001,"&lt;&gt;Withdrawn")&gt;1),"Same-day clash","OK"))))))</f>
        <v/>
      </c>
    </row>
    <row r="970" customFormat="false" ht="15" hidden="false" customHeight="false" outlineLevel="0" collapsed="false">
      <c r="E970" s="26"/>
      <c r="G970" s="23" t="str">
        <f aca="false">IF($A970="","",IFERROR(IF(INDEX(Activities!$C$2:$C$201,MATCH($A970,Activities!$A$2:$A$201,0))="","",INDEX(Activities!$C$2:$C$201,MATCH($A970,Activities!$A$2:$A$201,0))),""))</f>
        <v/>
      </c>
      <c r="H970" s="24" t="str">
        <f aca="false">IF($A970="","",IFERROR(IF(INDEX(Activities!$B$2:$B$201,MATCH($A970,Activities!$A$2:$A$201,0))="","",INDEX(Activities!$B$2:$B$201,MATCH($A970,Activities!$A$2:$A$201,0))),""))</f>
        <v/>
      </c>
      <c r="I970" s="24" t="str">
        <f aca="false">IF($B970="","",IFERROR(IF(INDEX(Students!$C$2:$C$301,MATCH($B970,Students!$A$2:$A$301,0))="","",INDEX(Students!$C$2:$C$301,MATCH($B970,Students!$A$2:$A$301,0))),""))</f>
        <v/>
      </c>
      <c r="J970" s="24" t="str">
        <f aca="false">IF($B970="","",IFERROR(IF(INDEX(Students!$B$2:$B$301,MATCH($B970,Students!$A$2:$A$301,0))="","",INDEX(Students!$B$2:$B$301,MATCH($B970,Students!$A$2:$A$301,0))),""))</f>
        <v/>
      </c>
      <c r="K970" s="25" t="str">
        <f aca="false">IF($A970="","",IF(D970="Withdrawn",0,IF(E970&lt;&gt;"",N(E970),IFERROR(N(INDEX(Activities!$I$2:$I$201,MATCH($A970,Activities!$A$2:$A$201,0))),0))))</f>
        <v/>
      </c>
      <c r="L970" s="24" t="str">
        <f aca="false">IF(AND($A970="",$B970=""),"",IF(ISNA(MATCH($A970,Activities!$A$2:$A$201,0)),"Unknown activity",IF(ISNA(MATCH($B970,Students!$A$2:$A$301,0)),"Unknown student",IF(D970="","No status",IF(COUNTIFS($A$2:$A$1001,$A970,$B$2:$B$1001,$B970)&gt;1,"Duplicate",IF(AND(D970&lt;&gt;"Withdrawn",G970&lt;&gt;"",COUNTIFS($B$2:$B$1001,$B970,$G$2:$G$1001,G970,$D$2:$D$1001,"&lt;&gt;Withdrawn")&gt;1),"Same-day clash","OK"))))))</f>
        <v/>
      </c>
    </row>
    <row r="971" customFormat="false" ht="15" hidden="false" customHeight="false" outlineLevel="0" collapsed="false">
      <c r="E971" s="26"/>
      <c r="G971" s="23" t="str">
        <f aca="false">IF($A971="","",IFERROR(IF(INDEX(Activities!$C$2:$C$201,MATCH($A971,Activities!$A$2:$A$201,0))="","",INDEX(Activities!$C$2:$C$201,MATCH($A971,Activities!$A$2:$A$201,0))),""))</f>
        <v/>
      </c>
      <c r="H971" s="24" t="str">
        <f aca="false">IF($A971="","",IFERROR(IF(INDEX(Activities!$B$2:$B$201,MATCH($A971,Activities!$A$2:$A$201,0))="","",INDEX(Activities!$B$2:$B$201,MATCH($A971,Activities!$A$2:$A$201,0))),""))</f>
        <v/>
      </c>
      <c r="I971" s="24" t="str">
        <f aca="false">IF($B971="","",IFERROR(IF(INDEX(Students!$C$2:$C$301,MATCH($B971,Students!$A$2:$A$301,0))="","",INDEX(Students!$C$2:$C$301,MATCH($B971,Students!$A$2:$A$301,0))),""))</f>
        <v/>
      </c>
      <c r="J971" s="24" t="str">
        <f aca="false">IF($B971="","",IFERROR(IF(INDEX(Students!$B$2:$B$301,MATCH($B971,Students!$A$2:$A$301,0))="","",INDEX(Students!$B$2:$B$301,MATCH($B971,Students!$A$2:$A$301,0))),""))</f>
        <v/>
      </c>
      <c r="K971" s="25" t="str">
        <f aca="false">IF($A971="","",IF(D971="Withdrawn",0,IF(E971&lt;&gt;"",N(E971),IFERROR(N(INDEX(Activities!$I$2:$I$201,MATCH($A971,Activities!$A$2:$A$201,0))),0))))</f>
        <v/>
      </c>
      <c r="L971" s="24" t="str">
        <f aca="false">IF(AND($A971="",$B971=""),"",IF(ISNA(MATCH($A971,Activities!$A$2:$A$201,0)),"Unknown activity",IF(ISNA(MATCH($B971,Students!$A$2:$A$301,0)),"Unknown student",IF(D971="","No status",IF(COUNTIFS($A$2:$A$1001,$A971,$B$2:$B$1001,$B971)&gt;1,"Duplicate",IF(AND(D971&lt;&gt;"Withdrawn",G971&lt;&gt;"",COUNTIFS($B$2:$B$1001,$B971,$G$2:$G$1001,G971,$D$2:$D$1001,"&lt;&gt;Withdrawn")&gt;1),"Same-day clash","OK"))))))</f>
        <v/>
      </c>
    </row>
    <row r="972" customFormat="false" ht="15" hidden="false" customHeight="false" outlineLevel="0" collapsed="false">
      <c r="E972" s="26"/>
      <c r="G972" s="23" t="str">
        <f aca="false">IF($A972="","",IFERROR(IF(INDEX(Activities!$C$2:$C$201,MATCH($A972,Activities!$A$2:$A$201,0))="","",INDEX(Activities!$C$2:$C$201,MATCH($A972,Activities!$A$2:$A$201,0))),""))</f>
        <v/>
      </c>
      <c r="H972" s="24" t="str">
        <f aca="false">IF($A972="","",IFERROR(IF(INDEX(Activities!$B$2:$B$201,MATCH($A972,Activities!$A$2:$A$201,0))="","",INDEX(Activities!$B$2:$B$201,MATCH($A972,Activities!$A$2:$A$201,0))),""))</f>
        <v/>
      </c>
      <c r="I972" s="24" t="str">
        <f aca="false">IF($B972="","",IFERROR(IF(INDEX(Students!$C$2:$C$301,MATCH($B972,Students!$A$2:$A$301,0))="","",INDEX(Students!$C$2:$C$301,MATCH($B972,Students!$A$2:$A$301,0))),""))</f>
        <v/>
      </c>
      <c r="J972" s="24" t="str">
        <f aca="false">IF($B972="","",IFERROR(IF(INDEX(Students!$B$2:$B$301,MATCH($B972,Students!$A$2:$A$301,0))="","",INDEX(Students!$B$2:$B$301,MATCH($B972,Students!$A$2:$A$301,0))),""))</f>
        <v/>
      </c>
      <c r="K972" s="25" t="str">
        <f aca="false">IF($A972="","",IF(D972="Withdrawn",0,IF(E972&lt;&gt;"",N(E972),IFERROR(N(INDEX(Activities!$I$2:$I$201,MATCH($A972,Activities!$A$2:$A$201,0))),0))))</f>
        <v/>
      </c>
      <c r="L972" s="24" t="str">
        <f aca="false">IF(AND($A972="",$B972=""),"",IF(ISNA(MATCH($A972,Activities!$A$2:$A$201,0)),"Unknown activity",IF(ISNA(MATCH($B972,Students!$A$2:$A$301,0)),"Unknown student",IF(D972="","No status",IF(COUNTIFS($A$2:$A$1001,$A972,$B$2:$B$1001,$B972)&gt;1,"Duplicate",IF(AND(D972&lt;&gt;"Withdrawn",G972&lt;&gt;"",COUNTIFS($B$2:$B$1001,$B972,$G$2:$G$1001,G972,$D$2:$D$1001,"&lt;&gt;Withdrawn")&gt;1),"Same-day clash","OK"))))))</f>
        <v/>
      </c>
    </row>
    <row r="973" customFormat="false" ht="15" hidden="false" customHeight="false" outlineLevel="0" collapsed="false">
      <c r="E973" s="26"/>
      <c r="G973" s="23" t="str">
        <f aca="false">IF($A973="","",IFERROR(IF(INDEX(Activities!$C$2:$C$201,MATCH($A973,Activities!$A$2:$A$201,0))="","",INDEX(Activities!$C$2:$C$201,MATCH($A973,Activities!$A$2:$A$201,0))),""))</f>
        <v/>
      </c>
      <c r="H973" s="24" t="str">
        <f aca="false">IF($A973="","",IFERROR(IF(INDEX(Activities!$B$2:$B$201,MATCH($A973,Activities!$A$2:$A$201,0))="","",INDEX(Activities!$B$2:$B$201,MATCH($A973,Activities!$A$2:$A$201,0))),""))</f>
        <v/>
      </c>
      <c r="I973" s="24" t="str">
        <f aca="false">IF($B973="","",IFERROR(IF(INDEX(Students!$C$2:$C$301,MATCH($B973,Students!$A$2:$A$301,0))="","",INDEX(Students!$C$2:$C$301,MATCH($B973,Students!$A$2:$A$301,0))),""))</f>
        <v/>
      </c>
      <c r="J973" s="24" t="str">
        <f aca="false">IF($B973="","",IFERROR(IF(INDEX(Students!$B$2:$B$301,MATCH($B973,Students!$A$2:$A$301,0))="","",INDEX(Students!$B$2:$B$301,MATCH($B973,Students!$A$2:$A$301,0))),""))</f>
        <v/>
      </c>
      <c r="K973" s="25" t="str">
        <f aca="false">IF($A973="","",IF(D973="Withdrawn",0,IF(E973&lt;&gt;"",N(E973),IFERROR(N(INDEX(Activities!$I$2:$I$201,MATCH($A973,Activities!$A$2:$A$201,0))),0))))</f>
        <v/>
      </c>
      <c r="L973" s="24" t="str">
        <f aca="false">IF(AND($A973="",$B973=""),"",IF(ISNA(MATCH($A973,Activities!$A$2:$A$201,0)),"Unknown activity",IF(ISNA(MATCH($B973,Students!$A$2:$A$301,0)),"Unknown student",IF(D973="","No status",IF(COUNTIFS($A$2:$A$1001,$A973,$B$2:$B$1001,$B973)&gt;1,"Duplicate",IF(AND(D973&lt;&gt;"Withdrawn",G973&lt;&gt;"",COUNTIFS($B$2:$B$1001,$B973,$G$2:$G$1001,G973,$D$2:$D$1001,"&lt;&gt;Withdrawn")&gt;1),"Same-day clash","OK"))))))</f>
        <v/>
      </c>
    </row>
    <row r="974" customFormat="false" ht="15" hidden="false" customHeight="false" outlineLevel="0" collapsed="false">
      <c r="E974" s="26"/>
      <c r="G974" s="23" t="str">
        <f aca="false">IF($A974="","",IFERROR(IF(INDEX(Activities!$C$2:$C$201,MATCH($A974,Activities!$A$2:$A$201,0))="","",INDEX(Activities!$C$2:$C$201,MATCH($A974,Activities!$A$2:$A$201,0))),""))</f>
        <v/>
      </c>
      <c r="H974" s="24" t="str">
        <f aca="false">IF($A974="","",IFERROR(IF(INDEX(Activities!$B$2:$B$201,MATCH($A974,Activities!$A$2:$A$201,0))="","",INDEX(Activities!$B$2:$B$201,MATCH($A974,Activities!$A$2:$A$201,0))),""))</f>
        <v/>
      </c>
      <c r="I974" s="24" t="str">
        <f aca="false">IF($B974="","",IFERROR(IF(INDEX(Students!$C$2:$C$301,MATCH($B974,Students!$A$2:$A$301,0))="","",INDEX(Students!$C$2:$C$301,MATCH($B974,Students!$A$2:$A$301,0))),""))</f>
        <v/>
      </c>
      <c r="J974" s="24" t="str">
        <f aca="false">IF($B974="","",IFERROR(IF(INDEX(Students!$B$2:$B$301,MATCH($B974,Students!$A$2:$A$301,0))="","",INDEX(Students!$B$2:$B$301,MATCH($B974,Students!$A$2:$A$301,0))),""))</f>
        <v/>
      </c>
      <c r="K974" s="25" t="str">
        <f aca="false">IF($A974="","",IF(D974="Withdrawn",0,IF(E974&lt;&gt;"",N(E974),IFERROR(N(INDEX(Activities!$I$2:$I$201,MATCH($A974,Activities!$A$2:$A$201,0))),0))))</f>
        <v/>
      </c>
      <c r="L974" s="24" t="str">
        <f aca="false">IF(AND($A974="",$B974=""),"",IF(ISNA(MATCH($A974,Activities!$A$2:$A$201,0)),"Unknown activity",IF(ISNA(MATCH($B974,Students!$A$2:$A$301,0)),"Unknown student",IF(D974="","No status",IF(COUNTIFS($A$2:$A$1001,$A974,$B$2:$B$1001,$B974)&gt;1,"Duplicate",IF(AND(D974&lt;&gt;"Withdrawn",G974&lt;&gt;"",COUNTIFS($B$2:$B$1001,$B974,$G$2:$G$1001,G974,$D$2:$D$1001,"&lt;&gt;Withdrawn")&gt;1),"Same-day clash","OK"))))))</f>
        <v/>
      </c>
    </row>
    <row r="975" customFormat="false" ht="15" hidden="false" customHeight="false" outlineLevel="0" collapsed="false">
      <c r="E975" s="26"/>
      <c r="G975" s="23" t="str">
        <f aca="false">IF($A975="","",IFERROR(IF(INDEX(Activities!$C$2:$C$201,MATCH($A975,Activities!$A$2:$A$201,0))="","",INDEX(Activities!$C$2:$C$201,MATCH($A975,Activities!$A$2:$A$201,0))),""))</f>
        <v/>
      </c>
      <c r="H975" s="24" t="str">
        <f aca="false">IF($A975="","",IFERROR(IF(INDEX(Activities!$B$2:$B$201,MATCH($A975,Activities!$A$2:$A$201,0))="","",INDEX(Activities!$B$2:$B$201,MATCH($A975,Activities!$A$2:$A$201,0))),""))</f>
        <v/>
      </c>
      <c r="I975" s="24" t="str">
        <f aca="false">IF($B975="","",IFERROR(IF(INDEX(Students!$C$2:$C$301,MATCH($B975,Students!$A$2:$A$301,0))="","",INDEX(Students!$C$2:$C$301,MATCH($B975,Students!$A$2:$A$301,0))),""))</f>
        <v/>
      </c>
      <c r="J975" s="24" t="str">
        <f aca="false">IF($B975="","",IFERROR(IF(INDEX(Students!$B$2:$B$301,MATCH($B975,Students!$A$2:$A$301,0))="","",INDEX(Students!$B$2:$B$301,MATCH($B975,Students!$A$2:$A$301,0))),""))</f>
        <v/>
      </c>
      <c r="K975" s="25" t="str">
        <f aca="false">IF($A975="","",IF(D975="Withdrawn",0,IF(E975&lt;&gt;"",N(E975),IFERROR(N(INDEX(Activities!$I$2:$I$201,MATCH($A975,Activities!$A$2:$A$201,0))),0))))</f>
        <v/>
      </c>
      <c r="L975" s="24" t="str">
        <f aca="false">IF(AND($A975="",$B975=""),"",IF(ISNA(MATCH($A975,Activities!$A$2:$A$201,0)),"Unknown activity",IF(ISNA(MATCH($B975,Students!$A$2:$A$301,0)),"Unknown student",IF(D975="","No status",IF(COUNTIFS($A$2:$A$1001,$A975,$B$2:$B$1001,$B975)&gt;1,"Duplicate",IF(AND(D975&lt;&gt;"Withdrawn",G975&lt;&gt;"",COUNTIFS($B$2:$B$1001,$B975,$G$2:$G$1001,G975,$D$2:$D$1001,"&lt;&gt;Withdrawn")&gt;1),"Same-day clash","OK"))))))</f>
        <v/>
      </c>
    </row>
    <row r="976" customFormat="false" ht="15" hidden="false" customHeight="false" outlineLevel="0" collapsed="false">
      <c r="E976" s="26"/>
      <c r="G976" s="23" t="str">
        <f aca="false">IF($A976="","",IFERROR(IF(INDEX(Activities!$C$2:$C$201,MATCH($A976,Activities!$A$2:$A$201,0))="","",INDEX(Activities!$C$2:$C$201,MATCH($A976,Activities!$A$2:$A$201,0))),""))</f>
        <v/>
      </c>
      <c r="H976" s="24" t="str">
        <f aca="false">IF($A976="","",IFERROR(IF(INDEX(Activities!$B$2:$B$201,MATCH($A976,Activities!$A$2:$A$201,0))="","",INDEX(Activities!$B$2:$B$201,MATCH($A976,Activities!$A$2:$A$201,0))),""))</f>
        <v/>
      </c>
      <c r="I976" s="24" t="str">
        <f aca="false">IF($B976="","",IFERROR(IF(INDEX(Students!$C$2:$C$301,MATCH($B976,Students!$A$2:$A$301,0))="","",INDEX(Students!$C$2:$C$301,MATCH($B976,Students!$A$2:$A$301,0))),""))</f>
        <v/>
      </c>
      <c r="J976" s="24" t="str">
        <f aca="false">IF($B976="","",IFERROR(IF(INDEX(Students!$B$2:$B$301,MATCH($B976,Students!$A$2:$A$301,0))="","",INDEX(Students!$B$2:$B$301,MATCH($B976,Students!$A$2:$A$301,0))),""))</f>
        <v/>
      </c>
      <c r="K976" s="25" t="str">
        <f aca="false">IF($A976="","",IF(D976="Withdrawn",0,IF(E976&lt;&gt;"",N(E976),IFERROR(N(INDEX(Activities!$I$2:$I$201,MATCH($A976,Activities!$A$2:$A$201,0))),0))))</f>
        <v/>
      </c>
      <c r="L976" s="24" t="str">
        <f aca="false">IF(AND($A976="",$B976=""),"",IF(ISNA(MATCH($A976,Activities!$A$2:$A$201,0)),"Unknown activity",IF(ISNA(MATCH($B976,Students!$A$2:$A$301,0)),"Unknown student",IF(D976="","No status",IF(COUNTIFS($A$2:$A$1001,$A976,$B$2:$B$1001,$B976)&gt;1,"Duplicate",IF(AND(D976&lt;&gt;"Withdrawn",G976&lt;&gt;"",COUNTIFS($B$2:$B$1001,$B976,$G$2:$G$1001,G976,$D$2:$D$1001,"&lt;&gt;Withdrawn")&gt;1),"Same-day clash","OK"))))))</f>
        <v/>
      </c>
    </row>
    <row r="977" customFormat="false" ht="15" hidden="false" customHeight="false" outlineLevel="0" collapsed="false">
      <c r="E977" s="26"/>
      <c r="G977" s="23" t="str">
        <f aca="false">IF($A977="","",IFERROR(IF(INDEX(Activities!$C$2:$C$201,MATCH($A977,Activities!$A$2:$A$201,0))="","",INDEX(Activities!$C$2:$C$201,MATCH($A977,Activities!$A$2:$A$201,0))),""))</f>
        <v/>
      </c>
      <c r="H977" s="24" t="str">
        <f aca="false">IF($A977="","",IFERROR(IF(INDEX(Activities!$B$2:$B$201,MATCH($A977,Activities!$A$2:$A$201,0))="","",INDEX(Activities!$B$2:$B$201,MATCH($A977,Activities!$A$2:$A$201,0))),""))</f>
        <v/>
      </c>
      <c r="I977" s="24" t="str">
        <f aca="false">IF($B977="","",IFERROR(IF(INDEX(Students!$C$2:$C$301,MATCH($B977,Students!$A$2:$A$301,0))="","",INDEX(Students!$C$2:$C$301,MATCH($B977,Students!$A$2:$A$301,0))),""))</f>
        <v/>
      </c>
      <c r="J977" s="24" t="str">
        <f aca="false">IF($B977="","",IFERROR(IF(INDEX(Students!$B$2:$B$301,MATCH($B977,Students!$A$2:$A$301,0))="","",INDEX(Students!$B$2:$B$301,MATCH($B977,Students!$A$2:$A$301,0))),""))</f>
        <v/>
      </c>
      <c r="K977" s="25" t="str">
        <f aca="false">IF($A977="","",IF(D977="Withdrawn",0,IF(E977&lt;&gt;"",N(E977),IFERROR(N(INDEX(Activities!$I$2:$I$201,MATCH($A977,Activities!$A$2:$A$201,0))),0))))</f>
        <v/>
      </c>
      <c r="L977" s="24" t="str">
        <f aca="false">IF(AND($A977="",$B977=""),"",IF(ISNA(MATCH($A977,Activities!$A$2:$A$201,0)),"Unknown activity",IF(ISNA(MATCH($B977,Students!$A$2:$A$301,0)),"Unknown student",IF(D977="","No status",IF(COUNTIFS($A$2:$A$1001,$A977,$B$2:$B$1001,$B977)&gt;1,"Duplicate",IF(AND(D977&lt;&gt;"Withdrawn",G977&lt;&gt;"",COUNTIFS($B$2:$B$1001,$B977,$G$2:$G$1001,G977,$D$2:$D$1001,"&lt;&gt;Withdrawn")&gt;1),"Same-day clash","OK"))))))</f>
        <v/>
      </c>
    </row>
    <row r="978" customFormat="false" ht="15" hidden="false" customHeight="false" outlineLevel="0" collapsed="false">
      <c r="E978" s="26"/>
      <c r="G978" s="23" t="str">
        <f aca="false">IF($A978="","",IFERROR(IF(INDEX(Activities!$C$2:$C$201,MATCH($A978,Activities!$A$2:$A$201,0))="","",INDEX(Activities!$C$2:$C$201,MATCH($A978,Activities!$A$2:$A$201,0))),""))</f>
        <v/>
      </c>
      <c r="H978" s="24" t="str">
        <f aca="false">IF($A978="","",IFERROR(IF(INDEX(Activities!$B$2:$B$201,MATCH($A978,Activities!$A$2:$A$201,0))="","",INDEX(Activities!$B$2:$B$201,MATCH($A978,Activities!$A$2:$A$201,0))),""))</f>
        <v/>
      </c>
      <c r="I978" s="24" t="str">
        <f aca="false">IF($B978="","",IFERROR(IF(INDEX(Students!$C$2:$C$301,MATCH($B978,Students!$A$2:$A$301,0))="","",INDEX(Students!$C$2:$C$301,MATCH($B978,Students!$A$2:$A$301,0))),""))</f>
        <v/>
      </c>
      <c r="J978" s="24" t="str">
        <f aca="false">IF($B978="","",IFERROR(IF(INDEX(Students!$B$2:$B$301,MATCH($B978,Students!$A$2:$A$301,0))="","",INDEX(Students!$B$2:$B$301,MATCH($B978,Students!$A$2:$A$301,0))),""))</f>
        <v/>
      </c>
      <c r="K978" s="25" t="str">
        <f aca="false">IF($A978="","",IF(D978="Withdrawn",0,IF(E978&lt;&gt;"",N(E978),IFERROR(N(INDEX(Activities!$I$2:$I$201,MATCH($A978,Activities!$A$2:$A$201,0))),0))))</f>
        <v/>
      </c>
      <c r="L978" s="24" t="str">
        <f aca="false">IF(AND($A978="",$B978=""),"",IF(ISNA(MATCH($A978,Activities!$A$2:$A$201,0)),"Unknown activity",IF(ISNA(MATCH($B978,Students!$A$2:$A$301,0)),"Unknown student",IF(D978="","No status",IF(COUNTIFS($A$2:$A$1001,$A978,$B$2:$B$1001,$B978)&gt;1,"Duplicate",IF(AND(D978&lt;&gt;"Withdrawn",G978&lt;&gt;"",COUNTIFS($B$2:$B$1001,$B978,$G$2:$G$1001,G978,$D$2:$D$1001,"&lt;&gt;Withdrawn")&gt;1),"Same-day clash","OK"))))))</f>
        <v/>
      </c>
    </row>
    <row r="979" customFormat="false" ht="15" hidden="false" customHeight="false" outlineLevel="0" collapsed="false">
      <c r="E979" s="26"/>
      <c r="G979" s="23" t="str">
        <f aca="false">IF($A979="","",IFERROR(IF(INDEX(Activities!$C$2:$C$201,MATCH($A979,Activities!$A$2:$A$201,0))="","",INDEX(Activities!$C$2:$C$201,MATCH($A979,Activities!$A$2:$A$201,0))),""))</f>
        <v/>
      </c>
      <c r="H979" s="24" t="str">
        <f aca="false">IF($A979="","",IFERROR(IF(INDEX(Activities!$B$2:$B$201,MATCH($A979,Activities!$A$2:$A$201,0))="","",INDEX(Activities!$B$2:$B$201,MATCH($A979,Activities!$A$2:$A$201,0))),""))</f>
        <v/>
      </c>
      <c r="I979" s="24" t="str">
        <f aca="false">IF($B979="","",IFERROR(IF(INDEX(Students!$C$2:$C$301,MATCH($B979,Students!$A$2:$A$301,0))="","",INDEX(Students!$C$2:$C$301,MATCH($B979,Students!$A$2:$A$301,0))),""))</f>
        <v/>
      </c>
      <c r="J979" s="24" t="str">
        <f aca="false">IF($B979="","",IFERROR(IF(INDEX(Students!$B$2:$B$301,MATCH($B979,Students!$A$2:$A$301,0))="","",INDEX(Students!$B$2:$B$301,MATCH($B979,Students!$A$2:$A$301,0))),""))</f>
        <v/>
      </c>
      <c r="K979" s="25" t="str">
        <f aca="false">IF($A979="","",IF(D979="Withdrawn",0,IF(E979&lt;&gt;"",N(E979),IFERROR(N(INDEX(Activities!$I$2:$I$201,MATCH($A979,Activities!$A$2:$A$201,0))),0))))</f>
        <v/>
      </c>
      <c r="L979" s="24" t="str">
        <f aca="false">IF(AND($A979="",$B979=""),"",IF(ISNA(MATCH($A979,Activities!$A$2:$A$201,0)),"Unknown activity",IF(ISNA(MATCH($B979,Students!$A$2:$A$301,0)),"Unknown student",IF(D979="","No status",IF(COUNTIFS($A$2:$A$1001,$A979,$B$2:$B$1001,$B979)&gt;1,"Duplicate",IF(AND(D979&lt;&gt;"Withdrawn",G979&lt;&gt;"",COUNTIFS($B$2:$B$1001,$B979,$G$2:$G$1001,G979,$D$2:$D$1001,"&lt;&gt;Withdrawn")&gt;1),"Same-day clash","OK"))))))</f>
        <v/>
      </c>
    </row>
    <row r="980" customFormat="false" ht="15" hidden="false" customHeight="false" outlineLevel="0" collapsed="false">
      <c r="E980" s="26"/>
      <c r="G980" s="23" t="str">
        <f aca="false">IF($A980="","",IFERROR(IF(INDEX(Activities!$C$2:$C$201,MATCH($A980,Activities!$A$2:$A$201,0))="","",INDEX(Activities!$C$2:$C$201,MATCH($A980,Activities!$A$2:$A$201,0))),""))</f>
        <v/>
      </c>
      <c r="H980" s="24" t="str">
        <f aca="false">IF($A980="","",IFERROR(IF(INDEX(Activities!$B$2:$B$201,MATCH($A980,Activities!$A$2:$A$201,0))="","",INDEX(Activities!$B$2:$B$201,MATCH($A980,Activities!$A$2:$A$201,0))),""))</f>
        <v/>
      </c>
      <c r="I980" s="24" t="str">
        <f aca="false">IF($B980="","",IFERROR(IF(INDEX(Students!$C$2:$C$301,MATCH($B980,Students!$A$2:$A$301,0))="","",INDEX(Students!$C$2:$C$301,MATCH($B980,Students!$A$2:$A$301,0))),""))</f>
        <v/>
      </c>
      <c r="J980" s="24" t="str">
        <f aca="false">IF($B980="","",IFERROR(IF(INDEX(Students!$B$2:$B$301,MATCH($B980,Students!$A$2:$A$301,0))="","",INDEX(Students!$B$2:$B$301,MATCH($B980,Students!$A$2:$A$301,0))),""))</f>
        <v/>
      </c>
      <c r="K980" s="25" t="str">
        <f aca="false">IF($A980="","",IF(D980="Withdrawn",0,IF(E980&lt;&gt;"",N(E980),IFERROR(N(INDEX(Activities!$I$2:$I$201,MATCH($A980,Activities!$A$2:$A$201,0))),0))))</f>
        <v/>
      </c>
      <c r="L980" s="24" t="str">
        <f aca="false">IF(AND($A980="",$B980=""),"",IF(ISNA(MATCH($A980,Activities!$A$2:$A$201,0)),"Unknown activity",IF(ISNA(MATCH($B980,Students!$A$2:$A$301,0)),"Unknown student",IF(D980="","No status",IF(COUNTIFS($A$2:$A$1001,$A980,$B$2:$B$1001,$B980)&gt;1,"Duplicate",IF(AND(D980&lt;&gt;"Withdrawn",G980&lt;&gt;"",COUNTIFS($B$2:$B$1001,$B980,$G$2:$G$1001,G980,$D$2:$D$1001,"&lt;&gt;Withdrawn")&gt;1),"Same-day clash","OK"))))))</f>
        <v/>
      </c>
    </row>
    <row r="981" customFormat="false" ht="15" hidden="false" customHeight="false" outlineLevel="0" collapsed="false">
      <c r="E981" s="26"/>
      <c r="G981" s="23" t="str">
        <f aca="false">IF($A981="","",IFERROR(IF(INDEX(Activities!$C$2:$C$201,MATCH($A981,Activities!$A$2:$A$201,0))="","",INDEX(Activities!$C$2:$C$201,MATCH($A981,Activities!$A$2:$A$201,0))),""))</f>
        <v/>
      </c>
      <c r="H981" s="24" t="str">
        <f aca="false">IF($A981="","",IFERROR(IF(INDEX(Activities!$B$2:$B$201,MATCH($A981,Activities!$A$2:$A$201,0))="","",INDEX(Activities!$B$2:$B$201,MATCH($A981,Activities!$A$2:$A$201,0))),""))</f>
        <v/>
      </c>
      <c r="I981" s="24" t="str">
        <f aca="false">IF($B981="","",IFERROR(IF(INDEX(Students!$C$2:$C$301,MATCH($B981,Students!$A$2:$A$301,0))="","",INDEX(Students!$C$2:$C$301,MATCH($B981,Students!$A$2:$A$301,0))),""))</f>
        <v/>
      </c>
      <c r="J981" s="24" t="str">
        <f aca="false">IF($B981="","",IFERROR(IF(INDEX(Students!$B$2:$B$301,MATCH($B981,Students!$A$2:$A$301,0))="","",INDEX(Students!$B$2:$B$301,MATCH($B981,Students!$A$2:$A$301,0))),""))</f>
        <v/>
      </c>
      <c r="K981" s="25" t="str">
        <f aca="false">IF($A981="","",IF(D981="Withdrawn",0,IF(E981&lt;&gt;"",N(E981),IFERROR(N(INDEX(Activities!$I$2:$I$201,MATCH($A981,Activities!$A$2:$A$201,0))),0))))</f>
        <v/>
      </c>
      <c r="L981" s="24" t="str">
        <f aca="false">IF(AND($A981="",$B981=""),"",IF(ISNA(MATCH($A981,Activities!$A$2:$A$201,0)),"Unknown activity",IF(ISNA(MATCH($B981,Students!$A$2:$A$301,0)),"Unknown student",IF(D981="","No status",IF(COUNTIFS($A$2:$A$1001,$A981,$B$2:$B$1001,$B981)&gt;1,"Duplicate",IF(AND(D981&lt;&gt;"Withdrawn",G981&lt;&gt;"",COUNTIFS($B$2:$B$1001,$B981,$G$2:$G$1001,G981,$D$2:$D$1001,"&lt;&gt;Withdrawn")&gt;1),"Same-day clash","OK"))))))</f>
        <v/>
      </c>
    </row>
    <row r="982" customFormat="false" ht="15" hidden="false" customHeight="false" outlineLevel="0" collapsed="false">
      <c r="E982" s="26"/>
      <c r="G982" s="23" t="str">
        <f aca="false">IF($A982="","",IFERROR(IF(INDEX(Activities!$C$2:$C$201,MATCH($A982,Activities!$A$2:$A$201,0))="","",INDEX(Activities!$C$2:$C$201,MATCH($A982,Activities!$A$2:$A$201,0))),""))</f>
        <v/>
      </c>
      <c r="H982" s="24" t="str">
        <f aca="false">IF($A982="","",IFERROR(IF(INDEX(Activities!$B$2:$B$201,MATCH($A982,Activities!$A$2:$A$201,0))="","",INDEX(Activities!$B$2:$B$201,MATCH($A982,Activities!$A$2:$A$201,0))),""))</f>
        <v/>
      </c>
      <c r="I982" s="24" t="str">
        <f aca="false">IF($B982="","",IFERROR(IF(INDEX(Students!$C$2:$C$301,MATCH($B982,Students!$A$2:$A$301,0))="","",INDEX(Students!$C$2:$C$301,MATCH($B982,Students!$A$2:$A$301,0))),""))</f>
        <v/>
      </c>
      <c r="J982" s="24" t="str">
        <f aca="false">IF($B982="","",IFERROR(IF(INDEX(Students!$B$2:$B$301,MATCH($B982,Students!$A$2:$A$301,0))="","",INDEX(Students!$B$2:$B$301,MATCH($B982,Students!$A$2:$A$301,0))),""))</f>
        <v/>
      </c>
      <c r="K982" s="25" t="str">
        <f aca="false">IF($A982="","",IF(D982="Withdrawn",0,IF(E982&lt;&gt;"",N(E982),IFERROR(N(INDEX(Activities!$I$2:$I$201,MATCH($A982,Activities!$A$2:$A$201,0))),0))))</f>
        <v/>
      </c>
      <c r="L982" s="24" t="str">
        <f aca="false">IF(AND($A982="",$B982=""),"",IF(ISNA(MATCH($A982,Activities!$A$2:$A$201,0)),"Unknown activity",IF(ISNA(MATCH($B982,Students!$A$2:$A$301,0)),"Unknown student",IF(D982="","No status",IF(COUNTIFS($A$2:$A$1001,$A982,$B$2:$B$1001,$B982)&gt;1,"Duplicate",IF(AND(D982&lt;&gt;"Withdrawn",G982&lt;&gt;"",COUNTIFS($B$2:$B$1001,$B982,$G$2:$G$1001,G982,$D$2:$D$1001,"&lt;&gt;Withdrawn")&gt;1),"Same-day clash","OK"))))))</f>
        <v/>
      </c>
    </row>
    <row r="983" customFormat="false" ht="15" hidden="false" customHeight="false" outlineLevel="0" collapsed="false">
      <c r="E983" s="26"/>
      <c r="G983" s="23" t="str">
        <f aca="false">IF($A983="","",IFERROR(IF(INDEX(Activities!$C$2:$C$201,MATCH($A983,Activities!$A$2:$A$201,0))="","",INDEX(Activities!$C$2:$C$201,MATCH($A983,Activities!$A$2:$A$201,0))),""))</f>
        <v/>
      </c>
      <c r="H983" s="24" t="str">
        <f aca="false">IF($A983="","",IFERROR(IF(INDEX(Activities!$B$2:$B$201,MATCH($A983,Activities!$A$2:$A$201,0))="","",INDEX(Activities!$B$2:$B$201,MATCH($A983,Activities!$A$2:$A$201,0))),""))</f>
        <v/>
      </c>
      <c r="I983" s="24" t="str">
        <f aca="false">IF($B983="","",IFERROR(IF(INDEX(Students!$C$2:$C$301,MATCH($B983,Students!$A$2:$A$301,0))="","",INDEX(Students!$C$2:$C$301,MATCH($B983,Students!$A$2:$A$301,0))),""))</f>
        <v/>
      </c>
      <c r="J983" s="24" t="str">
        <f aca="false">IF($B983="","",IFERROR(IF(INDEX(Students!$B$2:$B$301,MATCH($B983,Students!$A$2:$A$301,0))="","",INDEX(Students!$B$2:$B$301,MATCH($B983,Students!$A$2:$A$301,0))),""))</f>
        <v/>
      </c>
      <c r="K983" s="25" t="str">
        <f aca="false">IF($A983="","",IF(D983="Withdrawn",0,IF(E983&lt;&gt;"",N(E983),IFERROR(N(INDEX(Activities!$I$2:$I$201,MATCH($A983,Activities!$A$2:$A$201,0))),0))))</f>
        <v/>
      </c>
      <c r="L983" s="24" t="str">
        <f aca="false">IF(AND($A983="",$B983=""),"",IF(ISNA(MATCH($A983,Activities!$A$2:$A$201,0)),"Unknown activity",IF(ISNA(MATCH($B983,Students!$A$2:$A$301,0)),"Unknown student",IF(D983="","No status",IF(COUNTIFS($A$2:$A$1001,$A983,$B$2:$B$1001,$B983)&gt;1,"Duplicate",IF(AND(D983&lt;&gt;"Withdrawn",G983&lt;&gt;"",COUNTIFS($B$2:$B$1001,$B983,$G$2:$G$1001,G983,$D$2:$D$1001,"&lt;&gt;Withdrawn")&gt;1),"Same-day clash","OK"))))))</f>
        <v/>
      </c>
    </row>
    <row r="984" customFormat="false" ht="15" hidden="false" customHeight="false" outlineLevel="0" collapsed="false">
      <c r="E984" s="26"/>
      <c r="G984" s="23" t="str">
        <f aca="false">IF($A984="","",IFERROR(IF(INDEX(Activities!$C$2:$C$201,MATCH($A984,Activities!$A$2:$A$201,0))="","",INDEX(Activities!$C$2:$C$201,MATCH($A984,Activities!$A$2:$A$201,0))),""))</f>
        <v/>
      </c>
      <c r="H984" s="24" t="str">
        <f aca="false">IF($A984="","",IFERROR(IF(INDEX(Activities!$B$2:$B$201,MATCH($A984,Activities!$A$2:$A$201,0))="","",INDEX(Activities!$B$2:$B$201,MATCH($A984,Activities!$A$2:$A$201,0))),""))</f>
        <v/>
      </c>
      <c r="I984" s="24" t="str">
        <f aca="false">IF($B984="","",IFERROR(IF(INDEX(Students!$C$2:$C$301,MATCH($B984,Students!$A$2:$A$301,0))="","",INDEX(Students!$C$2:$C$301,MATCH($B984,Students!$A$2:$A$301,0))),""))</f>
        <v/>
      </c>
      <c r="J984" s="24" t="str">
        <f aca="false">IF($B984="","",IFERROR(IF(INDEX(Students!$B$2:$B$301,MATCH($B984,Students!$A$2:$A$301,0))="","",INDEX(Students!$B$2:$B$301,MATCH($B984,Students!$A$2:$A$301,0))),""))</f>
        <v/>
      </c>
      <c r="K984" s="25" t="str">
        <f aca="false">IF($A984="","",IF(D984="Withdrawn",0,IF(E984&lt;&gt;"",N(E984),IFERROR(N(INDEX(Activities!$I$2:$I$201,MATCH($A984,Activities!$A$2:$A$201,0))),0))))</f>
        <v/>
      </c>
      <c r="L984" s="24" t="str">
        <f aca="false">IF(AND($A984="",$B984=""),"",IF(ISNA(MATCH($A984,Activities!$A$2:$A$201,0)),"Unknown activity",IF(ISNA(MATCH($B984,Students!$A$2:$A$301,0)),"Unknown student",IF(D984="","No status",IF(COUNTIFS($A$2:$A$1001,$A984,$B$2:$B$1001,$B984)&gt;1,"Duplicate",IF(AND(D984&lt;&gt;"Withdrawn",G984&lt;&gt;"",COUNTIFS($B$2:$B$1001,$B984,$G$2:$G$1001,G984,$D$2:$D$1001,"&lt;&gt;Withdrawn")&gt;1),"Same-day clash","OK"))))))</f>
        <v/>
      </c>
    </row>
    <row r="985" customFormat="false" ht="15" hidden="false" customHeight="false" outlineLevel="0" collapsed="false">
      <c r="E985" s="26"/>
      <c r="G985" s="23" t="str">
        <f aca="false">IF($A985="","",IFERROR(IF(INDEX(Activities!$C$2:$C$201,MATCH($A985,Activities!$A$2:$A$201,0))="","",INDEX(Activities!$C$2:$C$201,MATCH($A985,Activities!$A$2:$A$201,0))),""))</f>
        <v/>
      </c>
      <c r="H985" s="24" t="str">
        <f aca="false">IF($A985="","",IFERROR(IF(INDEX(Activities!$B$2:$B$201,MATCH($A985,Activities!$A$2:$A$201,0))="","",INDEX(Activities!$B$2:$B$201,MATCH($A985,Activities!$A$2:$A$201,0))),""))</f>
        <v/>
      </c>
      <c r="I985" s="24" t="str">
        <f aca="false">IF($B985="","",IFERROR(IF(INDEX(Students!$C$2:$C$301,MATCH($B985,Students!$A$2:$A$301,0))="","",INDEX(Students!$C$2:$C$301,MATCH($B985,Students!$A$2:$A$301,0))),""))</f>
        <v/>
      </c>
      <c r="J985" s="24" t="str">
        <f aca="false">IF($B985="","",IFERROR(IF(INDEX(Students!$B$2:$B$301,MATCH($B985,Students!$A$2:$A$301,0))="","",INDEX(Students!$B$2:$B$301,MATCH($B985,Students!$A$2:$A$301,0))),""))</f>
        <v/>
      </c>
      <c r="K985" s="25" t="str">
        <f aca="false">IF($A985="","",IF(D985="Withdrawn",0,IF(E985&lt;&gt;"",N(E985),IFERROR(N(INDEX(Activities!$I$2:$I$201,MATCH($A985,Activities!$A$2:$A$201,0))),0))))</f>
        <v/>
      </c>
      <c r="L985" s="24" t="str">
        <f aca="false">IF(AND($A985="",$B985=""),"",IF(ISNA(MATCH($A985,Activities!$A$2:$A$201,0)),"Unknown activity",IF(ISNA(MATCH($B985,Students!$A$2:$A$301,0)),"Unknown student",IF(D985="","No status",IF(COUNTIFS($A$2:$A$1001,$A985,$B$2:$B$1001,$B985)&gt;1,"Duplicate",IF(AND(D985&lt;&gt;"Withdrawn",G985&lt;&gt;"",COUNTIFS($B$2:$B$1001,$B985,$G$2:$G$1001,G985,$D$2:$D$1001,"&lt;&gt;Withdrawn")&gt;1),"Same-day clash","OK"))))))</f>
        <v/>
      </c>
    </row>
    <row r="986" customFormat="false" ht="15" hidden="false" customHeight="false" outlineLevel="0" collapsed="false">
      <c r="E986" s="26"/>
      <c r="G986" s="23" t="str">
        <f aca="false">IF($A986="","",IFERROR(IF(INDEX(Activities!$C$2:$C$201,MATCH($A986,Activities!$A$2:$A$201,0))="","",INDEX(Activities!$C$2:$C$201,MATCH($A986,Activities!$A$2:$A$201,0))),""))</f>
        <v/>
      </c>
      <c r="H986" s="24" t="str">
        <f aca="false">IF($A986="","",IFERROR(IF(INDEX(Activities!$B$2:$B$201,MATCH($A986,Activities!$A$2:$A$201,0))="","",INDEX(Activities!$B$2:$B$201,MATCH($A986,Activities!$A$2:$A$201,0))),""))</f>
        <v/>
      </c>
      <c r="I986" s="24" t="str">
        <f aca="false">IF($B986="","",IFERROR(IF(INDEX(Students!$C$2:$C$301,MATCH($B986,Students!$A$2:$A$301,0))="","",INDEX(Students!$C$2:$C$301,MATCH($B986,Students!$A$2:$A$301,0))),""))</f>
        <v/>
      </c>
      <c r="J986" s="24" t="str">
        <f aca="false">IF($B986="","",IFERROR(IF(INDEX(Students!$B$2:$B$301,MATCH($B986,Students!$A$2:$A$301,0))="","",INDEX(Students!$B$2:$B$301,MATCH($B986,Students!$A$2:$A$301,0))),""))</f>
        <v/>
      </c>
      <c r="K986" s="25" t="str">
        <f aca="false">IF($A986="","",IF(D986="Withdrawn",0,IF(E986&lt;&gt;"",N(E986),IFERROR(N(INDEX(Activities!$I$2:$I$201,MATCH($A986,Activities!$A$2:$A$201,0))),0))))</f>
        <v/>
      </c>
      <c r="L986" s="24" t="str">
        <f aca="false">IF(AND($A986="",$B986=""),"",IF(ISNA(MATCH($A986,Activities!$A$2:$A$201,0)),"Unknown activity",IF(ISNA(MATCH($B986,Students!$A$2:$A$301,0)),"Unknown student",IF(D986="","No status",IF(COUNTIFS($A$2:$A$1001,$A986,$B$2:$B$1001,$B986)&gt;1,"Duplicate",IF(AND(D986&lt;&gt;"Withdrawn",G986&lt;&gt;"",COUNTIFS($B$2:$B$1001,$B986,$G$2:$G$1001,G986,$D$2:$D$1001,"&lt;&gt;Withdrawn")&gt;1),"Same-day clash","OK"))))))</f>
        <v/>
      </c>
    </row>
    <row r="987" customFormat="false" ht="15" hidden="false" customHeight="false" outlineLevel="0" collapsed="false">
      <c r="E987" s="26"/>
      <c r="G987" s="23" t="str">
        <f aca="false">IF($A987="","",IFERROR(IF(INDEX(Activities!$C$2:$C$201,MATCH($A987,Activities!$A$2:$A$201,0))="","",INDEX(Activities!$C$2:$C$201,MATCH($A987,Activities!$A$2:$A$201,0))),""))</f>
        <v/>
      </c>
      <c r="H987" s="24" t="str">
        <f aca="false">IF($A987="","",IFERROR(IF(INDEX(Activities!$B$2:$B$201,MATCH($A987,Activities!$A$2:$A$201,0))="","",INDEX(Activities!$B$2:$B$201,MATCH($A987,Activities!$A$2:$A$201,0))),""))</f>
        <v/>
      </c>
      <c r="I987" s="24" t="str">
        <f aca="false">IF($B987="","",IFERROR(IF(INDEX(Students!$C$2:$C$301,MATCH($B987,Students!$A$2:$A$301,0))="","",INDEX(Students!$C$2:$C$301,MATCH($B987,Students!$A$2:$A$301,0))),""))</f>
        <v/>
      </c>
      <c r="J987" s="24" t="str">
        <f aca="false">IF($B987="","",IFERROR(IF(INDEX(Students!$B$2:$B$301,MATCH($B987,Students!$A$2:$A$301,0))="","",INDEX(Students!$B$2:$B$301,MATCH($B987,Students!$A$2:$A$301,0))),""))</f>
        <v/>
      </c>
      <c r="K987" s="25" t="str">
        <f aca="false">IF($A987="","",IF(D987="Withdrawn",0,IF(E987&lt;&gt;"",N(E987),IFERROR(N(INDEX(Activities!$I$2:$I$201,MATCH($A987,Activities!$A$2:$A$201,0))),0))))</f>
        <v/>
      </c>
      <c r="L987" s="24" t="str">
        <f aca="false">IF(AND($A987="",$B987=""),"",IF(ISNA(MATCH($A987,Activities!$A$2:$A$201,0)),"Unknown activity",IF(ISNA(MATCH($B987,Students!$A$2:$A$301,0)),"Unknown student",IF(D987="","No status",IF(COUNTIFS($A$2:$A$1001,$A987,$B$2:$B$1001,$B987)&gt;1,"Duplicate",IF(AND(D987&lt;&gt;"Withdrawn",G987&lt;&gt;"",COUNTIFS($B$2:$B$1001,$B987,$G$2:$G$1001,G987,$D$2:$D$1001,"&lt;&gt;Withdrawn")&gt;1),"Same-day clash","OK"))))))</f>
        <v/>
      </c>
    </row>
    <row r="988" customFormat="false" ht="15" hidden="false" customHeight="false" outlineLevel="0" collapsed="false">
      <c r="E988" s="26"/>
      <c r="G988" s="23" t="str">
        <f aca="false">IF($A988="","",IFERROR(IF(INDEX(Activities!$C$2:$C$201,MATCH($A988,Activities!$A$2:$A$201,0))="","",INDEX(Activities!$C$2:$C$201,MATCH($A988,Activities!$A$2:$A$201,0))),""))</f>
        <v/>
      </c>
      <c r="H988" s="24" t="str">
        <f aca="false">IF($A988="","",IFERROR(IF(INDEX(Activities!$B$2:$B$201,MATCH($A988,Activities!$A$2:$A$201,0))="","",INDEX(Activities!$B$2:$B$201,MATCH($A988,Activities!$A$2:$A$201,0))),""))</f>
        <v/>
      </c>
      <c r="I988" s="24" t="str">
        <f aca="false">IF($B988="","",IFERROR(IF(INDEX(Students!$C$2:$C$301,MATCH($B988,Students!$A$2:$A$301,0))="","",INDEX(Students!$C$2:$C$301,MATCH($B988,Students!$A$2:$A$301,0))),""))</f>
        <v/>
      </c>
      <c r="J988" s="24" t="str">
        <f aca="false">IF($B988="","",IFERROR(IF(INDEX(Students!$B$2:$B$301,MATCH($B988,Students!$A$2:$A$301,0))="","",INDEX(Students!$B$2:$B$301,MATCH($B988,Students!$A$2:$A$301,0))),""))</f>
        <v/>
      </c>
      <c r="K988" s="25" t="str">
        <f aca="false">IF($A988="","",IF(D988="Withdrawn",0,IF(E988&lt;&gt;"",N(E988),IFERROR(N(INDEX(Activities!$I$2:$I$201,MATCH($A988,Activities!$A$2:$A$201,0))),0))))</f>
        <v/>
      </c>
      <c r="L988" s="24" t="str">
        <f aca="false">IF(AND($A988="",$B988=""),"",IF(ISNA(MATCH($A988,Activities!$A$2:$A$201,0)),"Unknown activity",IF(ISNA(MATCH($B988,Students!$A$2:$A$301,0)),"Unknown student",IF(D988="","No status",IF(COUNTIFS($A$2:$A$1001,$A988,$B$2:$B$1001,$B988)&gt;1,"Duplicate",IF(AND(D988&lt;&gt;"Withdrawn",G988&lt;&gt;"",COUNTIFS($B$2:$B$1001,$B988,$G$2:$G$1001,G988,$D$2:$D$1001,"&lt;&gt;Withdrawn")&gt;1),"Same-day clash","OK"))))))</f>
        <v/>
      </c>
    </row>
    <row r="989" customFormat="false" ht="15" hidden="false" customHeight="false" outlineLevel="0" collapsed="false">
      <c r="E989" s="26"/>
      <c r="G989" s="23" t="str">
        <f aca="false">IF($A989="","",IFERROR(IF(INDEX(Activities!$C$2:$C$201,MATCH($A989,Activities!$A$2:$A$201,0))="","",INDEX(Activities!$C$2:$C$201,MATCH($A989,Activities!$A$2:$A$201,0))),""))</f>
        <v/>
      </c>
      <c r="H989" s="24" t="str">
        <f aca="false">IF($A989="","",IFERROR(IF(INDEX(Activities!$B$2:$B$201,MATCH($A989,Activities!$A$2:$A$201,0))="","",INDEX(Activities!$B$2:$B$201,MATCH($A989,Activities!$A$2:$A$201,0))),""))</f>
        <v/>
      </c>
      <c r="I989" s="24" t="str">
        <f aca="false">IF($B989="","",IFERROR(IF(INDEX(Students!$C$2:$C$301,MATCH($B989,Students!$A$2:$A$301,0))="","",INDEX(Students!$C$2:$C$301,MATCH($B989,Students!$A$2:$A$301,0))),""))</f>
        <v/>
      </c>
      <c r="J989" s="24" t="str">
        <f aca="false">IF($B989="","",IFERROR(IF(INDEX(Students!$B$2:$B$301,MATCH($B989,Students!$A$2:$A$301,0))="","",INDEX(Students!$B$2:$B$301,MATCH($B989,Students!$A$2:$A$301,0))),""))</f>
        <v/>
      </c>
      <c r="K989" s="25" t="str">
        <f aca="false">IF($A989="","",IF(D989="Withdrawn",0,IF(E989&lt;&gt;"",N(E989),IFERROR(N(INDEX(Activities!$I$2:$I$201,MATCH($A989,Activities!$A$2:$A$201,0))),0))))</f>
        <v/>
      </c>
      <c r="L989" s="24" t="str">
        <f aca="false">IF(AND($A989="",$B989=""),"",IF(ISNA(MATCH($A989,Activities!$A$2:$A$201,0)),"Unknown activity",IF(ISNA(MATCH($B989,Students!$A$2:$A$301,0)),"Unknown student",IF(D989="","No status",IF(COUNTIFS($A$2:$A$1001,$A989,$B$2:$B$1001,$B989)&gt;1,"Duplicate",IF(AND(D989&lt;&gt;"Withdrawn",G989&lt;&gt;"",COUNTIFS($B$2:$B$1001,$B989,$G$2:$G$1001,G989,$D$2:$D$1001,"&lt;&gt;Withdrawn")&gt;1),"Same-day clash","OK"))))))</f>
        <v/>
      </c>
    </row>
    <row r="990" customFormat="false" ht="15" hidden="false" customHeight="false" outlineLevel="0" collapsed="false">
      <c r="E990" s="26"/>
      <c r="G990" s="23" t="str">
        <f aca="false">IF($A990="","",IFERROR(IF(INDEX(Activities!$C$2:$C$201,MATCH($A990,Activities!$A$2:$A$201,0))="","",INDEX(Activities!$C$2:$C$201,MATCH($A990,Activities!$A$2:$A$201,0))),""))</f>
        <v/>
      </c>
      <c r="H990" s="24" t="str">
        <f aca="false">IF($A990="","",IFERROR(IF(INDEX(Activities!$B$2:$B$201,MATCH($A990,Activities!$A$2:$A$201,0))="","",INDEX(Activities!$B$2:$B$201,MATCH($A990,Activities!$A$2:$A$201,0))),""))</f>
        <v/>
      </c>
      <c r="I990" s="24" t="str">
        <f aca="false">IF($B990="","",IFERROR(IF(INDEX(Students!$C$2:$C$301,MATCH($B990,Students!$A$2:$A$301,0))="","",INDEX(Students!$C$2:$C$301,MATCH($B990,Students!$A$2:$A$301,0))),""))</f>
        <v/>
      </c>
      <c r="J990" s="24" t="str">
        <f aca="false">IF($B990="","",IFERROR(IF(INDEX(Students!$B$2:$B$301,MATCH($B990,Students!$A$2:$A$301,0))="","",INDEX(Students!$B$2:$B$301,MATCH($B990,Students!$A$2:$A$301,0))),""))</f>
        <v/>
      </c>
      <c r="K990" s="25" t="str">
        <f aca="false">IF($A990="","",IF(D990="Withdrawn",0,IF(E990&lt;&gt;"",N(E990),IFERROR(N(INDEX(Activities!$I$2:$I$201,MATCH($A990,Activities!$A$2:$A$201,0))),0))))</f>
        <v/>
      </c>
      <c r="L990" s="24" t="str">
        <f aca="false">IF(AND($A990="",$B990=""),"",IF(ISNA(MATCH($A990,Activities!$A$2:$A$201,0)),"Unknown activity",IF(ISNA(MATCH($B990,Students!$A$2:$A$301,0)),"Unknown student",IF(D990="","No status",IF(COUNTIFS($A$2:$A$1001,$A990,$B$2:$B$1001,$B990)&gt;1,"Duplicate",IF(AND(D990&lt;&gt;"Withdrawn",G990&lt;&gt;"",COUNTIFS($B$2:$B$1001,$B990,$G$2:$G$1001,G990,$D$2:$D$1001,"&lt;&gt;Withdrawn")&gt;1),"Same-day clash","OK"))))))</f>
        <v/>
      </c>
    </row>
    <row r="991" customFormat="false" ht="15" hidden="false" customHeight="false" outlineLevel="0" collapsed="false">
      <c r="E991" s="26"/>
      <c r="G991" s="23" t="str">
        <f aca="false">IF($A991="","",IFERROR(IF(INDEX(Activities!$C$2:$C$201,MATCH($A991,Activities!$A$2:$A$201,0))="","",INDEX(Activities!$C$2:$C$201,MATCH($A991,Activities!$A$2:$A$201,0))),""))</f>
        <v/>
      </c>
      <c r="H991" s="24" t="str">
        <f aca="false">IF($A991="","",IFERROR(IF(INDEX(Activities!$B$2:$B$201,MATCH($A991,Activities!$A$2:$A$201,0))="","",INDEX(Activities!$B$2:$B$201,MATCH($A991,Activities!$A$2:$A$201,0))),""))</f>
        <v/>
      </c>
      <c r="I991" s="24" t="str">
        <f aca="false">IF($B991="","",IFERROR(IF(INDEX(Students!$C$2:$C$301,MATCH($B991,Students!$A$2:$A$301,0))="","",INDEX(Students!$C$2:$C$301,MATCH($B991,Students!$A$2:$A$301,0))),""))</f>
        <v/>
      </c>
      <c r="J991" s="24" t="str">
        <f aca="false">IF($B991="","",IFERROR(IF(INDEX(Students!$B$2:$B$301,MATCH($B991,Students!$A$2:$A$301,0))="","",INDEX(Students!$B$2:$B$301,MATCH($B991,Students!$A$2:$A$301,0))),""))</f>
        <v/>
      </c>
      <c r="K991" s="25" t="str">
        <f aca="false">IF($A991="","",IF(D991="Withdrawn",0,IF(E991&lt;&gt;"",N(E991),IFERROR(N(INDEX(Activities!$I$2:$I$201,MATCH($A991,Activities!$A$2:$A$201,0))),0))))</f>
        <v/>
      </c>
      <c r="L991" s="24" t="str">
        <f aca="false">IF(AND($A991="",$B991=""),"",IF(ISNA(MATCH($A991,Activities!$A$2:$A$201,0)),"Unknown activity",IF(ISNA(MATCH($B991,Students!$A$2:$A$301,0)),"Unknown student",IF(D991="","No status",IF(COUNTIFS($A$2:$A$1001,$A991,$B$2:$B$1001,$B991)&gt;1,"Duplicate",IF(AND(D991&lt;&gt;"Withdrawn",G991&lt;&gt;"",COUNTIFS($B$2:$B$1001,$B991,$G$2:$G$1001,G991,$D$2:$D$1001,"&lt;&gt;Withdrawn")&gt;1),"Same-day clash","OK"))))))</f>
        <v/>
      </c>
    </row>
    <row r="992" customFormat="false" ht="15" hidden="false" customHeight="false" outlineLevel="0" collapsed="false">
      <c r="E992" s="26"/>
      <c r="G992" s="23" t="str">
        <f aca="false">IF($A992="","",IFERROR(IF(INDEX(Activities!$C$2:$C$201,MATCH($A992,Activities!$A$2:$A$201,0))="","",INDEX(Activities!$C$2:$C$201,MATCH($A992,Activities!$A$2:$A$201,0))),""))</f>
        <v/>
      </c>
      <c r="H992" s="24" t="str">
        <f aca="false">IF($A992="","",IFERROR(IF(INDEX(Activities!$B$2:$B$201,MATCH($A992,Activities!$A$2:$A$201,0))="","",INDEX(Activities!$B$2:$B$201,MATCH($A992,Activities!$A$2:$A$201,0))),""))</f>
        <v/>
      </c>
      <c r="I992" s="24" t="str">
        <f aca="false">IF($B992="","",IFERROR(IF(INDEX(Students!$C$2:$C$301,MATCH($B992,Students!$A$2:$A$301,0))="","",INDEX(Students!$C$2:$C$301,MATCH($B992,Students!$A$2:$A$301,0))),""))</f>
        <v/>
      </c>
      <c r="J992" s="24" t="str">
        <f aca="false">IF($B992="","",IFERROR(IF(INDEX(Students!$B$2:$B$301,MATCH($B992,Students!$A$2:$A$301,0))="","",INDEX(Students!$B$2:$B$301,MATCH($B992,Students!$A$2:$A$301,0))),""))</f>
        <v/>
      </c>
      <c r="K992" s="25" t="str">
        <f aca="false">IF($A992="","",IF(D992="Withdrawn",0,IF(E992&lt;&gt;"",N(E992),IFERROR(N(INDEX(Activities!$I$2:$I$201,MATCH($A992,Activities!$A$2:$A$201,0))),0))))</f>
        <v/>
      </c>
      <c r="L992" s="24" t="str">
        <f aca="false">IF(AND($A992="",$B992=""),"",IF(ISNA(MATCH($A992,Activities!$A$2:$A$201,0)),"Unknown activity",IF(ISNA(MATCH($B992,Students!$A$2:$A$301,0)),"Unknown student",IF(D992="","No status",IF(COUNTIFS($A$2:$A$1001,$A992,$B$2:$B$1001,$B992)&gt;1,"Duplicate",IF(AND(D992&lt;&gt;"Withdrawn",G992&lt;&gt;"",COUNTIFS($B$2:$B$1001,$B992,$G$2:$G$1001,G992,$D$2:$D$1001,"&lt;&gt;Withdrawn")&gt;1),"Same-day clash","OK"))))))</f>
        <v/>
      </c>
    </row>
    <row r="993" customFormat="false" ht="15" hidden="false" customHeight="false" outlineLevel="0" collapsed="false">
      <c r="E993" s="26"/>
      <c r="G993" s="23" t="str">
        <f aca="false">IF($A993="","",IFERROR(IF(INDEX(Activities!$C$2:$C$201,MATCH($A993,Activities!$A$2:$A$201,0))="","",INDEX(Activities!$C$2:$C$201,MATCH($A993,Activities!$A$2:$A$201,0))),""))</f>
        <v/>
      </c>
      <c r="H993" s="24" t="str">
        <f aca="false">IF($A993="","",IFERROR(IF(INDEX(Activities!$B$2:$B$201,MATCH($A993,Activities!$A$2:$A$201,0))="","",INDEX(Activities!$B$2:$B$201,MATCH($A993,Activities!$A$2:$A$201,0))),""))</f>
        <v/>
      </c>
      <c r="I993" s="24" t="str">
        <f aca="false">IF($B993="","",IFERROR(IF(INDEX(Students!$C$2:$C$301,MATCH($B993,Students!$A$2:$A$301,0))="","",INDEX(Students!$C$2:$C$301,MATCH($B993,Students!$A$2:$A$301,0))),""))</f>
        <v/>
      </c>
      <c r="J993" s="24" t="str">
        <f aca="false">IF($B993="","",IFERROR(IF(INDEX(Students!$B$2:$B$301,MATCH($B993,Students!$A$2:$A$301,0))="","",INDEX(Students!$B$2:$B$301,MATCH($B993,Students!$A$2:$A$301,0))),""))</f>
        <v/>
      </c>
      <c r="K993" s="25" t="str">
        <f aca="false">IF($A993="","",IF(D993="Withdrawn",0,IF(E993&lt;&gt;"",N(E993),IFERROR(N(INDEX(Activities!$I$2:$I$201,MATCH($A993,Activities!$A$2:$A$201,0))),0))))</f>
        <v/>
      </c>
      <c r="L993" s="24" t="str">
        <f aca="false">IF(AND($A993="",$B993=""),"",IF(ISNA(MATCH($A993,Activities!$A$2:$A$201,0)),"Unknown activity",IF(ISNA(MATCH($B993,Students!$A$2:$A$301,0)),"Unknown student",IF(D993="","No status",IF(COUNTIFS($A$2:$A$1001,$A993,$B$2:$B$1001,$B993)&gt;1,"Duplicate",IF(AND(D993&lt;&gt;"Withdrawn",G993&lt;&gt;"",COUNTIFS($B$2:$B$1001,$B993,$G$2:$G$1001,G993,$D$2:$D$1001,"&lt;&gt;Withdrawn")&gt;1),"Same-day clash","OK"))))))</f>
        <v/>
      </c>
    </row>
    <row r="994" customFormat="false" ht="15" hidden="false" customHeight="false" outlineLevel="0" collapsed="false">
      <c r="E994" s="26"/>
      <c r="G994" s="23" t="str">
        <f aca="false">IF($A994="","",IFERROR(IF(INDEX(Activities!$C$2:$C$201,MATCH($A994,Activities!$A$2:$A$201,0))="","",INDEX(Activities!$C$2:$C$201,MATCH($A994,Activities!$A$2:$A$201,0))),""))</f>
        <v/>
      </c>
      <c r="H994" s="24" t="str">
        <f aca="false">IF($A994="","",IFERROR(IF(INDEX(Activities!$B$2:$B$201,MATCH($A994,Activities!$A$2:$A$201,0))="","",INDEX(Activities!$B$2:$B$201,MATCH($A994,Activities!$A$2:$A$201,0))),""))</f>
        <v/>
      </c>
      <c r="I994" s="24" t="str">
        <f aca="false">IF($B994="","",IFERROR(IF(INDEX(Students!$C$2:$C$301,MATCH($B994,Students!$A$2:$A$301,0))="","",INDEX(Students!$C$2:$C$301,MATCH($B994,Students!$A$2:$A$301,0))),""))</f>
        <v/>
      </c>
      <c r="J994" s="24" t="str">
        <f aca="false">IF($B994="","",IFERROR(IF(INDEX(Students!$B$2:$B$301,MATCH($B994,Students!$A$2:$A$301,0))="","",INDEX(Students!$B$2:$B$301,MATCH($B994,Students!$A$2:$A$301,0))),""))</f>
        <v/>
      </c>
      <c r="K994" s="25" t="str">
        <f aca="false">IF($A994="","",IF(D994="Withdrawn",0,IF(E994&lt;&gt;"",N(E994),IFERROR(N(INDEX(Activities!$I$2:$I$201,MATCH($A994,Activities!$A$2:$A$201,0))),0))))</f>
        <v/>
      </c>
      <c r="L994" s="24" t="str">
        <f aca="false">IF(AND($A994="",$B994=""),"",IF(ISNA(MATCH($A994,Activities!$A$2:$A$201,0)),"Unknown activity",IF(ISNA(MATCH($B994,Students!$A$2:$A$301,0)),"Unknown student",IF(D994="","No status",IF(COUNTIFS($A$2:$A$1001,$A994,$B$2:$B$1001,$B994)&gt;1,"Duplicate",IF(AND(D994&lt;&gt;"Withdrawn",G994&lt;&gt;"",COUNTIFS($B$2:$B$1001,$B994,$G$2:$G$1001,G994,$D$2:$D$1001,"&lt;&gt;Withdrawn")&gt;1),"Same-day clash","OK"))))))</f>
        <v/>
      </c>
    </row>
    <row r="995" customFormat="false" ht="15" hidden="false" customHeight="false" outlineLevel="0" collapsed="false">
      <c r="E995" s="26"/>
      <c r="G995" s="23" t="str">
        <f aca="false">IF($A995="","",IFERROR(IF(INDEX(Activities!$C$2:$C$201,MATCH($A995,Activities!$A$2:$A$201,0))="","",INDEX(Activities!$C$2:$C$201,MATCH($A995,Activities!$A$2:$A$201,0))),""))</f>
        <v/>
      </c>
      <c r="H995" s="24" t="str">
        <f aca="false">IF($A995="","",IFERROR(IF(INDEX(Activities!$B$2:$B$201,MATCH($A995,Activities!$A$2:$A$201,0))="","",INDEX(Activities!$B$2:$B$201,MATCH($A995,Activities!$A$2:$A$201,0))),""))</f>
        <v/>
      </c>
      <c r="I995" s="24" t="str">
        <f aca="false">IF($B995="","",IFERROR(IF(INDEX(Students!$C$2:$C$301,MATCH($B995,Students!$A$2:$A$301,0))="","",INDEX(Students!$C$2:$C$301,MATCH($B995,Students!$A$2:$A$301,0))),""))</f>
        <v/>
      </c>
      <c r="J995" s="24" t="str">
        <f aca="false">IF($B995="","",IFERROR(IF(INDEX(Students!$B$2:$B$301,MATCH($B995,Students!$A$2:$A$301,0))="","",INDEX(Students!$B$2:$B$301,MATCH($B995,Students!$A$2:$A$301,0))),""))</f>
        <v/>
      </c>
      <c r="K995" s="25" t="str">
        <f aca="false">IF($A995="","",IF(D995="Withdrawn",0,IF(E995&lt;&gt;"",N(E995),IFERROR(N(INDEX(Activities!$I$2:$I$201,MATCH($A995,Activities!$A$2:$A$201,0))),0))))</f>
        <v/>
      </c>
      <c r="L995" s="24" t="str">
        <f aca="false">IF(AND($A995="",$B995=""),"",IF(ISNA(MATCH($A995,Activities!$A$2:$A$201,0)),"Unknown activity",IF(ISNA(MATCH($B995,Students!$A$2:$A$301,0)),"Unknown student",IF(D995="","No status",IF(COUNTIFS($A$2:$A$1001,$A995,$B$2:$B$1001,$B995)&gt;1,"Duplicate",IF(AND(D995&lt;&gt;"Withdrawn",G995&lt;&gt;"",COUNTIFS($B$2:$B$1001,$B995,$G$2:$G$1001,G995,$D$2:$D$1001,"&lt;&gt;Withdrawn")&gt;1),"Same-day clash","OK"))))))</f>
        <v/>
      </c>
    </row>
    <row r="996" customFormat="false" ht="15" hidden="false" customHeight="false" outlineLevel="0" collapsed="false">
      <c r="E996" s="26"/>
      <c r="G996" s="23" t="str">
        <f aca="false">IF($A996="","",IFERROR(IF(INDEX(Activities!$C$2:$C$201,MATCH($A996,Activities!$A$2:$A$201,0))="","",INDEX(Activities!$C$2:$C$201,MATCH($A996,Activities!$A$2:$A$201,0))),""))</f>
        <v/>
      </c>
      <c r="H996" s="24" t="str">
        <f aca="false">IF($A996="","",IFERROR(IF(INDEX(Activities!$B$2:$B$201,MATCH($A996,Activities!$A$2:$A$201,0))="","",INDEX(Activities!$B$2:$B$201,MATCH($A996,Activities!$A$2:$A$201,0))),""))</f>
        <v/>
      </c>
      <c r="I996" s="24" t="str">
        <f aca="false">IF($B996="","",IFERROR(IF(INDEX(Students!$C$2:$C$301,MATCH($B996,Students!$A$2:$A$301,0))="","",INDEX(Students!$C$2:$C$301,MATCH($B996,Students!$A$2:$A$301,0))),""))</f>
        <v/>
      </c>
      <c r="J996" s="24" t="str">
        <f aca="false">IF($B996="","",IFERROR(IF(INDEX(Students!$B$2:$B$301,MATCH($B996,Students!$A$2:$A$301,0))="","",INDEX(Students!$B$2:$B$301,MATCH($B996,Students!$A$2:$A$301,0))),""))</f>
        <v/>
      </c>
      <c r="K996" s="25" t="str">
        <f aca="false">IF($A996="","",IF(D996="Withdrawn",0,IF(E996&lt;&gt;"",N(E996),IFERROR(N(INDEX(Activities!$I$2:$I$201,MATCH($A996,Activities!$A$2:$A$201,0))),0))))</f>
        <v/>
      </c>
      <c r="L996" s="24" t="str">
        <f aca="false">IF(AND($A996="",$B996=""),"",IF(ISNA(MATCH($A996,Activities!$A$2:$A$201,0)),"Unknown activity",IF(ISNA(MATCH($B996,Students!$A$2:$A$301,0)),"Unknown student",IF(D996="","No status",IF(COUNTIFS($A$2:$A$1001,$A996,$B$2:$B$1001,$B996)&gt;1,"Duplicate",IF(AND(D996&lt;&gt;"Withdrawn",G996&lt;&gt;"",COUNTIFS($B$2:$B$1001,$B996,$G$2:$G$1001,G996,$D$2:$D$1001,"&lt;&gt;Withdrawn")&gt;1),"Same-day clash","OK"))))))</f>
        <v/>
      </c>
    </row>
    <row r="997" customFormat="false" ht="15" hidden="false" customHeight="false" outlineLevel="0" collapsed="false">
      <c r="E997" s="26"/>
      <c r="G997" s="23" t="str">
        <f aca="false">IF($A997="","",IFERROR(IF(INDEX(Activities!$C$2:$C$201,MATCH($A997,Activities!$A$2:$A$201,0))="","",INDEX(Activities!$C$2:$C$201,MATCH($A997,Activities!$A$2:$A$201,0))),""))</f>
        <v/>
      </c>
      <c r="H997" s="24" t="str">
        <f aca="false">IF($A997="","",IFERROR(IF(INDEX(Activities!$B$2:$B$201,MATCH($A997,Activities!$A$2:$A$201,0))="","",INDEX(Activities!$B$2:$B$201,MATCH($A997,Activities!$A$2:$A$201,0))),""))</f>
        <v/>
      </c>
      <c r="I997" s="24" t="str">
        <f aca="false">IF($B997="","",IFERROR(IF(INDEX(Students!$C$2:$C$301,MATCH($B997,Students!$A$2:$A$301,0))="","",INDEX(Students!$C$2:$C$301,MATCH($B997,Students!$A$2:$A$301,0))),""))</f>
        <v/>
      </c>
      <c r="J997" s="24" t="str">
        <f aca="false">IF($B997="","",IFERROR(IF(INDEX(Students!$B$2:$B$301,MATCH($B997,Students!$A$2:$A$301,0))="","",INDEX(Students!$B$2:$B$301,MATCH($B997,Students!$A$2:$A$301,0))),""))</f>
        <v/>
      </c>
      <c r="K997" s="25" t="str">
        <f aca="false">IF($A997="","",IF(D997="Withdrawn",0,IF(E997&lt;&gt;"",N(E997),IFERROR(N(INDEX(Activities!$I$2:$I$201,MATCH($A997,Activities!$A$2:$A$201,0))),0))))</f>
        <v/>
      </c>
      <c r="L997" s="24" t="str">
        <f aca="false">IF(AND($A997="",$B997=""),"",IF(ISNA(MATCH($A997,Activities!$A$2:$A$201,0)),"Unknown activity",IF(ISNA(MATCH($B997,Students!$A$2:$A$301,0)),"Unknown student",IF(D997="","No status",IF(COUNTIFS($A$2:$A$1001,$A997,$B$2:$B$1001,$B997)&gt;1,"Duplicate",IF(AND(D997&lt;&gt;"Withdrawn",G997&lt;&gt;"",COUNTIFS($B$2:$B$1001,$B997,$G$2:$G$1001,G997,$D$2:$D$1001,"&lt;&gt;Withdrawn")&gt;1),"Same-day clash","OK"))))))</f>
        <v/>
      </c>
    </row>
    <row r="998" customFormat="false" ht="15" hidden="false" customHeight="false" outlineLevel="0" collapsed="false">
      <c r="E998" s="26"/>
      <c r="G998" s="23" t="str">
        <f aca="false">IF($A998="","",IFERROR(IF(INDEX(Activities!$C$2:$C$201,MATCH($A998,Activities!$A$2:$A$201,0))="","",INDEX(Activities!$C$2:$C$201,MATCH($A998,Activities!$A$2:$A$201,0))),""))</f>
        <v/>
      </c>
      <c r="H998" s="24" t="str">
        <f aca="false">IF($A998="","",IFERROR(IF(INDEX(Activities!$B$2:$B$201,MATCH($A998,Activities!$A$2:$A$201,0))="","",INDEX(Activities!$B$2:$B$201,MATCH($A998,Activities!$A$2:$A$201,0))),""))</f>
        <v/>
      </c>
      <c r="I998" s="24" t="str">
        <f aca="false">IF($B998="","",IFERROR(IF(INDEX(Students!$C$2:$C$301,MATCH($B998,Students!$A$2:$A$301,0))="","",INDEX(Students!$C$2:$C$301,MATCH($B998,Students!$A$2:$A$301,0))),""))</f>
        <v/>
      </c>
      <c r="J998" s="24" t="str">
        <f aca="false">IF($B998="","",IFERROR(IF(INDEX(Students!$B$2:$B$301,MATCH($B998,Students!$A$2:$A$301,0))="","",INDEX(Students!$B$2:$B$301,MATCH($B998,Students!$A$2:$A$301,0))),""))</f>
        <v/>
      </c>
      <c r="K998" s="25" t="str">
        <f aca="false">IF($A998="","",IF(D998="Withdrawn",0,IF(E998&lt;&gt;"",N(E998),IFERROR(N(INDEX(Activities!$I$2:$I$201,MATCH($A998,Activities!$A$2:$A$201,0))),0))))</f>
        <v/>
      </c>
      <c r="L998" s="24" t="str">
        <f aca="false">IF(AND($A998="",$B998=""),"",IF(ISNA(MATCH($A998,Activities!$A$2:$A$201,0)),"Unknown activity",IF(ISNA(MATCH($B998,Students!$A$2:$A$301,0)),"Unknown student",IF(D998="","No status",IF(COUNTIFS($A$2:$A$1001,$A998,$B$2:$B$1001,$B998)&gt;1,"Duplicate",IF(AND(D998&lt;&gt;"Withdrawn",G998&lt;&gt;"",COUNTIFS($B$2:$B$1001,$B998,$G$2:$G$1001,G998,$D$2:$D$1001,"&lt;&gt;Withdrawn")&gt;1),"Same-day clash","OK"))))))</f>
        <v/>
      </c>
    </row>
    <row r="999" customFormat="false" ht="15" hidden="false" customHeight="false" outlineLevel="0" collapsed="false">
      <c r="E999" s="26"/>
      <c r="G999" s="23" t="str">
        <f aca="false">IF($A999="","",IFERROR(IF(INDEX(Activities!$C$2:$C$201,MATCH($A999,Activities!$A$2:$A$201,0))="","",INDEX(Activities!$C$2:$C$201,MATCH($A999,Activities!$A$2:$A$201,0))),""))</f>
        <v/>
      </c>
      <c r="H999" s="24" t="str">
        <f aca="false">IF($A999="","",IFERROR(IF(INDEX(Activities!$B$2:$B$201,MATCH($A999,Activities!$A$2:$A$201,0))="","",INDEX(Activities!$B$2:$B$201,MATCH($A999,Activities!$A$2:$A$201,0))),""))</f>
        <v/>
      </c>
      <c r="I999" s="24" t="str">
        <f aca="false">IF($B999="","",IFERROR(IF(INDEX(Students!$C$2:$C$301,MATCH($B999,Students!$A$2:$A$301,0))="","",INDEX(Students!$C$2:$C$301,MATCH($B999,Students!$A$2:$A$301,0))),""))</f>
        <v/>
      </c>
      <c r="J999" s="24" t="str">
        <f aca="false">IF($B999="","",IFERROR(IF(INDEX(Students!$B$2:$B$301,MATCH($B999,Students!$A$2:$A$301,0))="","",INDEX(Students!$B$2:$B$301,MATCH($B999,Students!$A$2:$A$301,0))),""))</f>
        <v/>
      </c>
      <c r="K999" s="25" t="str">
        <f aca="false">IF($A999="","",IF(D999="Withdrawn",0,IF(E999&lt;&gt;"",N(E999),IFERROR(N(INDEX(Activities!$I$2:$I$201,MATCH($A999,Activities!$A$2:$A$201,0))),0))))</f>
        <v/>
      </c>
      <c r="L999" s="24" t="str">
        <f aca="false">IF(AND($A999="",$B999=""),"",IF(ISNA(MATCH($A999,Activities!$A$2:$A$201,0)),"Unknown activity",IF(ISNA(MATCH($B999,Students!$A$2:$A$301,0)),"Unknown student",IF(D999="","No status",IF(COUNTIFS($A$2:$A$1001,$A999,$B$2:$B$1001,$B999)&gt;1,"Duplicate",IF(AND(D999&lt;&gt;"Withdrawn",G999&lt;&gt;"",COUNTIFS($B$2:$B$1001,$B999,$G$2:$G$1001,G999,$D$2:$D$1001,"&lt;&gt;Withdrawn")&gt;1),"Same-day clash","OK"))))))</f>
        <v/>
      </c>
    </row>
    <row r="1000" customFormat="false" ht="15" hidden="false" customHeight="false" outlineLevel="0" collapsed="false">
      <c r="E1000" s="26"/>
      <c r="G1000" s="23" t="str">
        <f aca="false">IF($A1000="","",IFERROR(IF(INDEX(Activities!$C$2:$C$201,MATCH($A1000,Activities!$A$2:$A$201,0))="","",INDEX(Activities!$C$2:$C$201,MATCH($A1000,Activities!$A$2:$A$201,0))),""))</f>
        <v/>
      </c>
      <c r="H1000" s="24" t="str">
        <f aca="false">IF($A1000="","",IFERROR(IF(INDEX(Activities!$B$2:$B$201,MATCH($A1000,Activities!$A$2:$A$201,0))="","",INDEX(Activities!$B$2:$B$201,MATCH($A1000,Activities!$A$2:$A$201,0))),""))</f>
        <v/>
      </c>
      <c r="I1000" s="24" t="str">
        <f aca="false">IF($B1000="","",IFERROR(IF(INDEX(Students!$C$2:$C$301,MATCH($B1000,Students!$A$2:$A$301,0))="","",INDEX(Students!$C$2:$C$301,MATCH($B1000,Students!$A$2:$A$301,0))),""))</f>
        <v/>
      </c>
      <c r="J1000" s="24" t="str">
        <f aca="false">IF($B1000="","",IFERROR(IF(INDEX(Students!$B$2:$B$301,MATCH($B1000,Students!$A$2:$A$301,0))="","",INDEX(Students!$B$2:$B$301,MATCH($B1000,Students!$A$2:$A$301,0))),""))</f>
        <v/>
      </c>
      <c r="K1000" s="25" t="str">
        <f aca="false">IF($A1000="","",IF(D1000="Withdrawn",0,IF(E1000&lt;&gt;"",N(E1000),IFERROR(N(INDEX(Activities!$I$2:$I$201,MATCH($A1000,Activities!$A$2:$A$201,0))),0))))</f>
        <v/>
      </c>
      <c r="L1000" s="24" t="str">
        <f aca="false">IF(AND($A1000="",$B1000=""),"",IF(ISNA(MATCH($A1000,Activities!$A$2:$A$201,0)),"Unknown activity",IF(ISNA(MATCH($B1000,Students!$A$2:$A$301,0)),"Unknown student",IF(D1000="","No status",IF(COUNTIFS($A$2:$A$1001,$A1000,$B$2:$B$1001,$B1000)&gt;1,"Duplicate",IF(AND(D1000&lt;&gt;"Withdrawn",G1000&lt;&gt;"",COUNTIFS($B$2:$B$1001,$B1000,$G$2:$G$1001,G1000,$D$2:$D$1001,"&lt;&gt;Withdrawn")&gt;1),"Same-day clash","OK"))))))</f>
        <v/>
      </c>
    </row>
    <row r="1001" customFormat="false" ht="15" hidden="false" customHeight="false" outlineLevel="0" collapsed="false">
      <c r="E1001" s="26"/>
      <c r="G1001" s="23" t="str">
        <f aca="false">IF($A1001="","",IFERROR(IF(INDEX(Activities!$C$2:$C$201,MATCH($A1001,Activities!$A$2:$A$201,0))="","",INDEX(Activities!$C$2:$C$201,MATCH($A1001,Activities!$A$2:$A$201,0))),""))</f>
        <v/>
      </c>
      <c r="H1001" s="24" t="str">
        <f aca="false">IF($A1001="","",IFERROR(IF(INDEX(Activities!$B$2:$B$201,MATCH($A1001,Activities!$A$2:$A$201,0))="","",INDEX(Activities!$B$2:$B$201,MATCH($A1001,Activities!$A$2:$A$201,0))),""))</f>
        <v/>
      </c>
      <c r="I1001" s="24" t="str">
        <f aca="false">IF($B1001="","",IFERROR(IF(INDEX(Students!$C$2:$C$301,MATCH($B1001,Students!$A$2:$A$301,0))="","",INDEX(Students!$C$2:$C$301,MATCH($B1001,Students!$A$2:$A$301,0))),""))</f>
        <v/>
      </c>
      <c r="J1001" s="24" t="str">
        <f aca="false">IF($B1001="","",IFERROR(IF(INDEX(Students!$B$2:$B$301,MATCH($B1001,Students!$A$2:$A$301,0))="","",INDEX(Students!$B$2:$B$301,MATCH($B1001,Students!$A$2:$A$301,0))),""))</f>
        <v/>
      </c>
      <c r="K1001" s="25" t="str">
        <f aca="false">IF($A1001="","",IF(D1001="Withdrawn",0,IF(E1001&lt;&gt;"",N(E1001),IFERROR(N(INDEX(Activities!$I$2:$I$201,MATCH($A1001,Activities!$A$2:$A$201,0))),0))))</f>
        <v/>
      </c>
      <c r="L1001" s="24" t="str">
        <f aca="false">IF(AND($A1001="",$B1001=""),"",IF(ISNA(MATCH($A1001,Activities!$A$2:$A$201,0)),"Unknown activity",IF(ISNA(MATCH($B1001,Students!$A$2:$A$301,0)),"Unknown student",IF(D1001="","No status",IF(COUNTIFS($A$2:$A$1001,$A1001,$B$2:$B$1001,$B1001)&gt;1,"Duplicate",IF(AND(D1001&lt;&gt;"Withdrawn",G1001&lt;&gt;"",COUNTIFS($B$2:$B$1001,$B1001,$G$2:$G$1001,G1001,$D$2:$D$1001,"&lt;&gt;Withdrawn")&gt;1),"Same-day clash","OK"))))))</f>
        <v/>
      </c>
    </row>
  </sheetData>
  <autoFilter ref="A1:L1001"/>
  <conditionalFormatting sqref="L2:L1001">
    <cfRule type="expression" priority="2" aboveAverage="0" equalAverage="0" bottom="0" percent="0" rank="0" text="" dxfId="5">
      <formula>AND($L2&lt;&gt;"",$L2&lt;&gt;"OK")</formula>
    </cfRule>
    <cfRule type="cellIs" priority="3" operator="equal" aboveAverage="0" equalAverage="0" bottom="0" percent="0" rank="0" text="" dxfId="20">
      <formula>"OK"</formula>
    </cfRule>
  </conditionalFormatting>
  <conditionalFormatting sqref="D2:D1001">
    <cfRule type="cellIs" priority="4" operator="equal" aboveAverage="0" equalAverage="0" bottom="0" percent="0" rank="0" text="" dxfId="4">
      <formula>"Completed"</formula>
    </cfRule>
    <cfRule type="cellIs" priority="5" operator="equal" aboveAverage="0" equalAverage="0" bottom="0" percent="0" rank="0" text="" dxfId="6">
      <formula>"Confirmed"</formula>
    </cfRule>
    <cfRule type="cellIs" priority="6" operator="equal" aboveAverage="0" equalAverage="0" bottom="0" percent="0" rank="0" text="" dxfId="2">
      <formula>"Tentative"</formula>
    </cfRule>
    <cfRule type="cellIs" priority="7" operator="equal" aboveAverage="0" equalAverage="0" bottom="0" percent="0" rank="0" text="" dxfId="21">
      <formula>"Withdrawn"</formula>
    </cfRule>
  </conditionalFormatting>
  <dataValidations count="5">
    <dataValidation allowBlank="true" error="Choose a value from the dropdown." errorStyle="stop" errorTitle="Pick from the list" operator="between" prompt="Pick an activity listed on the Activities sheet." promptTitle="Tip" showDropDown="false" showErrorMessage="true" showInputMessage="true" sqref="A2:A1001" type="list">
      <formula1>Activities!$A$2:$A$201</formula1>
      <formula2>0</formula2>
    </dataValidation>
    <dataValidation allowBlank="true" error="Choose a value from the dropdown." errorStyle="stop" errorTitle="Pick from the list" operator="between" prompt="Pick a student listed on the Students sheet (start typing to search)." promptTitle="Tip" showDropDown="false" showErrorMessage="true" showInputMessage="true" sqref="B2:B1001" type="list">
      <formula1>Students!$A$2:$A$301</formula1>
      <formula2>0</formula2>
    </dataValidation>
    <dataValidation allowBlank="true" error="Choose a value from the dropdown." errorStyle="stop" errorTitle="Pick from the list" operator="between" showDropDown="false" showErrorMessage="true" showInputMessage="false" sqref="C2:C1001" type="list">
      <formula1>Setup!$B$2:$B$60</formula1>
      <formula2>0</formula2>
    </dataValidation>
    <dataValidation allowBlank="true" error="Choose a value from the dropdown." errorStyle="stop" errorTitle="Pick from the list" operator="between" showDropDown="false" showErrorMessage="true" showInputMessage="false" sqref="D2:D1001" type="list">
      <formula1>Setup!$C$2:$C$60</formula1>
      <formula2>0</formula2>
    </dataValidation>
    <dataValidation allowBlank="true" error="Hours must be between 0 and 24." errorStyle="stop" operator="between" prompt="Leave blank to credit the activity's own duration." promptTitle="Optional" showDropDown="false" showErrorMessage="true" showInputMessage="true" sqref="E2:E1001" type="decimal">
      <formula1>0</formula1>
      <formula2>24</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O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8"/>
    <col collapsed="false" customWidth="true" hidden="false" outlineLevel="0" max="3" min="3" style="0" width="14"/>
    <col collapsed="false" customWidth="true" hidden="false" outlineLevel="0" max="5" min="4" style="0" width="11"/>
    <col collapsed="false" customWidth="true" hidden="false" outlineLevel="0" max="6" min="6" style="0" width="20"/>
    <col collapsed="false" customWidth="true" hidden="false" outlineLevel="0" max="7" min="7" style="0" width="18"/>
    <col collapsed="false" customWidth="true" hidden="false" outlineLevel="0" max="8" min="8" style="0" width="10"/>
    <col collapsed="false" customWidth="true" hidden="false" outlineLevel="0" max="9" min="9" style="0" width="9"/>
    <col collapsed="false" customWidth="true" hidden="false" outlineLevel="0" max="11" min="10" style="0" width="10"/>
    <col collapsed="false" customWidth="true" hidden="false" outlineLevel="0" max="12" min="12" style="0" width="9"/>
    <col collapsed="false" customWidth="true" hidden="false" outlineLevel="0" max="13" min="13" style="0" width="15"/>
    <col collapsed="false" customWidth="true" hidden="false" outlineLevel="0" max="14" min="14" style="0" width="13"/>
    <col collapsed="false" customWidth="true" hidden="false" outlineLevel="0" max="15" min="15" style="0" width="11"/>
  </cols>
  <sheetData>
    <row r="1" customFormat="false" ht="30" hidden="false" customHeight="true" outlineLevel="0" collapsed="false">
      <c r="A1" s="19" t="s">
        <v>35</v>
      </c>
      <c r="B1" s="19" t="s">
        <v>24</v>
      </c>
      <c r="C1" s="19" t="s">
        <v>36</v>
      </c>
      <c r="D1" s="19" t="s">
        <v>56</v>
      </c>
      <c r="E1" s="19" t="s">
        <v>57</v>
      </c>
      <c r="F1" s="19" t="s">
        <v>58</v>
      </c>
      <c r="G1" s="19" t="s">
        <v>59</v>
      </c>
      <c r="H1" s="19" t="s">
        <v>60</v>
      </c>
      <c r="I1" s="20" t="s">
        <v>61</v>
      </c>
      <c r="J1" s="20" t="s">
        <v>39</v>
      </c>
      <c r="K1" s="20" t="s">
        <v>62</v>
      </c>
      <c r="L1" s="20" t="s">
        <v>41</v>
      </c>
      <c r="M1" s="20" t="s">
        <v>63</v>
      </c>
      <c r="N1" s="20" t="s">
        <v>37</v>
      </c>
      <c r="O1" s="20" t="s">
        <v>64</v>
      </c>
    </row>
    <row r="2" customFormat="false" ht="15" hidden="false" customHeight="false" outlineLevel="0" collapsed="false">
      <c r="A2" s="21" t="s">
        <v>51</v>
      </c>
      <c r="B2" s="21" t="s">
        <v>65</v>
      </c>
      <c r="C2" s="27" t="n">
        <v>46311</v>
      </c>
      <c r="D2" s="28" t="n">
        <v>0.333333333333333</v>
      </c>
      <c r="E2" s="28" t="n">
        <v>0.479166666666667</v>
      </c>
      <c r="F2" s="21" t="s">
        <v>66</v>
      </c>
      <c r="G2" s="21" t="s">
        <v>67</v>
      </c>
      <c r="H2" s="29" t="n">
        <v>12</v>
      </c>
      <c r="I2" s="25" t="n">
        <f aca="false">IF(OR(D2="",E2=""),"",ROUND(MOD(E2-D2,1)*24,2))</f>
        <v>3.5</v>
      </c>
      <c r="J2" s="30" t="n">
        <f aca="false">IF($A2="","",COUNTIFS(Deployments!$A$2:$A$1001,$A2,Deployments!$D$2:$D$1001,"&lt;&gt;Withdrawn"))</f>
        <v>1</v>
      </c>
      <c r="K2" s="30" t="n">
        <f aca="false">IF($A2="","",MAX(0,N(H2)-J2))</f>
        <v>11</v>
      </c>
      <c r="L2" s="31" t="n">
        <f aca="false">IF(OR($A2="",N(H2)=0),"",J2/H2)</f>
        <v>0.0833333333333333</v>
      </c>
      <c r="M2" s="24" t="str">
        <f aca="false">IF($A2="","",IF(N(H2)=0,"No target",IF(J2&gt;H2,"Over-staffed",IF(J2=H2,"Fully staffed",IF(J2=0,"Unstaffed","Short")))))</f>
        <v>Short</v>
      </c>
      <c r="N2" s="24" t="str">
        <f aca="true">IF(OR($A2="",C2=""),"",IF(C2&lt;TODAY(),"Past",IF(C2-TODAY()&lt;=Setup!$H$3,"Upcoming","Later")))</f>
        <v>Past</v>
      </c>
      <c r="O2" s="32" t="n">
        <f aca="false">IF($A2="","",IF(C2="",100000,C2)+ROW()/100000)</f>
        <v>46311.00002</v>
      </c>
    </row>
    <row r="3" customFormat="false" ht="15" hidden="false" customHeight="false" outlineLevel="0" collapsed="false">
      <c r="C3" s="33"/>
      <c r="D3" s="34"/>
      <c r="E3" s="34"/>
      <c r="I3" s="25" t="str">
        <f aca="false">IF(OR(D3="",E3=""),"",ROUND(MOD(E3-D3,1)*24,2))</f>
        <v/>
      </c>
      <c r="J3" s="30" t="str">
        <f aca="false">IF($A3="","",COUNTIFS(Deployments!$A$2:$A$1001,$A3,Deployments!$D$2:$D$1001,"&lt;&gt;Withdrawn"))</f>
        <v/>
      </c>
      <c r="K3" s="30" t="str">
        <f aca="false">IF($A3="","",MAX(0,N(H3)-J3))</f>
        <v/>
      </c>
      <c r="L3" s="31" t="str">
        <f aca="false">IF(OR($A3="",N(H3)=0),"",J3/H3)</f>
        <v/>
      </c>
      <c r="M3" s="24" t="str">
        <f aca="false">IF($A3="","",IF(N(H3)=0,"No target",IF(J3&gt;H3,"Over-staffed",IF(J3=H3,"Fully staffed",IF(J3=0,"Unstaffed","Short")))))</f>
        <v/>
      </c>
      <c r="N3" s="24" t="str">
        <f aca="true">IF(OR($A3="",C3=""),"",IF(C3&lt;TODAY(),"Past",IF(C3-TODAY()&lt;=Setup!$H$3,"Upcoming","Later")))</f>
        <v/>
      </c>
      <c r="O3" s="32" t="str">
        <f aca="false">IF($A3="","",IF(C3="",100000,C3)+ROW()/100000)</f>
        <v/>
      </c>
    </row>
    <row r="4" customFormat="false" ht="15" hidden="false" customHeight="false" outlineLevel="0" collapsed="false">
      <c r="C4" s="33"/>
      <c r="D4" s="34"/>
      <c r="E4" s="34"/>
      <c r="I4" s="25" t="str">
        <f aca="false">IF(OR(D4="",E4=""),"",ROUND(MOD(E4-D4,1)*24,2))</f>
        <v/>
      </c>
      <c r="J4" s="30" t="str">
        <f aca="false">IF($A4="","",COUNTIFS(Deployments!$A$2:$A$1001,$A4,Deployments!$D$2:$D$1001,"&lt;&gt;Withdrawn"))</f>
        <v/>
      </c>
      <c r="K4" s="30" t="str">
        <f aca="false">IF($A4="","",MAX(0,N(H4)-J4))</f>
        <v/>
      </c>
      <c r="L4" s="31" t="str">
        <f aca="false">IF(OR($A4="",N(H4)=0),"",J4/H4)</f>
        <v/>
      </c>
      <c r="M4" s="24" t="str">
        <f aca="false">IF($A4="","",IF(N(H4)=0,"No target",IF(J4&gt;H4,"Over-staffed",IF(J4=H4,"Fully staffed",IF(J4=0,"Unstaffed","Short")))))</f>
        <v/>
      </c>
      <c r="N4" s="24" t="str">
        <f aca="true">IF(OR($A4="",C4=""),"",IF(C4&lt;TODAY(),"Past",IF(C4-TODAY()&lt;=Setup!$H$3,"Upcoming","Later")))</f>
        <v/>
      </c>
      <c r="O4" s="32" t="str">
        <f aca="false">IF($A4="","",IF(C4="",100000,C4)+ROW()/100000)</f>
        <v/>
      </c>
    </row>
    <row r="5" customFormat="false" ht="15" hidden="false" customHeight="false" outlineLevel="0" collapsed="false">
      <c r="C5" s="33"/>
      <c r="D5" s="34"/>
      <c r="E5" s="34"/>
      <c r="I5" s="25" t="str">
        <f aca="false">IF(OR(D5="",E5=""),"",ROUND(MOD(E5-D5,1)*24,2))</f>
        <v/>
      </c>
      <c r="J5" s="30" t="str">
        <f aca="false">IF($A5="","",COUNTIFS(Deployments!$A$2:$A$1001,$A5,Deployments!$D$2:$D$1001,"&lt;&gt;Withdrawn"))</f>
        <v/>
      </c>
      <c r="K5" s="30" t="str">
        <f aca="false">IF($A5="","",MAX(0,N(H5)-J5))</f>
        <v/>
      </c>
      <c r="L5" s="31" t="str">
        <f aca="false">IF(OR($A5="",N(H5)=0),"",J5/H5)</f>
        <v/>
      </c>
      <c r="M5" s="24" t="str">
        <f aca="false">IF($A5="","",IF(N(H5)=0,"No target",IF(J5&gt;H5,"Over-staffed",IF(J5=H5,"Fully staffed",IF(J5=0,"Unstaffed","Short")))))</f>
        <v/>
      </c>
      <c r="N5" s="24" t="str">
        <f aca="true">IF(OR($A5="",C5=""),"",IF(C5&lt;TODAY(),"Past",IF(C5-TODAY()&lt;=Setup!$H$3,"Upcoming","Later")))</f>
        <v/>
      </c>
      <c r="O5" s="32" t="str">
        <f aca="false">IF($A5="","",IF(C5="",100000,C5)+ROW()/100000)</f>
        <v/>
      </c>
    </row>
    <row r="6" customFormat="false" ht="15" hidden="false" customHeight="false" outlineLevel="0" collapsed="false">
      <c r="C6" s="33"/>
      <c r="D6" s="34"/>
      <c r="E6" s="34"/>
      <c r="I6" s="25" t="str">
        <f aca="false">IF(OR(D6="",E6=""),"",ROUND(MOD(E6-D6,1)*24,2))</f>
        <v/>
      </c>
      <c r="J6" s="30" t="str">
        <f aca="false">IF($A6="","",COUNTIFS(Deployments!$A$2:$A$1001,$A6,Deployments!$D$2:$D$1001,"&lt;&gt;Withdrawn"))</f>
        <v/>
      </c>
      <c r="K6" s="30" t="str">
        <f aca="false">IF($A6="","",MAX(0,N(H6)-J6))</f>
        <v/>
      </c>
      <c r="L6" s="31" t="str">
        <f aca="false">IF(OR($A6="",N(H6)=0),"",J6/H6)</f>
        <v/>
      </c>
      <c r="M6" s="24" t="str">
        <f aca="false">IF($A6="","",IF(N(H6)=0,"No target",IF(J6&gt;H6,"Over-staffed",IF(J6=H6,"Fully staffed",IF(J6=0,"Unstaffed","Short")))))</f>
        <v/>
      </c>
      <c r="N6" s="24" t="str">
        <f aca="true">IF(OR($A6="",C6=""),"",IF(C6&lt;TODAY(),"Past",IF(C6-TODAY()&lt;=Setup!$H$3,"Upcoming","Later")))</f>
        <v/>
      </c>
      <c r="O6" s="32" t="str">
        <f aca="false">IF($A6="","",IF(C6="",100000,C6)+ROW()/100000)</f>
        <v/>
      </c>
    </row>
    <row r="7" customFormat="false" ht="15" hidden="false" customHeight="false" outlineLevel="0" collapsed="false">
      <c r="C7" s="33"/>
      <c r="D7" s="34"/>
      <c r="E7" s="34"/>
      <c r="I7" s="25" t="str">
        <f aca="false">IF(OR(D7="",E7=""),"",ROUND(MOD(E7-D7,1)*24,2))</f>
        <v/>
      </c>
      <c r="J7" s="30" t="str">
        <f aca="false">IF($A7="","",COUNTIFS(Deployments!$A$2:$A$1001,$A7,Deployments!$D$2:$D$1001,"&lt;&gt;Withdrawn"))</f>
        <v/>
      </c>
      <c r="K7" s="30" t="str">
        <f aca="false">IF($A7="","",MAX(0,N(H7)-J7))</f>
        <v/>
      </c>
      <c r="L7" s="31" t="str">
        <f aca="false">IF(OR($A7="",N(H7)=0),"",J7/H7)</f>
        <v/>
      </c>
      <c r="M7" s="24" t="str">
        <f aca="false">IF($A7="","",IF(N(H7)=0,"No target",IF(J7&gt;H7,"Over-staffed",IF(J7=H7,"Fully staffed",IF(J7=0,"Unstaffed","Short")))))</f>
        <v/>
      </c>
      <c r="N7" s="24" t="str">
        <f aca="true">IF(OR($A7="",C7=""),"",IF(C7&lt;TODAY(),"Past",IF(C7-TODAY()&lt;=Setup!$H$3,"Upcoming","Later")))</f>
        <v/>
      </c>
      <c r="O7" s="32" t="str">
        <f aca="false">IF($A7="","",IF(C7="",100000,C7)+ROW()/100000)</f>
        <v/>
      </c>
    </row>
    <row r="8" customFormat="false" ht="15" hidden="false" customHeight="false" outlineLevel="0" collapsed="false">
      <c r="C8" s="33"/>
      <c r="D8" s="34"/>
      <c r="E8" s="34"/>
      <c r="I8" s="25" t="str">
        <f aca="false">IF(OR(D8="",E8=""),"",ROUND(MOD(E8-D8,1)*24,2))</f>
        <v/>
      </c>
      <c r="J8" s="30" t="str">
        <f aca="false">IF($A8="","",COUNTIFS(Deployments!$A$2:$A$1001,$A8,Deployments!$D$2:$D$1001,"&lt;&gt;Withdrawn"))</f>
        <v/>
      </c>
      <c r="K8" s="30" t="str">
        <f aca="false">IF($A8="","",MAX(0,N(H8)-J8))</f>
        <v/>
      </c>
      <c r="L8" s="31" t="str">
        <f aca="false">IF(OR($A8="",N(H8)=0),"",J8/H8)</f>
        <v/>
      </c>
      <c r="M8" s="24" t="str">
        <f aca="false">IF($A8="","",IF(N(H8)=0,"No target",IF(J8&gt;H8,"Over-staffed",IF(J8=H8,"Fully staffed",IF(J8=0,"Unstaffed","Short")))))</f>
        <v/>
      </c>
      <c r="N8" s="24" t="str">
        <f aca="true">IF(OR($A8="",C8=""),"",IF(C8&lt;TODAY(),"Past",IF(C8-TODAY()&lt;=Setup!$H$3,"Upcoming","Later")))</f>
        <v/>
      </c>
      <c r="O8" s="32" t="str">
        <f aca="false">IF($A8="","",IF(C8="",100000,C8)+ROW()/100000)</f>
        <v/>
      </c>
    </row>
    <row r="9" customFormat="false" ht="15" hidden="false" customHeight="false" outlineLevel="0" collapsed="false">
      <c r="C9" s="33"/>
      <c r="D9" s="34"/>
      <c r="E9" s="34"/>
      <c r="I9" s="25" t="str">
        <f aca="false">IF(OR(D9="",E9=""),"",ROUND(MOD(E9-D9,1)*24,2))</f>
        <v/>
      </c>
      <c r="J9" s="30" t="str">
        <f aca="false">IF($A9="","",COUNTIFS(Deployments!$A$2:$A$1001,$A9,Deployments!$D$2:$D$1001,"&lt;&gt;Withdrawn"))</f>
        <v/>
      </c>
      <c r="K9" s="30" t="str">
        <f aca="false">IF($A9="","",MAX(0,N(H9)-J9))</f>
        <v/>
      </c>
      <c r="L9" s="31" t="str">
        <f aca="false">IF(OR($A9="",N(H9)=0),"",J9/H9)</f>
        <v/>
      </c>
      <c r="M9" s="24" t="str">
        <f aca="false">IF($A9="","",IF(N(H9)=0,"No target",IF(J9&gt;H9,"Over-staffed",IF(J9=H9,"Fully staffed",IF(J9=0,"Unstaffed","Short")))))</f>
        <v/>
      </c>
      <c r="N9" s="24" t="str">
        <f aca="true">IF(OR($A9="",C9=""),"",IF(C9&lt;TODAY(),"Past",IF(C9-TODAY()&lt;=Setup!$H$3,"Upcoming","Later")))</f>
        <v/>
      </c>
      <c r="O9" s="32" t="str">
        <f aca="false">IF($A9="","",IF(C9="",100000,C9)+ROW()/100000)</f>
        <v/>
      </c>
    </row>
    <row r="10" customFormat="false" ht="15" hidden="false" customHeight="false" outlineLevel="0" collapsed="false">
      <c r="C10" s="33"/>
      <c r="D10" s="34"/>
      <c r="E10" s="34"/>
      <c r="I10" s="25" t="str">
        <f aca="false">IF(OR(D10="",E10=""),"",ROUND(MOD(E10-D10,1)*24,2))</f>
        <v/>
      </c>
      <c r="J10" s="30" t="str">
        <f aca="false">IF($A10="","",COUNTIFS(Deployments!$A$2:$A$1001,$A10,Deployments!$D$2:$D$1001,"&lt;&gt;Withdrawn"))</f>
        <v/>
      </c>
      <c r="K10" s="30" t="str">
        <f aca="false">IF($A10="","",MAX(0,N(H10)-J10))</f>
        <v/>
      </c>
      <c r="L10" s="31" t="str">
        <f aca="false">IF(OR($A10="",N(H10)=0),"",J10/H10)</f>
        <v/>
      </c>
      <c r="M10" s="24" t="str">
        <f aca="false">IF($A10="","",IF(N(H10)=0,"No target",IF(J10&gt;H10,"Over-staffed",IF(J10=H10,"Fully staffed",IF(J10=0,"Unstaffed","Short")))))</f>
        <v/>
      </c>
      <c r="N10" s="24" t="str">
        <f aca="true">IF(OR($A10="",C10=""),"",IF(C10&lt;TODAY(),"Past",IF(C10-TODAY()&lt;=Setup!$H$3,"Upcoming","Later")))</f>
        <v/>
      </c>
      <c r="O10" s="32" t="str">
        <f aca="false">IF($A10="","",IF(C10="",100000,C10)+ROW()/100000)</f>
        <v/>
      </c>
    </row>
    <row r="11" customFormat="false" ht="15" hidden="false" customHeight="false" outlineLevel="0" collapsed="false">
      <c r="C11" s="33"/>
      <c r="D11" s="34"/>
      <c r="E11" s="34"/>
      <c r="I11" s="25" t="str">
        <f aca="false">IF(OR(D11="",E11=""),"",ROUND(MOD(E11-D11,1)*24,2))</f>
        <v/>
      </c>
      <c r="J11" s="30" t="str">
        <f aca="false">IF($A11="","",COUNTIFS(Deployments!$A$2:$A$1001,$A11,Deployments!$D$2:$D$1001,"&lt;&gt;Withdrawn"))</f>
        <v/>
      </c>
      <c r="K11" s="30" t="str">
        <f aca="false">IF($A11="","",MAX(0,N(H11)-J11))</f>
        <v/>
      </c>
      <c r="L11" s="31" t="str">
        <f aca="false">IF(OR($A11="",N(H11)=0),"",J11/H11)</f>
        <v/>
      </c>
      <c r="M11" s="24" t="str">
        <f aca="false">IF($A11="","",IF(N(H11)=0,"No target",IF(J11&gt;H11,"Over-staffed",IF(J11=H11,"Fully staffed",IF(J11=0,"Unstaffed","Short")))))</f>
        <v/>
      </c>
      <c r="N11" s="24" t="str">
        <f aca="true">IF(OR($A11="",C11=""),"",IF(C11&lt;TODAY(),"Past",IF(C11-TODAY()&lt;=Setup!$H$3,"Upcoming","Later")))</f>
        <v/>
      </c>
      <c r="O11" s="32" t="str">
        <f aca="false">IF($A11="","",IF(C11="",100000,C11)+ROW()/100000)</f>
        <v/>
      </c>
    </row>
    <row r="12" customFormat="false" ht="15" hidden="false" customHeight="false" outlineLevel="0" collapsed="false">
      <c r="C12" s="33"/>
      <c r="D12" s="34"/>
      <c r="E12" s="34"/>
      <c r="I12" s="25" t="str">
        <f aca="false">IF(OR(D12="",E12=""),"",ROUND(MOD(E12-D12,1)*24,2))</f>
        <v/>
      </c>
      <c r="J12" s="30" t="str">
        <f aca="false">IF($A12="","",COUNTIFS(Deployments!$A$2:$A$1001,$A12,Deployments!$D$2:$D$1001,"&lt;&gt;Withdrawn"))</f>
        <v/>
      </c>
      <c r="K12" s="30" t="str">
        <f aca="false">IF($A12="","",MAX(0,N(H12)-J12))</f>
        <v/>
      </c>
      <c r="L12" s="31" t="str">
        <f aca="false">IF(OR($A12="",N(H12)=0),"",J12/H12)</f>
        <v/>
      </c>
      <c r="M12" s="24" t="str">
        <f aca="false">IF($A12="","",IF(N(H12)=0,"No target",IF(J12&gt;H12,"Over-staffed",IF(J12=H12,"Fully staffed",IF(J12=0,"Unstaffed","Short")))))</f>
        <v/>
      </c>
      <c r="N12" s="24" t="str">
        <f aca="true">IF(OR($A12="",C12=""),"",IF(C12&lt;TODAY(),"Past",IF(C12-TODAY()&lt;=Setup!$H$3,"Upcoming","Later")))</f>
        <v/>
      </c>
      <c r="O12" s="32" t="str">
        <f aca="false">IF($A12="","",IF(C12="",100000,C12)+ROW()/100000)</f>
        <v/>
      </c>
    </row>
    <row r="13" customFormat="false" ht="15" hidden="false" customHeight="false" outlineLevel="0" collapsed="false">
      <c r="C13" s="33"/>
      <c r="D13" s="34"/>
      <c r="E13" s="34"/>
      <c r="I13" s="25" t="str">
        <f aca="false">IF(OR(D13="",E13=""),"",ROUND(MOD(E13-D13,1)*24,2))</f>
        <v/>
      </c>
      <c r="J13" s="30" t="str">
        <f aca="false">IF($A13="","",COUNTIFS(Deployments!$A$2:$A$1001,$A13,Deployments!$D$2:$D$1001,"&lt;&gt;Withdrawn"))</f>
        <v/>
      </c>
      <c r="K13" s="30" t="str">
        <f aca="false">IF($A13="","",MAX(0,N(H13)-J13))</f>
        <v/>
      </c>
      <c r="L13" s="31" t="str">
        <f aca="false">IF(OR($A13="",N(H13)=0),"",J13/H13)</f>
        <v/>
      </c>
      <c r="M13" s="24" t="str">
        <f aca="false">IF($A13="","",IF(N(H13)=0,"No target",IF(J13&gt;H13,"Over-staffed",IF(J13=H13,"Fully staffed",IF(J13=0,"Unstaffed","Short")))))</f>
        <v/>
      </c>
      <c r="N13" s="24" t="str">
        <f aca="true">IF(OR($A13="",C13=""),"",IF(C13&lt;TODAY(),"Past",IF(C13-TODAY()&lt;=Setup!$H$3,"Upcoming","Later")))</f>
        <v/>
      </c>
      <c r="O13" s="32" t="str">
        <f aca="false">IF($A13="","",IF(C13="",100000,C13)+ROW()/100000)</f>
        <v/>
      </c>
    </row>
    <row r="14" customFormat="false" ht="15" hidden="false" customHeight="false" outlineLevel="0" collapsed="false">
      <c r="C14" s="33"/>
      <c r="D14" s="34"/>
      <c r="E14" s="34"/>
      <c r="I14" s="25" t="str">
        <f aca="false">IF(OR(D14="",E14=""),"",ROUND(MOD(E14-D14,1)*24,2))</f>
        <v/>
      </c>
      <c r="J14" s="30" t="str">
        <f aca="false">IF($A14="","",COUNTIFS(Deployments!$A$2:$A$1001,$A14,Deployments!$D$2:$D$1001,"&lt;&gt;Withdrawn"))</f>
        <v/>
      </c>
      <c r="K14" s="30" t="str">
        <f aca="false">IF($A14="","",MAX(0,N(H14)-J14))</f>
        <v/>
      </c>
      <c r="L14" s="31" t="str">
        <f aca="false">IF(OR($A14="",N(H14)=0),"",J14/H14)</f>
        <v/>
      </c>
      <c r="M14" s="24" t="str">
        <f aca="false">IF($A14="","",IF(N(H14)=0,"No target",IF(J14&gt;H14,"Over-staffed",IF(J14=H14,"Fully staffed",IF(J14=0,"Unstaffed","Short")))))</f>
        <v/>
      </c>
      <c r="N14" s="24" t="str">
        <f aca="true">IF(OR($A14="",C14=""),"",IF(C14&lt;TODAY(),"Past",IF(C14-TODAY()&lt;=Setup!$H$3,"Upcoming","Later")))</f>
        <v/>
      </c>
      <c r="O14" s="32" t="str">
        <f aca="false">IF($A14="","",IF(C14="",100000,C14)+ROW()/100000)</f>
        <v/>
      </c>
    </row>
    <row r="15" customFormat="false" ht="15" hidden="false" customHeight="false" outlineLevel="0" collapsed="false">
      <c r="C15" s="33"/>
      <c r="D15" s="34"/>
      <c r="E15" s="34"/>
      <c r="I15" s="25" t="str">
        <f aca="false">IF(OR(D15="",E15=""),"",ROUND(MOD(E15-D15,1)*24,2))</f>
        <v/>
      </c>
      <c r="J15" s="30" t="str">
        <f aca="false">IF($A15="","",COUNTIFS(Deployments!$A$2:$A$1001,$A15,Deployments!$D$2:$D$1001,"&lt;&gt;Withdrawn"))</f>
        <v/>
      </c>
      <c r="K15" s="30" t="str">
        <f aca="false">IF($A15="","",MAX(0,N(H15)-J15))</f>
        <v/>
      </c>
      <c r="L15" s="31" t="str">
        <f aca="false">IF(OR($A15="",N(H15)=0),"",J15/H15)</f>
        <v/>
      </c>
      <c r="M15" s="24" t="str">
        <f aca="false">IF($A15="","",IF(N(H15)=0,"No target",IF(J15&gt;H15,"Over-staffed",IF(J15=H15,"Fully staffed",IF(J15=0,"Unstaffed","Short")))))</f>
        <v/>
      </c>
      <c r="N15" s="24" t="str">
        <f aca="true">IF(OR($A15="",C15=""),"",IF(C15&lt;TODAY(),"Past",IF(C15-TODAY()&lt;=Setup!$H$3,"Upcoming","Later")))</f>
        <v/>
      </c>
      <c r="O15" s="32" t="str">
        <f aca="false">IF($A15="","",IF(C15="",100000,C15)+ROW()/100000)</f>
        <v/>
      </c>
    </row>
    <row r="16" customFormat="false" ht="15" hidden="false" customHeight="false" outlineLevel="0" collapsed="false">
      <c r="C16" s="33"/>
      <c r="D16" s="34"/>
      <c r="E16" s="34"/>
      <c r="I16" s="25" t="str">
        <f aca="false">IF(OR(D16="",E16=""),"",ROUND(MOD(E16-D16,1)*24,2))</f>
        <v/>
      </c>
      <c r="J16" s="30" t="str">
        <f aca="false">IF($A16="","",COUNTIFS(Deployments!$A$2:$A$1001,$A16,Deployments!$D$2:$D$1001,"&lt;&gt;Withdrawn"))</f>
        <v/>
      </c>
      <c r="K16" s="30" t="str">
        <f aca="false">IF($A16="","",MAX(0,N(H16)-J16))</f>
        <v/>
      </c>
      <c r="L16" s="31" t="str">
        <f aca="false">IF(OR($A16="",N(H16)=0),"",J16/H16)</f>
        <v/>
      </c>
      <c r="M16" s="24" t="str">
        <f aca="false">IF($A16="","",IF(N(H16)=0,"No target",IF(J16&gt;H16,"Over-staffed",IF(J16=H16,"Fully staffed",IF(J16=0,"Unstaffed","Short")))))</f>
        <v/>
      </c>
      <c r="N16" s="24" t="str">
        <f aca="true">IF(OR($A16="",C16=""),"",IF(C16&lt;TODAY(),"Past",IF(C16-TODAY()&lt;=Setup!$H$3,"Upcoming","Later")))</f>
        <v/>
      </c>
      <c r="O16" s="32" t="str">
        <f aca="false">IF($A16="","",IF(C16="",100000,C16)+ROW()/100000)</f>
        <v/>
      </c>
    </row>
    <row r="17" customFormat="false" ht="15" hidden="false" customHeight="false" outlineLevel="0" collapsed="false">
      <c r="C17" s="33"/>
      <c r="D17" s="34"/>
      <c r="E17" s="34"/>
      <c r="I17" s="25" t="str">
        <f aca="false">IF(OR(D17="",E17=""),"",ROUND(MOD(E17-D17,1)*24,2))</f>
        <v/>
      </c>
      <c r="J17" s="30" t="str">
        <f aca="false">IF($A17="","",COUNTIFS(Deployments!$A$2:$A$1001,$A17,Deployments!$D$2:$D$1001,"&lt;&gt;Withdrawn"))</f>
        <v/>
      </c>
      <c r="K17" s="30" t="str">
        <f aca="false">IF($A17="","",MAX(0,N(H17)-J17))</f>
        <v/>
      </c>
      <c r="L17" s="31" t="str">
        <f aca="false">IF(OR($A17="",N(H17)=0),"",J17/H17)</f>
        <v/>
      </c>
      <c r="M17" s="24" t="str">
        <f aca="false">IF($A17="","",IF(N(H17)=0,"No target",IF(J17&gt;H17,"Over-staffed",IF(J17=H17,"Fully staffed",IF(J17=0,"Unstaffed","Short")))))</f>
        <v/>
      </c>
      <c r="N17" s="24" t="str">
        <f aca="true">IF(OR($A17="",C17=""),"",IF(C17&lt;TODAY(),"Past",IF(C17-TODAY()&lt;=Setup!$H$3,"Upcoming","Later")))</f>
        <v/>
      </c>
      <c r="O17" s="32" t="str">
        <f aca="false">IF($A17="","",IF(C17="",100000,C17)+ROW()/100000)</f>
        <v/>
      </c>
    </row>
    <row r="18" customFormat="false" ht="15" hidden="false" customHeight="false" outlineLevel="0" collapsed="false">
      <c r="C18" s="33"/>
      <c r="D18" s="34"/>
      <c r="E18" s="34"/>
      <c r="I18" s="25" t="str">
        <f aca="false">IF(OR(D18="",E18=""),"",ROUND(MOD(E18-D18,1)*24,2))</f>
        <v/>
      </c>
      <c r="J18" s="30" t="str">
        <f aca="false">IF($A18="","",COUNTIFS(Deployments!$A$2:$A$1001,$A18,Deployments!$D$2:$D$1001,"&lt;&gt;Withdrawn"))</f>
        <v/>
      </c>
      <c r="K18" s="30" t="str">
        <f aca="false">IF($A18="","",MAX(0,N(H18)-J18))</f>
        <v/>
      </c>
      <c r="L18" s="31" t="str">
        <f aca="false">IF(OR($A18="",N(H18)=0),"",J18/H18)</f>
        <v/>
      </c>
      <c r="M18" s="24" t="str">
        <f aca="false">IF($A18="","",IF(N(H18)=0,"No target",IF(J18&gt;H18,"Over-staffed",IF(J18=H18,"Fully staffed",IF(J18=0,"Unstaffed","Short")))))</f>
        <v/>
      </c>
      <c r="N18" s="24" t="str">
        <f aca="true">IF(OR($A18="",C18=""),"",IF(C18&lt;TODAY(),"Past",IF(C18-TODAY()&lt;=Setup!$H$3,"Upcoming","Later")))</f>
        <v/>
      </c>
      <c r="O18" s="32" t="str">
        <f aca="false">IF($A18="","",IF(C18="",100000,C18)+ROW()/100000)</f>
        <v/>
      </c>
    </row>
    <row r="19" customFormat="false" ht="15" hidden="false" customHeight="false" outlineLevel="0" collapsed="false">
      <c r="C19" s="33"/>
      <c r="D19" s="34"/>
      <c r="E19" s="34"/>
      <c r="I19" s="25" t="str">
        <f aca="false">IF(OR(D19="",E19=""),"",ROUND(MOD(E19-D19,1)*24,2))</f>
        <v/>
      </c>
      <c r="J19" s="30" t="str">
        <f aca="false">IF($A19="","",COUNTIFS(Deployments!$A$2:$A$1001,$A19,Deployments!$D$2:$D$1001,"&lt;&gt;Withdrawn"))</f>
        <v/>
      </c>
      <c r="K19" s="30" t="str">
        <f aca="false">IF($A19="","",MAX(0,N(H19)-J19))</f>
        <v/>
      </c>
      <c r="L19" s="31" t="str">
        <f aca="false">IF(OR($A19="",N(H19)=0),"",J19/H19)</f>
        <v/>
      </c>
      <c r="M19" s="24" t="str">
        <f aca="false">IF($A19="","",IF(N(H19)=0,"No target",IF(J19&gt;H19,"Over-staffed",IF(J19=H19,"Fully staffed",IF(J19=0,"Unstaffed","Short")))))</f>
        <v/>
      </c>
      <c r="N19" s="24" t="str">
        <f aca="true">IF(OR($A19="",C19=""),"",IF(C19&lt;TODAY(),"Past",IF(C19-TODAY()&lt;=Setup!$H$3,"Upcoming","Later")))</f>
        <v/>
      </c>
      <c r="O19" s="32" t="str">
        <f aca="false">IF($A19="","",IF(C19="",100000,C19)+ROW()/100000)</f>
        <v/>
      </c>
    </row>
    <row r="20" customFormat="false" ht="15" hidden="false" customHeight="false" outlineLevel="0" collapsed="false">
      <c r="C20" s="33"/>
      <c r="D20" s="34"/>
      <c r="E20" s="34"/>
      <c r="I20" s="25" t="str">
        <f aca="false">IF(OR(D20="",E20=""),"",ROUND(MOD(E20-D20,1)*24,2))</f>
        <v/>
      </c>
      <c r="J20" s="30" t="str">
        <f aca="false">IF($A20="","",COUNTIFS(Deployments!$A$2:$A$1001,$A20,Deployments!$D$2:$D$1001,"&lt;&gt;Withdrawn"))</f>
        <v/>
      </c>
      <c r="K20" s="30" t="str">
        <f aca="false">IF($A20="","",MAX(0,N(H20)-J20))</f>
        <v/>
      </c>
      <c r="L20" s="31" t="str">
        <f aca="false">IF(OR($A20="",N(H20)=0),"",J20/H20)</f>
        <v/>
      </c>
      <c r="M20" s="24" t="str">
        <f aca="false">IF($A20="","",IF(N(H20)=0,"No target",IF(J20&gt;H20,"Over-staffed",IF(J20=H20,"Fully staffed",IF(J20=0,"Unstaffed","Short")))))</f>
        <v/>
      </c>
      <c r="N20" s="24" t="str">
        <f aca="true">IF(OR($A20="",C20=""),"",IF(C20&lt;TODAY(),"Past",IF(C20-TODAY()&lt;=Setup!$H$3,"Upcoming","Later")))</f>
        <v/>
      </c>
      <c r="O20" s="32" t="str">
        <f aca="false">IF($A20="","",IF(C20="",100000,C20)+ROW()/100000)</f>
        <v/>
      </c>
    </row>
    <row r="21" customFormat="false" ht="15" hidden="false" customHeight="false" outlineLevel="0" collapsed="false">
      <c r="C21" s="33"/>
      <c r="D21" s="34"/>
      <c r="E21" s="34"/>
      <c r="I21" s="25" t="str">
        <f aca="false">IF(OR(D21="",E21=""),"",ROUND(MOD(E21-D21,1)*24,2))</f>
        <v/>
      </c>
      <c r="J21" s="30" t="str">
        <f aca="false">IF($A21="","",COUNTIFS(Deployments!$A$2:$A$1001,$A21,Deployments!$D$2:$D$1001,"&lt;&gt;Withdrawn"))</f>
        <v/>
      </c>
      <c r="K21" s="30" t="str">
        <f aca="false">IF($A21="","",MAX(0,N(H21)-J21))</f>
        <v/>
      </c>
      <c r="L21" s="31" t="str">
        <f aca="false">IF(OR($A21="",N(H21)=0),"",J21/H21)</f>
        <v/>
      </c>
      <c r="M21" s="24" t="str">
        <f aca="false">IF($A21="","",IF(N(H21)=0,"No target",IF(J21&gt;H21,"Over-staffed",IF(J21=H21,"Fully staffed",IF(J21=0,"Unstaffed","Short")))))</f>
        <v/>
      </c>
      <c r="N21" s="24" t="str">
        <f aca="true">IF(OR($A21="",C21=""),"",IF(C21&lt;TODAY(),"Past",IF(C21-TODAY()&lt;=Setup!$H$3,"Upcoming","Later")))</f>
        <v/>
      </c>
      <c r="O21" s="32" t="str">
        <f aca="false">IF($A21="","",IF(C21="",100000,C21)+ROW()/100000)</f>
        <v/>
      </c>
    </row>
    <row r="22" customFormat="false" ht="15" hidden="false" customHeight="false" outlineLevel="0" collapsed="false">
      <c r="C22" s="33"/>
      <c r="D22" s="34"/>
      <c r="E22" s="34"/>
      <c r="I22" s="25" t="str">
        <f aca="false">IF(OR(D22="",E22=""),"",ROUND(MOD(E22-D22,1)*24,2))</f>
        <v/>
      </c>
      <c r="J22" s="30" t="str">
        <f aca="false">IF($A22="","",COUNTIFS(Deployments!$A$2:$A$1001,$A22,Deployments!$D$2:$D$1001,"&lt;&gt;Withdrawn"))</f>
        <v/>
      </c>
      <c r="K22" s="30" t="str">
        <f aca="false">IF($A22="","",MAX(0,N(H22)-J22))</f>
        <v/>
      </c>
      <c r="L22" s="31" t="str">
        <f aca="false">IF(OR($A22="",N(H22)=0),"",J22/H22)</f>
        <v/>
      </c>
      <c r="M22" s="24" t="str">
        <f aca="false">IF($A22="","",IF(N(H22)=0,"No target",IF(J22&gt;H22,"Over-staffed",IF(J22=H22,"Fully staffed",IF(J22=0,"Unstaffed","Short")))))</f>
        <v/>
      </c>
      <c r="N22" s="24" t="str">
        <f aca="true">IF(OR($A22="",C22=""),"",IF(C22&lt;TODAY(),"Past",IF(C22-TODAY()&lt;=Setup!$H$3,"Upcoming","Later")))</f>
        <v/>
      </c>
      <c r="O22" s="32" t="str">
        <f aca="false">IF($A22="","",IF(C22="",100000,C22)+ROW()/100000)</f>
        <v/>
      </c>
    </row>
    <row r="23" customFormat="false" ht="15" hidden="false" customHeight="false" outlineLevel="0" collapsed="false">
      <c r="C23" s="33"/>
      <c r="D23" s="34"/>
      <c r="E23" s="34"/>
      <c r="I23" s="25" t="str">
        <f aca="false">IF(OR(D23="",E23=""),"",ROUND(MOD(E23-D23,1)*24,2))</f>
        <v/>
      </c>
      <c r="J23" s="30" t="str">
        <f aca="false">IF($A23="","",COUNTIFS(Deployments!$A$2:$A$1001,$A23,Deployments!$D$2:$D$1001,"&lt;&gt;Withdrawn"))</f>
        <v/>
      </c>
      <c r="K23" s="30" t="str">
        <f aca="false">IF($A23="","",MAX(0,N(H23)-J23))</f>
        <v/>
      </c>
      <c r="L23" s="31" t="str">
        <f aca="false">IF(OR($A23="",N(H23)=0),"",J23/H23)</f>
        <v/>
      </c>
      <c r="M23" s="24" t="str">
        <f aca="false">IF($A23="","",IF(N(H23)=0,"No target",IF(J23&gt;H23,"Over-staffed",IF(J23=H23,"Fully staffed",IF(J23=0,"Unstaffed","Short")))))</f>
        <v/>
      </c>
      <c r="N23" s="24" t="str">
        <f aca="true">IF(OR($A23="",C23=""),"",IF(C23&lt;TODAY(),"Past",IF(C23-TODAY()&lt;=Setup!$H$3,"Upcoming","Later")))</f>
        <v/>
      </c>
      <c r="O23" s="32" t="str">
        <f aca="false">IF($A23="","",IF(C23="",100000,C23)+ROW()/100000)</f>
        <v/>
      </c>
    </row>
    <row r="24" customFormat="false" ht="15" hidden="false" customHeight="false" outlineLevel="0" collapsed="false">
      <c r="C24" s="33"/>
      <c r="D24" s="34"/>
      <c r="E24" s="34"/>
      <c r="I24" s="25" t="str">
        <f aca="false">IF(OR(D24="",E24=""),"",ROUND(MOD(E24-D24,1)*24,2))</f>
        <v/>
      </c>
      <c r="J24" s="30" t="str">
        <f aca="false">IF($A24="","",COUNTIFS(Deployments!$A$2:$A$1001,$A24,Deployments!$D$2:$D$1001,"&lt;&gt;Withdrawn"))</f>
        <v/>
      </c>
      <c r="K24" s="30" t="str">
        <f aca="false">IF($A24="","",MAX(0,N(H24)-J24))</f>
        <v/>
      </c>
      <c r="L24" s="31" t="str">
        <f aca="false">IF(OR($A24="",N(H24)=0),"",J24/H24)</f>
        <v/>
      </c>
      <c r="M24" s="24" t="str">
        <f aca="false">IF($A24="","",IF(N(H24)=0,"No target",IF(J24&gt;H24,"Over-staffed",IF(J24=H24,"Fully staffed",IF(J24=0,"Unstaffed","Short")))))</f>
        <v/>
      </c>
      <c r="N24" s="24" t="str">
        <f aca="true">IF(OR($A24="",C24=""),"",IF(C24&lt;TODAY(),"Past",IF(C24-TODAY()&lt;=Setup!$H$3,"Upcoming","Later")))</f>
        <v/>
      </c>
      <c r="O24" s="32" t="str">
        <f aca="false">IF($A24="","",IF(C24="",100000,C24)+ROW()/100000)</f>
        <v/>
      </c>
    </row>
    <row r="25" customFormat="false" ht="15" hidden="false" customHeight="false" outlineLevel="0" collapsed="false">
      <c r="C25" s="33"/>
      <c r="D25" s="34"/>
      <c r="E25" s="34"/>
      <c r="I25" s="25" t="str">
        <f aca="false">IF(OR(D25="",E25=""),"",ROUND(MOD(E25-D25,1)*24,2))</f>
        <v/>
      </c>
      <c r="J25" s="30" t="str">
        <f aca="false">IF($A25="","",COUNTIFS(Deployments!$A$2:$A$1001,$A25,Deployments!$D$2:$D$1001,"&lt;&gt;Withdrawn"))</f>
        <v/>
      </c>
      <c r="K25" s="30" t="str">
        <f aca="false">IF($A25="","",MAX(0,N(H25)-J25))</f>
        <v/>
      </c>
      <c r="L25" s="31" t="str">
        <f aca="false">IF(OR($A25="",N(H25)=0),"",J25/H25)</f>
        <v/>
      </c>
      <c r="M25" s="24" t="str">
        <f aca="false">IF($A25="","",IF(N(H25)=0,"No target",IF(J25&gt;H25,"Over-staffed",IF(J25=H25,"Fully staffed",IF(J25=0,"Unstaffed","Short")))))</f>
        <v/>
      </c>
      <c r="N25" s="24" t="str">
        <f aca="true">IF(OR($A25="",C25=""),"",IF(C25&lt;TODAY(),"Past",IF(C25-TODAY()&lt;=Setup!$H$3,"Upcoming","Later")))</f>
        <v/>
      </c>
      <c r="O25" s="32" t="str">
        <f aca="false">IF($A25="","",IF(C25="",100000,C25)+ROW()/100000)</f>
        <v/>
      </c>
    </row>
    <row r="26" customFormat="false" ht="15" hidden="false" customHeight="false" outlineLevel="0" collapsed="false">
      <c r="C26" s="33"/>
      <c r="D26" s="34"/>
      <c r="E26" s="34"/>
      <c r="I26" s="25" t="str">
        <f aca="false">IF(OR(D26="",E26=""),"",ROUND(MOD(E26-D26,1)*24,2))</f>
        <v/>
      </c>
      <c r="J26" s="30" t="str">
        <f aca="false">IF($A26="","",COUNTIFS(Deployments!$A$2:$A$1001,$A26,Deployments!$D$2:$D$1001,"&lt;&gt;Withdrawn"))</f>
        <v/>
      </c>
      <c r="K26" s="30" t="str">
        <f aca="false">IF($A26="","",MAX(0,N(H26)-J26))</f>
        <v/>
      </c>
      <c r="L26" s="31" t="str">
        <f aca="false">IF(OR($A26="",N(H26)=0),"",J26/H26)</f>
        <v/>
      </c>
      <c r="M26" s="24" t="str">
        <f aca="false">IF($A26="","",IF(N(H26)=0,"No target",IF(J26&gt;H26,"Over-staffed",IF(J26=H26,"Fully staffed",IF(J26=0,"Unstaffed","Short")))))</f>
        <v/>
      </c>
      <c r="N26" s="24" t="str">
        <f aca="true">IF(OR($A26="",C26=""),"",IF(C26&lt;TODAY(),"Past",IF(C26-TODAY()&lt;=Setup!$H$3,"Upcoming","Later")))</f>
        <v/>
      </c>
      <c r="O26" s="32" t="str">
        <f aca="false">IF($A26="","",IF(C26="",100000,C26)+ROW()/100000)</f>
        <v/>
      </c>
    </row>
    <row r="27" customFormat="false" ht="15" hidden="false" customHeight="false" outlineLevel="0" collapsed="false">
      <c r="C27" s="33"/>
      <c r="D27" s="34"/>
      <c r="E27" s="34"/>
      <c r="I27" s="25" t="str">
        <f aca="false">IF(OR(D27="",E27=""),"",ROUND(MOD(E27-D27,1)*24,2))</f>
        <v/>
      </c>
      <c r="J27" s="30" t="str">
        <f aca="false">IF($A27="","",COUNTIFS(Deployments!$A$2:$A$1001,$A27,Deployments!$D$2:$D$1001,"&lt;&gt;Withdrawn"))</f>
        <v/>
      </c>
      <c r="K27" s="30" t="str">
        <f aca="false">IF($A27="","",MAX(0,N(H27)-J27))</f>
        <v/>
      </c>
      <c r="L27" s="31" t="str">
        <f aca="false">IF(OR($A27="",N(H27)=0),"",J27/H27)</f>
        <v/>
      </c>
      <c r="M27" s="24" t="str">
        <f aca="false">IF($A27="","",IF(N(H27)=0,"No target",IF(J27&gt;H27,"Over-staffed",IF(J27=H27,"Fully staffed",IF(J27=0,"Unstaffed","Short")))))</f>
        <v/>
      </c>
      <c r="N27" s="24" t="str">
        <f aca="true">IF(OR($A27="",C27=""),"",IF(C27&lt;TODAY(),"Past",IF(C27-TODAY()&lt;=Setup!$H$3,"Upcoming","Later")))</f>
        <v/>
      </c>
      <c r="O27" s="32" t="str">
        <f aca="false">IF($A27="","",IF(C27="",100000,C27)+ROW()/100000)</f>
        <v/>
      </c>
    </row>
    <row r="28" customFormat="false" ht="15" hidden="false" customHeight="false" outlineLevel="0" collapsed="false">
      <c r="C28" s="33"/>
      <c r="D28" s="34"/>
      <c r="E28" s="34"/>
      <c r="I28" s="25" t="str">
        <f aca="false">IF(OR(D28="",E28=""),"",ROUND(MOD(E28-D28,1)*24,2))</f>
        <v/>
      </c>
      <c r="J28" s="30" t="str">
        <f aca="false">IF($A28="","",COUNTIFS(Deployments!$A$2:$A$1001,$A28,Deployments!$D$2:$D$1001,"&lt;&gt;Withdrawn"))</f>
        <v/>
      </c>
      <c r="K28" s="30" t="str">
        <f aca="false">IF($A28="","",MAX(0,N(H28)-J28))</f>
        <v/>
      </c>
      <c r="L28" s="31" t="str">
        <f aca="false">IF(OR($A28="",N(H28)=0),"",J28/H28)</f>
        <v/>
      </c>
      <c r="M28" s="24" t="str">
        <f aca="false">IF($A28="","",IF(N(H28)=0,"No target",IF(J28&gt;H28,"Over-staffed",IF(J28=H28,"Fully staffed",IF(J28=0,"Unstaffed","Short")))))</f>
        <v/>
      </c>
      <c r="N28" s="24" t="str">
        <f aca="true">IF(OR($A28="",C28=""),"",IF(C28&lt;TODAY(),"Past",IF(C28-TODAY()&lt;=Setup!$H$3,"Upcoming","Later")))</f>
        <v/>
      </c>
      <c r="O28" s="32" t="str">
        <f aca="false">IF($A28="","",IF(C28="",100000,C28)+ROW()/100000)</f>
        <v/>
      </c>
    </row>
    <row r="29" customFormat="false" ht="15" hidden="false" customHeight="false" outlineLevel="0" collapsed="false">
      <c r="C29" s="33"/>
      <c r="D29" s="34"/>
      <c r="E29" s="34"/>
      <c r="I29" s="25" t="str">
        <f aca="false">IF(OR(D29="",E29=""),"",ROUND(MOD(E29-D29,1)*24,2))</f>
        <v/>
      </c>
      <c r="J29" s="30" t="str">
        <f aca="false">IF($A29="","",COUNTIFS(Deployments!$A$2:$A$1001,$A29,Deployments!$D$2:$D$1001,"&lt;&gt;Withdrawn"))</f>
        <v/>
      </c>
      <c r="K29" s="30" t="str">
        <f aca="false">IF($A29="","",MAX(0,N(H29)-J29))</f>
        <v/>
      </c>
      <c r="L29" s="31" t="str">
        <f aca="false">IF(OR($A29="",N(H29)=0),"",J29/H29)</f>
        <v/>
      </c>
      <c r="M29" s="24" t="str">
        <f aca="false">IF($A29="","",IF(N(H29)=0,"No target",IF(J29&gt;H29,"Over-staffed",IF(J29=H29,"Fully staffed",IF(J29=0,"Unstaffed","Short")))))</f>
        <v/>
      </c>
      <c r="N29" s="24" t="str">
        <f aca="true">IF(OR($A29="",C29=""),"",IF(C29&lt;TODAY(),"Past",IF(C29-TODAY()&lt;=Setup!$H$3,"Upcoming","Later")))</f>
        <v/>
      </c>
      <c r="O29" s="32" t="str">
        <f aca="false">IF($A29="","",IF(C29="",100000,C29)+ROW()/100000)</f>
        <v/>
      </c>
    </row>
    <row r="30" customFormat="false" ht="15" hidden="false" customHeight="false" outlineLevel="0" collapsed="false">
      <c r="C30" s="33"/>
      <c r="D30" s="34"/>
      <c r="E30" s="34"/>
      <c r="I30" s="25" t="str">
        <f aca="false">IF(OR(D30="",E30=""),"",ROUND(MOD(E30-D30,1)*24,2))</f>
        <v/>
      </c>
      <c r="J30" s="30" t="str">
        <f aca="false">IF($A30="","",COUNTIFS(Deployments!$A$2:$A$1001,$A30,Deployments!$D$2:$D$1001,"&lt;&gt;Withdrawn"))</f>
        <v/>
      </c>
      <c r="K30" s="30" t="str">
        <f aca="false">IF($A30="","",MAX(0,N(H30)-J30))</f>
        <v/>
      </c>
      <c r="L30" s="31" t="str">
        <f aca="false">IF(OR($A30="",N(H30)=0),"",J30/H30)</f>
        <v/>
      </c>
      <c r="M30" s="24" t="str">
        <f aca="false">IF($A30="","",IF(N(H30)=0,"No target",IF(J30&gt;H30,"Over-staffed",IF(J30=H30,"Fully staffed",IF(J30=0,"Unstaffed","Short")))))</f>
        <v/>
      </c>
      <c r="N30" s="24" t="str">
        <f aca="true">IF(OR($A30="",C30=""),"",IF(C30&lt;TODAY(),"Past",IF(C30-TODAY()&lt;=Setup!$H$3,"Upcoming","Later")))</f>
        <v/>
      </c>
      <c r="O30" s="32" t="str">
        <f aca="false">IF($A30="","",IF(C30="",100000,C30)+ROW()/100000)</f>
        <v/>
      </c>
    </row>
    <row r="31" customFormat="false" ht="15" hidden="false" customHeight="false" outlineLevel="0" collapsed="false">
      <c r="C31" s="33"/>
      <c r="D31" s="34"/>
      <c r="E31" s="34"/>
      <c r="I31" s="25" t="str">
        <f aca="false">IF(OR(D31="",E31=""),"",ROUND(MOD(E31-D31,1)*24,2))</f>
        <v/>
      </c>
      <c r="J31" s="30" t="str">
        <f aca="false">IF($A31="","",COUNTIFS(Deployments!$A$2:$A$1001,$A31,Deployments!$D$2:$D$1001,"&lt;&gt;Withdrawn"))</f>
        <v/>
      </c>
      <c r="K31" s="30" t="str">
        <f aca="false">IF($A31="","",MAX(0,N(H31)-J31))</f>
        <v/>
      </c>
      <c r="L31" s="31" t="str">
        <f aca="false">IF(OR($A31="",N(H31)=0),"",J31/H31)</f>
        <v/>
      </c>
      <c r="M31" s="24" t="str">
        <f aca="false">IF($A31="","",IF(N(H31)=0,"No target",IF(J31&gt;H31,"Over-staffed",IF(J31=H31,"Fully staffed",IF(J31=0,"Unstaffed","Short")))))</f>
        <v/>
      </c>
      <c r="N31" s="24" t="str">
        <f aca="true">IF(OR($A31="",C31=""),"",IF(C31&lt;TODAY(),"Past",IF(C31-TODAY()&lt;=Setup!$H$3,"Upcoming","Later")))</f>
        <v/>
      </c>
      <c r="O31" s="32" t="str">
        <f aca="false">IF($A31="","",IF(C31="",100000,C31)+ROW()/100000)</f>
        <v/>
      </c>
    </row>
    <row r="32" customFormat="false" ht="15" hidden="false" customHeight="false" outlineLevel="0" collapsed="false">
      <c r="C32" s="33"/>
      <c r="D32" s="34"/>
      <c r="E32" s="34"/>
      <c r="I32" s="25" t="str">
        <f aca="false">IF(OR(D32="",E32=""),"",ROUND(MOD(E32-D32,1)*24,2))</f>
        <v/>
      </c>
      <c r="J32" s="30" t="str">
        <f aca="false">IF($A32="","",COUNTIFS(Deployments!$A$2:$A$1001,$A32,Deployments!$D$2:$D$1001,"&lt;&gt;Withdrawn"))</f>
        <v/>
      </c>
      <c r="K32" s="30" t="str">
        <f aca="false">IF($A32="","",MAX(0,N(H32)-J32))</f>
        <v/>
      </c>
      <c r="L32" s="31" t="str">
        <f aca="false">IF(OR($A32="",N(H32)=0),"",J32/H32)</f>
        <v/>
      </c>
      <c r="M32" s="24" t="str">
        <f aca="false">IF($A32="","",IF(N(H32)=0,"No target",IF(J32&gt;H32,"Over-staffed",IF(J32=H32,"Fully staffed",IF(J32=0,"Unstaffed","Short")))))</f>
        <v/>
      </c>
      <c r="N32" s="24" t="str">
        <f aca="true">IF(OR($A32="",C32=""),"",IF(C32&lt;TODAY(),"Past",IF(C32-TODAY()&lt;=Setup!$H$3,"Upcoming","Later")))</f>
        <v/>
      </c>
      <c r="O32" s="32" t="str">
        <f aca="false">IF($A32="","",IF(C32="",100000,C32)+ROW()/100000)</f>
        <v/>
      </c>
    </row>
    <row r="33" customFormat="false" ht="15" hidden="false" customHeight="false" outlineLevel="0" collapsed="false">
      <c r="C33" s="33"/>
      <c r="D33" s="34"/>
      <c r="E33" s="34"/>
      <c r="I33" s="25" t="str">
        <f aca="false">IF(OR(D33="",E33=""),"",ROUND(MOD(E33-D33,1)*24,2))</f>
        <v/>
      </c>
      <c r="J33" s="30" t="str">
        <f aca="false">IF($A33="","",COUNTIFS(Deployments!$A$2:$A$1001,$A33,Deployments!$D$2:$D$1001,"&lt;&gt;Withdrawn"))</f>
        <v/>
      </c>
      <c r="K33" s="30" t="str">
        <f aca="false">IF($A33="","",MAX(0,N(H33)-J33))</f>
        <v/>
      </c>
      <c r="L33" s="31" t="str">
        <f aca="false">IF(OR($A33="",N(H33)=0),"",J33/H33)</f>
        <v/>
      </c>
      <c r="M33" s="24" t="str">
        <f aca="false">IF($A33="","",IF(N(H33)=0,"No target",IF(J33&gt;H33,"Over-staffed",IF(J33=H33,"Fully staffed",IF(J33=0,"Unstaffed","Short")))))</f>
        <v/>
      </c>
      <c r="N33" s="24" t="str">
        <f aca="true">IF(OR($A33="",C33=""),"",IF(C33&lt;TODAY(),"Past",IF(C33-TODAY()&lt;=Setup!$H$3,"Upcoming","Later")))</f>
        <v/>
      </c>
      <c r="O33" s="32" t="str">
        <f aca="false">IF($A33="","",IF(C33="",100000,C33)+ROW()/100000)</f>
        <v/>
      </c>
    </row>
    <row r="34" customFormat="false" ht="15" hidden="false" customHeight="false" outlineLevel="0" collapsed="false">
      <c r="C34" s="33"/>
      <c r="D34" s="34"/>
      <c r="E34" s="34"/>
      <c r="I34" s="25" t="str">
        <f aca="false">IF(OR(D34="",E34=""),"",ROUND(MOD(E34-D34,1)*24,2))</f>
        <v/>
      </c>
      <c r="J34" s="30" t="str">
        <f aca="false">IF($A34="","",COUNTIFS(Deployments!$A$2:$A$1001,$A34,Deployments!$D$2:$D$1001,"&lt;&gt;Withdrawn"))</f>
        <v/>
      </c>
      <c r="K34" s="30" t="str">
        <f aca="false">IF($A34="","",MAX(0,N(H34)-J34))</f>
        <v/>
      </c>
      <c r="L34" s="31" t="str">
        <f aca="false">IF(OR($A34="",N(H34)=0),"",J34/H34)</f>
        <v/>
      </c>
      <c r="M34" s="24" t="str">
        <f aca="false">IF($A34="","",IF(N(H34)=0,"No target",IF(J34&gt;H34,"Over-staffed",IF(J34=H34,"Fully staffed",IF(J34=0,"Unstaffed","Short")))))</f>
        <v/>
      </c>
      <c r="N34" s="24" t="str">
        <f aca="true">IF(OR($A34="",C34=""),"",IF(C34&lt;TODAY(),"Past",IF(C34-TODAY()&lt;=Setup!$H$3,"Upcoming","Later")))</f>
        <v/>
      </c>
      <c r="O34" s="32" t="str">
        <f aca="false">IF($A34="","",IF(C34="",100000,C34)+ROW()/100000)</f>
        <v/>
      </c>
    </row>
    <row r="35" customFormat="false" ht="15" hidden="false" customHeight="false" outlineLevel="0" collapsed="false">
      <c r="C35" s="33"/>
      <c r="D35" s="34"/>
      <c r="E35" s="34"/>
      <c r="I35" s="25" t="str">
        <f aca="false">IF(OR(D35="",E35=""),"",ROUND(MOD(E35-D35,1)*24,2))</f>
        <v/>
      </c>
      <c r="J35" s="30" t="str">
        <f aca="false">IF($A35="","",COUNTIFS(Deployments!$A$2:$A$1001,$A35,Deployments!$D$2:$D$1001,"&lt;&gt;Withdrawn"))</f>
        <v/>
      </c>
      <c r="K35" s="30" t="str">
        <f aca="false">IF($A35="","",MAX(0,N(H35)-J35))</f>
        <v/>
      </c>
      <c r="L35" s="31" t="str">
        <f aca="false">IF(OR($A35="",N(H35)=0),"",J35/H35)</f>
        <v/>
      </c>
      <c r="M35" s="24" t="str">
        <f aca="false">IF($A35="","",IF(N(H35)=0,"No target",IF(J35&gt;H35,"Over-staffed",IF(J35=H35,"Fully staffed",IF(J35=0,"Unstaffed","Short")))))</f>
        <v/>
      </c>
      <c r="N35" s="24" t="str">
        <f aca="true">IF(OR($A35="",C35=""),"",IF(C35&lt;TODAY(),"Past",IF(C35-TODAY()&lt;=Setup!$H$3,"Upcoming","Later")))</f>
        <v/>
      </c>
      <c r="O35" s="32" t="str">
        <f aca="false">IF($A35="","",IF(C35="",100000,C35)+ROW()/100000)</f>
        <v/>
      </c>
    </row>
    <row r="36" customFormat="false" ht="15" hidden="false" customHeight="false" outlineLevel="0" collapsed="false">
      <c r="C36" s="33"/>
      <c r="D36" s="34"/>
      <c r="E36" s="34"/>
      <c r="I36" s="25" t="str">
        <f aca="false">IF(OR(D36="",E36=""),"",ROUND(MOD(E36-D36,1)*24,2))</f>
        <v/>
      </c>
      <c r="J36" s="30" t="str">
        <f aca="false">IF($A36="","",COUNTIFS(Deployments!$A$2:$A$1001,$A36,Deployments!$D$2:$D$1001,"&lt;&gt;Withdrawn"))</f>
        <v/>
      </c>
      <c r="K36" s="30" t="str">
        <f aca="false">IF($A36="","",MAX(0,N(H36)-J36))</f>
        <v/>
      </c>
      <c r="L36" s="31" t="str">
        <f aca="false">IF(OR($A36="",N(H36)=0),"",J36/H36)</f>
        <v/>
      </c>
      <c r="M36" s="24" t="str">
        <f aca="false">IF($A36="","",IF(N(H36)=0,"No target",IF(J36&gt;H36,"Over-staffed",IF(J36=H36,"Fully staffed",IF(J36=0,"Unstaffed","Short")))))</f>
        <v/>
      </c>
      <c r="N36" s="24" t="str">
        <f aca="true">IF(OR($A36="",C36=""),"",IF(C36&lt;TODAY(),"Past",IF(C36-TODAY()&lt;=Setup!$H$3,"Upcoming","Later")))</f>
        <v/>
      </c>
      <c r="O36" s="32" t="str">
        <f aca="false">IF($A36="","",IF(C36="",100000,C36)+ROW()/100000)</f>
        <v/>
      </c>
    </row>
    <row r="37" customFormat="false" ht="15" hidden="false" customHeight="false" outlineLevel="0" collapsed="false">
      <c r="C37" s="33"/>
      <c r="D37" s="34"/>
      <c r="E37" s="34"/>
      <c r="I37" s="25" t="str">
        <f aca="false">IF(OR(D37="",E37=""),"",ROUND(MOD(E37-D37,1)*24,2))</f>
        <v/>
      </c>
      <c r="J37" s="30" t="str">
        <f aca="false">IF($A37="","",COUNTIFS(Deployments!$A$2:$A$1001,$A37,Deployments!$D$2:$D$1001,"&lt;&gt;Withdrawn"))</f>
        <v/>
      </c>
      <c r="K37" s="30" t="str">
        <f aca="false">IF($A37="","",MAX(0,N(H37)-J37))</f>
        <v/>
      </c>
      <c r="L37" s="31" t="str">
        <f aca="false">IF(OR($A37="",N(H37)=0),"",J37/H37)</f>
        <v/>
      </c>
      <c r="M37" s="24" t="str">
        <f aca="false">IF($A37="","",IF(N(H37)=0,"No target",IF(J37&gt;H37,"Over-staffed",IF(J37=H37,"Fully staffed",IF(J37=0,"Unstaffed","Short")))))</f>
        <v/>
      </c>
      <c r="N37" s="24" t="str">
        <f aca="true">IF(OR($A37="",C37=""),"",IF(C37&lt;TODAY(),"Past",IF(C37-TODAY()&lt;=Setup!$H$3,"Upcoming","Later")))</f>
        <v/>
      </c>
      <c r="O37" s="32" t="str">
        <f aca="false">IF($A37="","",IF(C37="",100000,C37)+ROW()/100000)</f>
        <v/>
      </c>
    </row>
    <row r="38" customFormat="false" ht="15" hidden="false" customHeight="false" outlineLevel="0" collapsed="false">
      <c r="C38" s="33"/>
      <c r="D38" s="34"/>
      <c r="E38" s="34"/>
      <c r="I38" s="25" t="str">
        <f aca="false">IF(OR(D38="",E38=""),"",ROUND(MOD(E38-D38,1)*24,2))</f>
        <v/>
      </c>
      <c r="J38" s="30" t="str">
        <f aca="false">IF($A38="","",COUNTIFS(Deployments!$A$2:$A$1001,$A38,Deployments!$D$2:$D$1001,"&lt;&gt;Withdrawn"))</f>
        <v/>
      </c>
      <c r="K38" s="30" t="str">
        <f aca="false">IF($A38="","",MAX(0,N(H38)-J38))</f>
        <v/>
      </c>
      <c r="L38" s="31" t="str">
        <f aca="false">IF(OR($A38="",N(H38)=0),"",J38/H38)</f>
        <v/>
      </c>
      <c r="M38" s="24" t="str">
        <f aca="false">IF($A38="","",IF(N(H38)=0,"No target",IF(J38&gt;H38,"Over-staffed",IF(J38=H38,"Fully staffed",IF(J38=0,"Unstaffed","Short")))))</f>
        <v/>
      </c>
      <c r="N38" s="24" t="str">
        <f aca="true">IF(OR($A38="",C38=""),"",IF(C38&lt;TODAY(),"Past",IF(C38-TODAY()&lt;=Setup!$H$3,"Upcoming","Later")))</f>
        <v/>
      </c>
      <c r="O38" s="32" t="str">
        <f aca="false">IF($A38="","",IF(C38="",100000,C38)+ROW()/100000)</f>
        <v/>
      </c>
    </row>
    <row r="39" customFormat="false" ht="15" hidden="false" customHeight="false" outlineLevel="0" collapsed="false">
      <c r="C39" s="33"/>
      <c r="D39" s="34"/>
      <c r="E39" s="34"/>
      <c r="I39" s="25" t="str">
        <f aca="false">IF(OR(D39="",E39=""),"",ROUND(MOD(E39-D39,1)*24,2))</f>
        <v/>
      </c>
      <c r="J39" s="30" t="str">
        <f aca="false">IF($A39="","",COUNTIFS(Deployments!$A$2:$A$1001,$A39,Deployments!$D$2:$D$1001,"&lt;&gt;Withdrawn"))</f>
        <v/>
      </c>
      <c r="K39" s="30" t="str">
        <f aca="false">IF($A39="","",MAX(0,N(H39)-J39))</f>
        <v/>
      </c>
      <c r="L39" s="31" t="str">
        <f aca="false">IF(OR($A39="",N(H39)=0),"",J39/H39)</f>
        <v/>
      </c>
      <c r="M39" s="24" t="str">
        <f aca="false">IF($A39="","",IF(N(H39)=0,"No target",IF(J39&gt;H39,"Over-staffed",IF(J39=H39,"Fully staffed",IF(J39=0,"Unstaffed","Short")))))</f>
        <v/>
      </c>
      <c r="N39" s="24" t="str">
        <f aca="true">IF(OR($A39="",C39=""),"",IF(C39&lt;TODAY(),"Past",IF(C39-TODAY()&lt;=Setup!$H$3,"Upcoming","Later")))</f>
        <v/>
      </c>
      <c r="O39" s="32" t="str">
        <f aca="false">IF($A39="","",IF(C39="",100000,C39)+ROW()/100000)</f>
        <v/>
      </c>
    </row>
    <row r="40" customFormat="false" ht="15" hidden="false" customHeight="false" outlineLevel="0" collapsed="false">
      <c r="C40" s="33"/>
      <c r="D40" s="34"/>
      <c r="E40" s="34"/>
      <c r="I40" s="25" t="str">
        <f aca="false">IF(OR(D40="",E40=""),"",ROUND(MOD(E40-D40,1)*24,2))</f>
        <v/>
      </c>
      <c r="J40" s="30" t="str">
        <f aca="false">IF($A40="","",COUNTIFS(Deployments!$A$2:$A$1001,$A40,Deployments!$D$2:$D$1001,"&lt;&gt;Withdrawn"))</f>
        <v/>
      </c>
      <c r="K40" s="30" t="str">
        <f aca="false">IF($A40="","",MAX(0,N(H40)-J40))</f>
        <v/>
      </c>
      <c r="L40" s="31" t="str">
        <f aca="false">IF(OR($A40="",N(H40)=0),"",J40/H40)</f>
        <v/>
      </c>
      <c r="M40" s="24" t="str">
        <f aca="false">IF($A40="","",IF(N(H40)=0,"No target",IF(J40&gt;H40,"Over-staffed",IF(J40=H40,"Fully staffed",IF(J40=0,"Unstaffed","Short")))))</f>
        <v/>
      </c>
      <c r="N40" s="24" t="str">
        <f aca="true">IF(OR($A40="",C40=""),"",IF(C40&lt;TODAY(),"Past",IF(C40-TODAY()&lt;=Setup!$H$3,"Upcoming","Later")))</f>
        <v/>
      </c>
      <c r="O40" s="32" t="str">
        <f aca="false">IF($A40="","",IF(C40="",100000,C40)+ROW()/100000)</f>
        <v/>
      </c>
    </row>
    <row r="41" customFormat="false" ht="15" hidden="false" customHeight="false" outlineLevel="0" collapsed="false">
      <c r="C41" s="33"/>
      <c r="D41" s="34"/>
      <c r="E41" s="34"/>
      <c r="I41" s="25" t="str">
        <f aca="false">IF(OR(D41="",E41=""),"",ROUND(MOD(E41-D41,1)*24,2))</f>
        <v/>
      </c>
      <c r="J41" s="30" t="str">
        <f aca="false">IF($A41="","",COUNTIFS(Deployments!$A$2:$A$1001,$A41,Deployments!$D$2:$D$1001,"&lt;&gt;Withdrawn"))</f>
        <v/>
      </c>
      <c r="K41" s="30" t="str">
        <f aca="false">IF($A41="","",MAX(0,N(H41)-J41))</f>
        <v/>
      </c>
      <c r="L41" s="31" t="str">
        <f aca="false">IF(OR($A41="",N(H41)=0),"",J41/H41)</f>
        <v/>
      </c>
      <c r="M41" s="24" t="str">
        <f aca="false">IF($A41="","",IF(N(H41)=0,"No target",IF(J41&gt;H41,"Over-staffed",IF(J41=H41,"Fully staffed",IF(J41=0,"Unstaffed","Short")))))</f>
        <v/>
      </c>
      <c r="N41" s="24" t="str">
        <f aca="true">IF(OR($A41="",C41=""),"",IF(C41&lt;TODAY(),"Past",IF(C41-TODAY()&lt;=Setup!$H$3,"Upcoming","Later")))</f>
        <v/>
      </c>
      <c r="O41" s="32" t="str">
        <f aca="false">IF($A41="","",IF(C41="",100000,C41)+ROW()/100000)</f>
        <v/>
      </c>
    </row>
    <row r="42" customFormat="false" ht="15" hidden="false" customHeight="false" outlineLevel="0" collapsed="false">
      <c r="C42" s="33"/>
      <c r="D42" s="34"/>
      <c r="E42" s="34"/>
      <c r="I42" s="25" t="str">
        <f aca="false">IF(OR(D42="",E42=""),"",ROUND(MOD(E42-D42,1)*24,2))</f>
        <v/>
      </c>
      <c r="J42" s="30" t="str">
        <f aca="false">IF($A42="","",COUNTIFS(Deployments!$A$2:$A$1001,$A42,Deployments!$D$2:$D$1001,"&lt;&gt;Withdrawn"))</f>
        <v/>
      </c>
      <c r="K42" s="30" t="str">
        <f aca="false">IF($A42="","",MAX(0,N(H42)-J42))</f>
        <v/>
      </c>
      <c r="L42" s="31" t="str">
        <f aca="false">IF(OR($A42="",N(H42)=0),"",J42/H42)</f>
        <v/>
      </c>
      <c r="M42" s="24" t="str">
        <f aca="false">IF($A42="","",IF(N(H42)=0,"No target",IF(J42&gt;H42,"Over-staffed",IF(J42=H42,"Fully staffed",IF(J42=0,"Unstaffed","Short")))))</f>
        <v/>
      </c>
      <c r="N42" s="24" t="str">
        <f aca="true">IF(OR($A42="",C42=""),"",IF(C42&lt;TODAY(),"Past",IF(C42-TODAY()&lt;=Setup!$H$3,"Upcoming","Later")))</f>
        <v/>
      </c>
      <c r="O42" s="32" t="str">
        <f aca="false">IF($A42="","",IF(C42="",100000,C42)+ROW()/100000)</f>
        <v/>
      </c>
    </row>
    <row r="43" customFormat="false" ht="15" hidden="false" customHeight="false" outlineLevel="0" collapsed="false">
      <c r="C43" s="33"/>
      <c r="D43" s="34"/>
      <c r="E43" s="34"/>
      <c r="I43" s="25" t="str">
        <f aca="false">IF(OR(D43="",E43=""),"",ROUND(MOD(E43-D43,1)*24,2))</f>
        <v/>
      </c>
      <c r="J43" s="30" t="str">
        <f aca="false">IF($A43="","",COUNTIFS(Deployments!$A$2:$A$1001,$A43,Deployments!$D$2:$D$1001,"&lt;&gt;Withdrawn"))</f>
        <v/>
      </c>
      <c r="K43" s="30" t="str">
        <f aca="false">IF($A43="","",MAX(0,N(H43)-J43))</f>
        <v/>
      </c>
      <c r="L43" s="31" t="str">
        <f aca="false">IF(OR($A43="",N(H43)=0),"",J43/H43)</f>
        <v/>
      </c>
      <c r="M43" s="24" t="str">
        <f aca="false">IF($A43="","",IF(N(H43)=0,"No target",IF(J43&gt;H43,"Over-staffed",IF(J43=H43,"Fully staffed",IF(J43=0,"Unstaffed","Short")))))</f>
        <v/>
      </c>
      <c r="N43" s="24" t="str">
        <f aca="true">IF(OR($A43="",C43=""),"",IF(C43&lt;TODAY(),"Past",IF(C43-TODAY()&lt;=Setup!$H$3,"Upcoming","Later")))</f>
        <v/>
      </c>
      <c r="O43" s="32" t="str">
        <f aca="false">IF($A43="","",IF(C43="",100000,C43)+ROW()/100000)</f>
        <v/>
      </c>
    </row>
    <row r="44" customFormat="false" ht="15" hidden="false" customHeight="false" outlineLevel="0" collapsed="false">
      <c r="C44" s="33"/>
      <c r="D44" s="34"/>
      <c r="E44" s="34"/>
      <c r="I44" s="25" t="str">
        <f aca="false">IF(OR(D44="",E44=""),"",ROUND(MOD(E44-D44,1)*24,2))</f>
        <v/>
      </c>
      <c r="J44" s="30" t="str">
        <f aca="false">IF($A44="","",COUNTIFS(Deployments!$A$2:$A$1001,$A44,Deployments!$D$2:$D$1001,"&lt;&gt;Withdrawn"))</f>
        <v/>
      </c>
      <c r="K44" s="30" t="str">
        <f aca="false">IF($A44="","",MAX(0,N(H44)-J44))</f>
        <v/>
      </c>
      <c r="L44" s="31" t="str">
        <f aca="false">IF(OR($A44="",N(H44)=0),"",J44/H44)</f>
        <v/>
      </c>
      <c r="M44" s="24" t="str">
        <f aca="false">IF($A44="","",IF(N(H44)=0,"No target",IF(J44&gt;H44,"Over-staffed",IF(J44=H44,"Fully staffed",IF(J44=0,"Unstaffed","Short")))))</f>
        <v/>
      </c>
      <c r="N44" s="24" t="str">
        <f aca="true">IF(OR($A44="",C44=""),"",IF(C44&lt;TODAY(),"Past",IF(C44-TODAY()&lt;=Setup!$H$3,"Upcoming","Later")))</f>
        <v/>
      </c>
      <c r="O44" s="32" t="str">
        <f aca="false">IF($A44="","",IF(C44="",100000,C44)+ROW()/100000)</f>
        <v/>
      </c>
    </row>
    <row r="45" customFormat="false" ht="15" hidden="false" customHeight="false" outlineLevel="0" collapsed="false">
      <c r="C45" s="33"/>
      <c r="D45" s="34"/>
      <c r="E45" s="34"/>
      <c r="I45" s="25" t="str">
        <f aca="false">IF(OR(D45="",E45=""),"",ROUND(MOD(E45-D45,1)*24,2))</f>
        <v/>
      </c>
      <c r="J45" s="30" t="str">
        <f aca="false">IF($A45="","",COUNTIFS(Deployments!$A$2:$A$1001,$A45,Deployments!$D$2:$D$1001,"&lt;&gt;Withdrawn"))</f>
        <v/>
      </c>
      <c r="K45" s="30" t="str">
        <f aca="false">IF($A45="","",MAX(0,N(H45)-J45))</f>
        <v/>
      </c>
      <c r="L45" s="31" t="str">
        <f aca="false">IF(OR($A45="",N(H45)=0),"",J45/H45)</f>
        <v/>
      </c>
      <c r="M45" s="24" t="str">
        <f aca="false">IF($A45="","",IF(N(H45)=0,"No target",IF(J45&gt;H45,"Over-staffed",IF(J45=H45,"Fully staffed",IF(J45=0,"Unstaffed","Short")))))</f>
        <v/>
      </c>
      <c r="N45" s="24" t="str">
        <f aca="true">IF(OR($A45="",C45=""),"",IF(C45&lt;TODAY(),"Past",IF(C45-TODAY()&lt;=Setup!$H$3,"Upcoming","Later")))</f>
        <v/>
      </c>
      <c r="O45" s="32" t="str">
        <f aca="false">IF($A45="","",IF(C45="",100000,C45)+ROW()/100000)</f>
        <v/>
      </c>
    </row>
    <row r="46" customFormat="false" ht="15" hidden="false" customHeight="false" outlineLevel="0" collapsed="false">
      <c r="C46" s="33"/>
      <c r="D46" s="34"/>
      <c r="E46" s="34"/>
      <c r="I46" s="25" t="str">
        <f aca="false">IF(OR(D46="",E46=""),"",ROUND(MOD(E46-D46,1)*24,2))</f>
        <v/>
      </c>
      <c r="J46" s="30" t="str">
        <f aca="false">IF($A46="","",COUNTIFS(Deployments!$A$2:$A$1001,$A46,Deployments!$D$2:$D$1001,"&lt;&gt;Withdrawn"))</f>
        <v/>
      </c>
      <c r="K46" s="30" t="str">
        <f aca="false">IF($A46="","",MAX(0,N(H46)-J46))</f>
        <v/>
      </c>
      <c r="L46" s="31" t="str">
        <f aca="false">IF(OR($A46="",N(H46)=0),"",J46/H46)</f>
        <v/>
      </c>
      <c r="M46" s="24" t="str">
        <f aca="false">IF($A46="","",IF(N(H46)=0,"No target",IF(J46&gt;H46,"Over-staffed",IF(J46=H46,"Fully staffed",IF(J46=0,"Unstaffed","Short")))))</f>
        <v/>
      </c>
      <c r="N46" s="24" t="str">
        <f aca="true">IF(OR($A46="",C46=""),"",IF(C46&lt;TODAY(),"Past",IF(C46-TODAY()&lt;=Setup!$H$3,"Upcoming","Later")))</f>
        <v/>
      </c>
      <c r="O46" s="32" t="str">
        <f aca="false">IF($A46="","",IF(C46="",100000,C46)+ROW()/100000)</f>
        <v/>
      </c>
    </row>
    <row r="47" customFormat="false" ht="15" hidden="false" customHeight="false" outlineLevel="0" collapsed="false">
      <c r="C47" s="33"/>
      <c r="D47" s="34"/>
      <c r="E47" s="34"/>
      <c r="I47" s="25" t="str">
        <f aca="false">IF(OR(D47="",E47=""),"",ROUND(MOD(E47-D47,1)*24,2))</f>
        <v/>
      </c>
      <c r="J47" s="30" t="str">
        <f aca="false">IF($A47="","",COUNTIFS(Deployments!$A$2:$A$1001,$A47,Deployments!$D$2:$D$1001,"&lt;&gt;Withdrawn"))</f>
        <v/>
      </c>
      <c r="K47" s="30" t="str">
        <f aca="false">IF($A47="","",MAX(0,N(H47)-J47))</f>
        <v/>
      </c>
      <c r="L47" s="31" t="str">
        <f aca="false">IF(OR($A47="",N(H47)=0),"",J47/H47)</f>
        <v/>
      </c>
      <c r="M47" s="24" t="str">
        <f aca="false">IF($A47="","",IF(N(H47)=0,"No target",IF(J47&gt;H47,"Over-staffed",IF(J47=H47,"Fully staffed",IF(J47=0,"Unstaffed","Short")))))</f>
        <v/>
      </c>
      <c r="N47" s="24" t="str">
        <f aca="true">IF(OR($A47="",C47=""),"",IF(C47&lt;TODAY(),"Past",IF(C47-TODAY()&lt;=Setup!$H$3,"Upcoming","Later")))</f>
        <v/>
      </c>
      <c r="O47" s="32" t="str">
        <f aca="false">IF($A47="","",IF(C47="",100000,C47)+ROW()/100000)</f>
        <v/>
      </c>
    </row>
    <row r="48" customFormat="false" ht="15" hidden="false" customHeight="false" outlineLevel="0" collapsed="false">
      <c r="C48" s="33"/>
      <c r="D48" s="34"/>
      <c r="E48" s="34"/>
      <c r="I48" s="25" t="str">
        <f aca="false">IF(OR(D48="",E48=""),"",ROUND(MOD(E48-D48,1)*24,2))</f>
        <v/>
      </c>
      <c r="J48" s="30" t="str">
        <f aca="false">IF($A48="","",COUNTIFS(Deployments!$A$2:$A$1001,$A48,Deployments!$D$2:$D$1001,"&lt;&gt;Withdrawn"))</f>
        <v/>
      </c>
      <c r="K48" s="30" t="str">
        <f aca="false">IF($A48="","",MAX(0,N(H48)-J48))</f>
        <v/>
      </c>
      <c r="L48" s="31" t="str">
        <f aca="false">IF(OR($A48="",N(H48)=0),"",J48/H48)</f>
        <v/>
      </c>
      <c r="M48" s="24" t="str">
        <f aca="false">IF($A48="","",IF(N(H48)=0,"No target",IF(J48&gt;H48,"Over-staffed",IF(J48=H48,"Fully staffed",IF(J48=0,"Unstaffed","Short")))))</f>
        <v/>
      </c>
      <c r="N48" s="24" t="str">
        <f aca="true">IF(OR($A48="",C48=""),"",IF(C48&lt;TODAY(),"Past",IF(C48-TODAY()&lt;=Setup!$H$3,"Upcoming","Later")))</f>
        <v/>
      </c>
      <c r="O48" s="32" t="str">
        <f aca="false">IF($A48="","",IF(C48="",100000,C48)+ROW()/100000)</f>
        <v/>
      </c>
    </row>
    <row r="49" customFormat="false" ht="15" hidden="false" customHeight="false" outlineLevel="0" collapsed="false">
      <c r="C49" s="33"/>
      <c r="D49" s="34"/>
      <c r="E49" s="34"/>
      <c r="I49" s="25" t="str">
        <f aca="false">IF(OR(D49="",E49=""),"",ROUND(MOD(E49-D49,1)*24,2))</f>
        <v/>
      </c>
      <c r="J49" s="30" t="str">
        <f aca="false">IF($A49="","",COUNTIFS(Deployments!$A$2:$A$1001,$A49,Deployments!$D$2:$D$1001,"&lt;&gt;Withdrawn"))</f>
        <v/>
      </c>
      <c r="K49" s="30" t="str">
        <f aca="false">IF($A49="","",MAX(0,N(H49)-J49))</f>
        <v/>
      </c>
      <c r="L49" s="31" t="str">
        <f aca="false">IF(OR($A49="",N(H49)=0),"",J49/H49)</f>
        <v/>
      </c>
      <c r="M49" s="24" t="str">
        <f aca="false">IF($A49="","",IF(N(H49)=0,"No target",IF(J49&gt;H49,"Over-staffed",IF(J49=H49,"Fully staffed",IF(J49=0,"Unstaffed","Short")))))</f>
        <v/>
      </c>
      <c r="N49" s="24" t="str">
        <f aca="true">IF(OR($A49="",C49=""),"",IF(C49&lt;TODAY(),"Past",IF(C49-TODAY()&lt;=Setup!$H$3,"Upcoming","Later")))</f>
        <v/>
      </c>
      <c r="O49" s="32" t="str">
        <f aca="false">IF($A49="","",IF(C49="",100000,C49)+ROW()/100000)</f>
        <v/>
      </c>
    </row>
    <row r="50" customFormat="false" ht="15" hidden="false" customHeight="false" outlineLevel="0" collapsed="false">
      <c r="C50" s="33"/>
      <c r="D50" s="34"/>
      <c r="E50" s="34"/>
      <c r="I50" s="25" t="str">
        <f aca="false">IF(OR(D50="",E50=""),"",ROUND(MOD(E50-D50,1)*24,2))</f>
        <v/>
      </c>
      <c r="J50" s="30" t="str">
        <f aca="false">IF($A50="","",COUNTIFS(Deployments!$A$2:$A$1001,$A50,Deployments!$D$2:$D$1001,"&lt;&gt;Withdrawn"))</f>
        <v/>
      </c>
      <c r="K50" s="30" t="str">
        <f aca="false">IF($A50="","",MAX(0,N(H50)-J50))</f>
        <v/>
      </c>
      <c r="L50" s="31" t="str">
        <f aca="false">IF(OR($A50="",N(H50)=0),"",J50/H50)</f>
        <v/>
      </c>
      <c r="M50" s="24" t="str">
        <f aca="false">IF($A50="","",IF(N(H50)=0,"No target",IF(J50&gt;H50,"Over-staffed",IF(J50=H50,"Fully staffed",IF(J50=0,"Unstaffed","Short")))))</f>
        <v/>
      </c>
      <c r="N50" s="24" t="str">
        <f aca="true">IF(OR($A50="",C50=""),"",IF(C50&lt;TODAY(),"Past",IF(C50-TODAY()&lt;=Setup!$H$3,"Upcoming","Later")))</f>
        <v/>
      </c>
      <c r="O50" s="32" t="str">
        <f aca="false">IF($A50="","",IF(C50="",100000,C50)+ROW()/100000)</f>
        <v/>
      </c>
    </row>
    <row r="51" customFormat="false" ht="15" hidden="false" customHeight="false" outlineLevel="0" collapsed="false">
      <c r="C51" s="33"/>
      <c r="D51" s="34"/>
      <c r="E51" s="34"/>
      <c r="I51" s="25" t="str">
        <f aca="false">IF(OR(D51="",E51=""),"",ROUND(MOD(E51-D51,1)*24,2))</f>
        <v/>
      </c>
      <c r="J51" s="30" t="str">
        <f aca="false">IF($A51="","",COUNTIFS(Deployments!$A$2:$A$1001,$A51,Deployments!$D$2:$D$1001,"&lt;&gt;Withdrawn"))</f>
        <v/>
      </c>
      <c r="K51" s="30" t="str">
        <f aca="false">IF($A51="","",MAX(0,N(H51)-J51))</f>
        <v/>
      </c>
      <c r="L51" s="31" t="str">
        <f aca="false">IF(OR($A51="",N(H51)=0),"",J51/H51)</f>
        <v/>
      </c>
      <c r="M51" s="24" t="str">
        <f aca="false">IF($A51="","",IF(N(H51)=0,"No target",IF(J51&gt;H51,"Over-staffed",IF(J51=H51,"Fully staffed",IF(J51=0,"Unstaffed","Short")))))</f>
        <v/>
      </c>
      <c r="N51" s="24" t="str">
        <f aca="true">IF(OR($A51="",C51=""),"",IF(C51&lt;TODAY(),"Past",IF(C51-TODAY()&lt;=Setup!$H$3,"Upcoming","Later")))</f>
        <v/>
      </c>
      <c r="O51" s="32" t="str">
        <f aca="false">IF($A51="","",IF(C51="",100000,C51)+ROW()/100000)</f>
        <v/>
      </c>
    </row>
    <row r="52" customFormat="false" ht="15" hidden="false" customHeight="false" outlineLevel="0" collapsed="false">
      <c r="C52" s="33"/>
      <c r="D52" s="34"/>
      <c r="E52" s="34"/>
      <c r="I52" s="25" t="str">
        <f aca="false">IF(OR(D52="",E52=""),"",ROUND(MOD(E52-D52,1)*24,2))</f>
        <v/>
      </c>
      <c r="J52" s="30" t="str">
        <f aca="false">IF($A52="","",COUNTIFS(Deployments!$A$2:$A$1001,$A52,Deployments!$D$2:$D$1001,"&lt;&gt;Withdrawn"))</f>
        <v/>
      </c>
      <c r="K52" s="30" t="str">
        <f aca="false">IF($A52="","",MAX(0,N(H52)-J52))</f>
        <v/>
      </c>
      <c r="L52" s="31" t="str">
        <f aca="false">IF(OR($A52="",N(H52)=0),"",J52/H52)</f>
        <v/>
      </c>
      <c r="M52" s="24" t="str">
        <f aca="false">IF($A52="","",IF(N(H52)=0,"No target",IF(J52&gt;H52,"Over-staffed",IF(J52=H52,"Fully staffed",IF(J52=0,"Unstaffed","Short")))))</f>
        <v/>
      </c>
      <c r="N52" s="24" t="str">
        <f aca="true">IF(OR($A52="",C52=""),"",IF(C52&lt;TODAY(),"Past",IF(C52-TODAY()&lt;=Setup!$H$3,"Upcoming","Later")))</f>
        <v/>
      </c>
      <c r="O52" s="32" t="str">
        <f aca="false">IF($A52="","",IF(C52="",100000,C52)+ROW()/100000)</f>
        <v/>
      </c>
    </row>
    <row r="53" customFormat="false" ht="15" hidden="false" customHeight="false" outlineLevel="0" collapsed="false">
      <c r="C53" s="33"/>
      <c r="D53" s="34"/>
      <c r="E53" s="34"/>
      <c r="I53" s="25" t="str">
        <f aca="false">IF(OR(D53="",E53=""),"",ROUND(MOD(E53-D53,1)*24,2))</f>
        <v/>
      </c>
      <c r="J53" s="30" t="str">
        <f aca="false">IF($A53="","",COUNTIFS(Deployments!$A$2:$A$1001,$A53,Deployments!$D$2:$D$1001,"&lt;&gt;Withdrawn"))</f>
        <v/>
      </c>
      <c r="K53" s="30" t="str">
        <f aca="false">IF($A53="","",MAX(0,N(H53)-J53))</f>
        <v/>
      </c>
      <c r="L53" s="31" t="str">
        <f aca="false">IF(OR($A53="",N(H53)=0),"",J53/H53)</f>
        <v/>
      </c>
      <c r="M53" s="24" t="str">
        <f aca="false">IF($A53="","",IF(N(H53)=0,"No target",IF(J53&gt;H53,"Over-staffed",IF(J53=H53,"Fully staffed",IF(J53=0,"Unstaffed","Short")))))</f>
        <v/>
      </c>
      <c r="N53" s="24" t="str">
        <f aca="true">IF(OR($A53="",C53=""),"",IF(C53&lt;TODAY(),"Past",IF(C53-TODAY()&lt;=Setup!$H$3,"Upcoming","Later")))</f>
        <v/>
      </c>
      <c r="O53" s="32" t="str">
        <f aca="false">IF($A53="","",IF(C53="",100000,C53)+ROW()/100000)</f>
        <v/>
      </c>
    </row>
    <row r="54" customFormat="false" ht="15" hidden="false" customHeight="false" outlineLevel="0" collapsed="false">
      <c r="C54" s="33"/>
      <c r="D54" s="34"/>
      <c r="E54" s="34"/>
      <c r="I54" s="25" t="str">
        <f aca="false">IF(OR(D54="",E54=""),"",ROUND(MOD(E54-D54,1)*24,2))</f>
        <v/>
      </c>
      <c r="J54" s="30" t="str">
        <f aca="false">IF($A54="","",COUNTIFS(Deployments!$A$2:$A$1001,$A54,Deployments!$D$2:$D$1001,"&lt;&gt;Withdrawn"))</f>
        <v/>
      </c>
      <c r="K54" s="30" t="str">
        <f aca="false">IF($A54="","",MAX(0,N(H54)-J54))</f>
        <v/>
      </c>
      <c r="L54" s="31" t="str">
        <f aca="false">IF(OR($A54="",N(H54)=0),"",J54/H54)</f>
        <v/>
      </c>
      <c r="M54" s="24" t="str">
        <f aca="false">IF($A54="","",IF(N(H54)=0,"No target",IF(J54&gt;H54,"Over-staffed",IF(J54=H54,"Fully staffed",IF(J54=0,"Unstaffed","Short")))))</f>
        <v/>
      </c>
      <c r="N54" s="24" t="str">
        <f aca="true">IF(OR($A54="",C54=""),"",IF(C54&lt;TODAY(),"Past",IF(C54-TODAY()&lt;=Setup!$H$3,"Upcoming","Later")))</f>
        <v/>
      </c>
      <c r="O54" s="32" t="str">
        <f aca="false">IF($A54="","",IF(C54="",100000,C54)+ROW()/100000)</f>
        <v/>
      </c>
    </row>
    <row r="55" customFormat="false" ht="15" hidden="false" customHeight="false" outlineLevel="0" collapsed="false">
      <c r="C55" s="33"/>
      <c r="D55" s="34"/>
      <c r="E55" s="34"/>
      <c r="I55" s="25" t="str">
        <f aca="false">IF(OR(D55="",E55=""),"",ROUND(MOD(E55-D55,1)*24,2))</f>
        <v/>
      </c>
      <c r="J55" s="30" t="str">
        <f aca="false">IF($A55="","",COUNTIFS(Deployments!$A$2:$A$1001,$A55,Deployments!$D$2:$D$1001,"&lt;&gt;Withdrawn"))</f>
        <v/>
      </c>
      <c r="K55" s="30" t="str">
        <f aca="false">IF($A55="","",MAX(0,N(H55)-J55))</f>
        <v/>
      </c>
      <c r="L55" s="31" t="str">
        <f aca="false">IF(OR($A55="",N(H55)=0),"",J55/H55)</f>
        <v/>
      </c>
      <c r="M55" s="24" t="str">
        <f aca="false">IF($A55="","",IF(N(H55)=0,"No target",IF(J55&gt;H55,"Over-staffed",IF(J55=H55,"Fully staffed",IF(J55=0,"Unstaffed","Short")))))</f>
        <v/>
      </c>
      <c r="N55" s="24" t="str">
        <f aca="true">IF(OR($A55="",C55=""),"",IF(C55&lt;TODAY(),"Past",IF(C55-TODAY()&lt;=Setup!$H$3,"Upcoming","Later")))</f>
        <v/>
      </c>
      <c r="O55" s="32" t="str">
        <f aca="false">IF($A55="","",IF(C55="",100000,C55)+ROW()/100000)</f>
        <v/>
      </c>
    </row>
    <row r="56" customFormat="false" ht="15" hidden="false" customHeight="false" outlineLevel="0" collapsed="false">
      <c r="C56" s="33"/>
      <c r="D56" s="34"/>
      <c r="E56" s="34"/>
      <c r="I56" s="25" t="str">
        <f aca="false">IF(OR(D56="",E56=""),"",ROUND(MOD(E56-D56,1)*24,2))</f>
        <v/>
      </c>
      <c r="J56" s="30" t="str">
        <f aca="false">IF($A56="","",COUNTIFS(Deployments!$A$2:$A$1001,$A56,Deployments!$D$2:$D$1001,"&lt;&gt;Withdrawn"))</f>
        <v/>
      </c>
      <c r="K56" s="30" t="str">
        <f aca="false">IF($A56="","",MAX(0,N(H56)-J56))</f>
        <v/>
      </c>
      <c r="L56" s="31" t="str">
        <f aca="false">IF(OR($A56="",N(H56)=0),"",J56/H56)</f>
        <v/>
      </c>
      <c r="M56" s="24" t="str">
        <f aca="false">IF($A56="","",IF(N(H56)=0,"No target",IF(J56&gt;H56,"Over-staffed",IF(J56=H56,"Fully staffed",IF(J56=0,"Unstaffed","Short")))))</f>
        <v/>
      </c>
      <c r="N56" s="24" t="str">
        <f aca="true">IF(OR($A56="",C56=""),"",IF(C56&lt;TODAY(),"Past",IF(C56-TODAY()&lt;=Setup!$H$3,"Upcoming","Later")))</f>
        <v/>
      </c>
      <c r="O56" s="32" t="str">
        <f aca="false">IF($A56="","",IF(C56="",100000,C56)+ROW()/100000)</f>
        <v/>
      </c>
    </row>
    <row r="57" customFormat="false" ht="15" hidden="false" customHeight="false" outlineLevel="0" collapsed="false">
      <c r="C57" s="33"/>
      <c r="D57" s="34"/>
      <c r="E57" s="34"/>
      <c r="I57" s="25" t="str">
        <f aca="false">IF(OR(D57="",E57=""),"",ROUND(MOD(E57-D57,1)*24,2))</f>
        <v/>
      </c>
      <c r="J57" s="30" t="str">
        <f aca="false">IF($A57="","",COUNTIFS(Deployments!$A$2:$A$1001,$A57,Deployments!$D$2:$D$1001,"&lt;&gt;Withdrawn"))</f>
        <v/>
      </c>
      <c r="K57" s="30" t="str">
        <f aca="false">IF($A57="","",MAX(0,N(H57)-J57))</f>
        <v/>
      </c>
      <c r="L57" s="31" t="str">
        <f aca="false">IF(OR($A57="",N(H57)=0),"",J57/H57)</f>
        <v/>
      </c>
      <c r="M57" s="24" t="str">
        <f aca="false">IF($A57="","",IF(N(H57)=0,"No target",IF(J57&gt;H57,"Over-staffed",IF(J57=H57,"Fully staffed",IF(J57=0,"Unstaffed","Short")))))</f>
        <v/>
      </c>
      <c r="N57" s="24" t="str">
        <f aca="true">IF(OR($A57="",C57=""),"",IF(C57&lt;TODAY(),"Past",IF(C57-TODAY()&lt;=Setup!$H$3,"Upcoming","Later")))</f>
        <v/>
      </c>
      <c r="O57" s="32" t="str">
        <f aca="false">IF($A57="","",IF(C57="",100000,C57)+ROW()/100000)</f>
        <v/>
      </c>
    </row>
    <row r="58" customFormat="false" ht="15" hidden="false" customHeight="false" outlineLevel="0" collapsed="false">
      <c r="C58" s="33"/>
      <c r="D58" s="34"/>
      <c r="E58" s="34"/>
      <c r="I58" s="25" t="str">
        <f aca="false">IF(OR(D58="",E58=""),"",ROUND(MOD(E58-D58,1)*24,2))</f>
        <v/>
      </c>
      <c r="J58" s="30" t="str">
        <f aca="false">IF($A58="","",COUNTIFS(Deployments!$A$2:$A$1001,$A58,Deployments!$D$2:$D$1001,"&lt;&gt;Withdrawn"))</f>
        <v/>
      </c>
      <c r="K58" s="30" t="str">
        <f aca="false">IF($A58="","",MAX(0,N(H58)-J58))</f>
        <v/>
      </c>
      <c r="L58" s="31" t="str">
        <f aca="false">IF(OR($A58="",N(H58)=0),"",J58/H58)</f>
        <v/>
      </c>
      <c r="M58" s="24" t="str">
        <f aca="false">IF($A58="","",IF(N(H58)=0,"No target",IF(J58&gt;H58,"Over-staffed",IF(J58=H58,"Fully staffed",IF(J58=0,"Unstaffed","Short")))))</f>
        <v/>
      </c>
      <c r="N58" s="24" t="str">
        <f aca="true">IF(OR($A58="",C58=""),"",IF(C58&lt;TODAY(),"Past",IF(C58-TODAY()&lt;=Setup!$H$3,"Upcoming","Later")))</f>
        <v/>
      </c>
      <c r="O58" s="32" t="str">
        <f aca="false">IF($A58="","",IF(C58="",100000,C58)+ROW()/100000)</f>
        <v/>
      </c>
    </row>
    <row r="59" customFormat="false" ht="15" hidden="false" customHeight="false" outlineLevel="0" collapsed="false">
      <c r="C59" s="33"/>
      <c r="D59" s="34"/>
      <c r="E59" s="34"/>
      <c r="I59" s="25" t="str">
        <f aca="false">IF(OR(D59="",E59=""),"",ROUND(MOD(E59-D59,1)*24,2))</f>
        <v/>
      </c>
      <c r="J59" s="30" t="str">
        <f aca="false">IF($A59="","",COUNTIFS(Deployments!$A$2:$A$1001,$A59,Deployments!$D$2:$D$1001,"&lt;&gt;Withdrawn"))</f>
        <v/>
      </c>
      <c r="K59" s="30" t="str">
        <f aca="false">IF($A59="","",MAX(0,N(H59)-J59))</f>
        <v/>
      </c>
      <c r="L59" s="31" t="str">
        <f aca="false">IF(OR($A59="",N(H59)=0),"",J59/H59)</f>
        <v/>
      </c>
      <c r="M59" s="24" t="str">
        <f aca="false">IF($A59="","",IF(N(H59)=0,"No target",IF(J59&gt;H59,"Over-staffed",IF(J59=H59,"Fully staffed",IF(J59=0,"Unstaffed","Short")))))</f>
        <v/>
      </c>
      <c r="N59" s="24" t="str">
        <f aca="true">IF(OR($A59="",C59=""),"",IF(C59&lt;TODAY(),"Past",IF(C59-TODAY()&lt;=Setup!$H$3,"Upcoming","Later")))</f>
        <v/>
      </c>
      <c r="O59" s="32" t="str">
        <f aca="false">IF($A59="","",IF(C59="",100000,C59)+ROW()/100000)</f>
        <v/>
      </c>
    </row>
    <row r="60" customFormat="false" ht="15" hidden="false" customHeight="false" outlineLevel="0" collapsed="false">
      <c r="C60" s="33"/>
      <c r="D60" s="34"/>
      <c r="E60" s="34"/>
      <c r="I60" s="25" t="str">
        <f aca="false">IF(OR(D60="",E60=""),"",ROUND(MOD(E60-D60,1)*24,2))</f>
        <v/>
      </c>
      <c r="J60" s="30" t="str">
        <f aca="false">IF($A60="","",COUNTIFS(Deployments!$A$2:$A$1001,$A60,Deployments!$D$2:$D$1001,"&lt;&gt;Withdrawn"))</f>
        <v/>
      </c>
      <c r="K60" s="30" t="str">
        <f aca="false">IF($A60="","",MAX(0,N(H60)-J60))</f>
        <v/>
      </c>
      <c r="L60" s="31" t="str">
        <f aca="false">IF(OR($A60="",N(H60)=0),"",J60/H60)</f>
        <v/>
      </c>
      <c r="M60" s="24" t="str">
        <f aca="false">IF($A60="","",IF(N(H60)=0,"No target",IF(J60&gt;H60,"Over-staffed",IF(J60=H60,"Fully staffed",IF(J60=0,"Unstaffed","Short")))))</f>
        <v/>
      </c>
      <c r="N60" s="24" t="str">
        <f aca="true">IF(OR($A60="",C60=""),"",IF(C60&lt;TODAY(),"Past",IF(C60-TODAY()&lt;=Setup!$H$3,"Upcoming","Later")))</f>
        <v/>
      </c>
      <c r="O60" s="32" t="str">
        <f aca="false">IF($A60="","",IF(C60="",100000,C60)+ROW()/100000)</f>
        <v/>
      </c>
    </row>
    <row r="61" customFormat="false" ht="15" hidden="false" customHeight="false" outlineLevel="0" collapsed="false">
      <c r="C61" s="33"/>
      <c r="D61" s="34"/>
      <c r="E61" s="34"/>
      <c r="I61" s="25" t="str">
        <f aca="false">IF(OR(D61="",E61=""),"",ROUND(MOD(E61-D61,1)*24,2))</f>
        <v/>
      </c>
      <c r="J61" s="30" t="str">
        <f aca="false">IF($A61="","",COUNTIFS(Deployments!$A$2:$A$1001,$A61,Deployments!$D$2:$D$1001,"&lt;&gt;Withdrawn"))</f>
        <v/>
      </c>
      <c r="K61" s="30" t="str">
        <f aca="false">IF($A61="","",MAX(0,N(H61)-J61))</f>
        <v/>
      </c>
      <c r="L61" s="31" t="str">
        <f aca="false">IF(OR($A61="",N(H61)=0),"",J61/H61)</f>
        <v/>
      </c>
      <c r="M61" s="24" t="str">
        <f aca="false">IF($A61="","",IF(N(H61)=0,"No target",IF(J61&gt;H61,"Over-staffed",IF(J61=H61,"Fully staffed",IF(J61=0,"Unstaffed","Short")))))</f>
        <v/>
      </c>
      <c r="N61" s="24" t="str">
        <f aca="true">IF(OR($A61="",C61=""),"",IF(C61&lt;TODAY(),"Past",IF(C61-TODAY()&lt;=Setup!$H$3,"Upcoming","Later")))</f>
        <v/>
      </c>
      <c r="O61" s="32" t="str">
        <f aca="false">IF($A61="","",IF(C61="",100000,C61)+ROW()/100000)</f>
        <v/>
      </c>
    </row>
    <row r="62" customFormat="false" ht="15" hidden="false" customHeight="false" outlineLevel="0" collapsed="false">
      <c r="C62" s="33"/>
      <c r="D62" s="34"/>
      <c r="E62" s="34"/>
      <c r="I62" s="25" t="str">
        <f aca="false">IF(OR(D62="",E62=""),"",ROUND(MOD(E62-D62,1)*24,2))</f>
        <v/>
      </c>
      <c r="J62" s="30" t="str">
        <f aca="false">IF($A62="","",COUNTIFS(Deployments!$A$2:$A$1001,$A62,Deployments!$D$2:$D$1001,"&lt;&gt;Withdrawn"))</f>
        <v/>
      </c>
      <c r="K62" s="30" t="str">
        <f aca="false">IF($A62="","",MAX(0,N(H62)-J62))</f>
        <v/>
      </c>
      <c r="L62" s="31" t="str">
        <f aca="false">IF(OR($A62="",N(H62)=0),"",J62/H62)</f>
        <v/>
      </c>
      <c r="M62" s="24" t="str">
        <f aca="false">IF($A62="","",IF(N(H62)=0,"No target",IF(J62&gt;H62,"Over-staffed",IF(J62=H62,"Fully staffed",IF(J62=0,"Unstaffed","Short")))))</f>
        <v/>
      </c>
      <c r="N62" s="24" t="str">
        <f aca="true">IF(OR($A62="",C62=""),"",IF(C62&lt;TODAY(),"Past",IF(C62-TODAY()&lt;=Setup!$H$3,"Upcoming","Later")))</f>
        <v/>
      </c>
      <c r="O62" s="32" t="str">
        <f aca="false">IF($A62="","",IF(C62="",100000,C62)+ROW()/100000)</f>
        <v/>
      </c>
    </row>
    <row r="63" customFormat="false" ht="15" hidden="false" customHeight="false" outlineLevel="0" collapsed="false">
      <c r="C63" s="33"/>
      <c r="D63" s="34"/>
      <c r="E63" s="34"/>
      <c r="I63" s="25" t="str">
        <f aca="false">IF(OR(D63="",E63=""),"",ROUND(MOD(E63-D63,1)*24,2))</f>
        <v/>
      </c>
      <c r="J63" s="30" t="str">
        <f aca="false">IF($A63="","",COUNTIFS(Deployments!$A$2:$A$1001,$A63,Deployments!$D$2:$D$1001,"&lt;&gt;Withdrawn"))</f>
        <v/>
      </c>
      <c r="K63" s="30" t="str">
        <f aca="false">IF($A63="","",MAX(0,N(H63)-J63))</f>
        <v/>
      </c>
      <c r="L63" s="31" t="str">
        <f aca="false">IF(OR($A63="",N(H63)=0),"",J63/H63)</f>
        <v/>
      </c>
      <c r="M63" s="24" t="str">
        <f aca="false">IF($A63="","",IF(N(H63)=0,"No target",IF(J63&gt;H63,"Over-staffed",IF(J63=H63,"Fully staffed",IF(J63=0,"Unstaffed","Short")))))</f>
        <v/>
      </c>
      <c r="N63" s="24" t="str">
        <f aca="true">IF(OR($A63="",C63=""),"",IF(C63&lt;TODAY(),"Past",IF(C63-TODAY()&lt;=Setup!$H$3,"Upcoming","Later")))</f>
        <v/>
      </c>
      <c r="O63" s="32" t="str">
        <f aca="false">IF($A63="","",IF(C63="",100000,C63)+ROW()/100000)</f>
        <v/>
      </c>
    </row>
    <row r="64" customFormat="false" ht="15" hidden="false" customHeight="false" outlineLevel="0" collapsed="false">
      <c r="C64" s="33"/>
      <c r="D64" s="34"/>
      <c r="E64" s="34"/>
      <c r="I64" s="25" t="str">
        <f aca="false">IF(OR(D64="",E64=""),"",ROUND(MOD(E64-D64,1)*24,2))</f>
        <v/>
      </c>
      <c r="J64" s="30" t="str">
        <f aca="false">IF($A64="","",COUNTIFS(Deployments!$A$2:$A$1001,$A64,Deployments!$D$2:$D$1001,"&lt;&gt;Withdrawn"))</f>
        <v/>
      </c>
      <c r="K64" s="30" t="str">
        <f aca="false">IF($A64="","",MAX(0,N(H64)-J64))</f>
        <v/>
      </c>
      <c r="L64" s="31" t="str">
        <f aca="false">IF(OR($A64="",N(H64)=0),"",J64/H64)</f>
        <v/>
      </c>
      <c r="M64" s="24" t="str">
        <f aca="false">IF($A64="","",IF(N(H64)=0,"No target",IF(J64&gt;H64,"Over-staffed",IF(J64=H64,"Fully staffed",IF(J64=0,"Unstaffed","Short")))))</f>
        <v/>
      </c>
      <c r="N64" s="24" t="str">
        <f aca="true">IF(OR($A64="",C64=""),"",IF(C64&lt;TODAY(),"Past",IF(C64-TODAY()&lt;=Setup!$H$3,"Upcoming","Later")))</f>
        <v/>
      </c>
      <c r="O64" s="32" t="str">
        <f aca="false">IF($A64="","",IF(C64="",100000,C64)+ROW()/100000)</f>
        <v/>
      </c>
    </row>
    <row r="65" customFormat="false" ht="15" hidden="false" customHeight="false" outlineLevel="0" collapsed="false">
      <c r="C65" s="33"/>
      <c r="D65" s="34"/>
      <c r="E65" s="34"/>
      <c r="I65" s="25" t="str">
        <f aca="false">IF(OR(D65="",E65=""),"",ROUND(MOD(E65-D65,1)*24,2))</f>
        <v/>
      </c>
      <c r="J65" s="30" t="str">
        <f aca="false">IF($A65="","",COUNTIFS(Deployments!$A$2:$A$1001,$A65,Deployments!$D$2:$D$1001,"&lt;&gt;Withdrawn"))</f>
        <v/>
      </c>
      <c r="K65" s="30" t="str">
        <f aca="false">IF($A65="","",MAX(0,N(H65)-J65))</f>
        <v/>
      </c>
      <c r="L65" s="31" t="str">
        <f aca="false">IF(OR($A65="",N(H65)=0),"",J65/H65)</f>
        <v/>
      </c>
      <c r="M65" s="24" t="str">
        <f aca="false">IF($A65="","",IF(N(H65)=0,"No target",IF(J65&gt;H65,"Over-staffed",IF(J65=H65,"Fully staffed",IF(J65=0,"Unstaffed","Short")))))</f>
        <v/>
      </c>
      <c r="N65" s="24" t="str">
        <f aca="true">IF(OR($A65="",C65=""),"",IF(C65&lt;TODAY(),"Past",IF(C65-TODAY()&lt;=Setup!$H$3,"Upcoming","Later")))</f>
        <v/>
      </c>
      <c r="O65" s="32" t="str">
        <f aca="false">IF($A65="","",IF(C65="",100000,C65)+ROW()/100000)</f>
        <v/>
      </c>
    </row>
    <row r="66" customFormat="false" ht="15" hidden="false" customHeight="false" outlineLevel="0" collapsed="false">
      <c r="C66" s="33"/>
      <c r="D66" s="34"/>
      <c r="E66" s="34"/>
      <c r="I66" s="25" t="str">
        <f aca="false">IF(OR(D66="",E66=""),"",ROUND(MOD(E66-D66,1)*24,2))</f>
        <v/>
      </c>
      <c r="J66" s="30" t="str">
        <f aca="false">IF($A66="","",COUNTIFS(Deployments!$A$2:$A$1001,$A66,Deployments!$D$2:$D$1001,"&lt;&gt;Withdrawn"))</f>
        <v/>
      </c>
      <c r="K66" s="30" t="str">
        <f aca="false">IF($A66="","",MAX(0,N(H66)-J66))</f>
        <v/>
      </c>
      <c r="L66" s="31" t="str">
        <f aca="false">IF(OR($A66="",N(H66)=0),"",J66/H66)</f>
        <v/>
      </c>
      <c r="M66" s="24" t="str">
        <f aca="false">IF($A66="","",IF(N(H66)=0,"No target",IF(J66&gt;H66,"Over-staffed",IF(J66=H66,"Fully staffed",IF(J66=0,"Unstaffed","Short")))))</f>
        <v/>
      </c>
      <c r="N66" s="24" t="str">
        <f aca="true">IF(OR($A66="",C66=""),"",IF(C66&lt;TODAY(),"Past",IF(C66-TODAY()&lt;=Setup!$H$3,"Upcoming","Later")))</f>
        <v/>
      </c>
      <c r="O66" s="32" t="str">
        <f aca="false">IF($A66="","",IF(C66="",100000,C66)+ROW()/100000)</f>
        <v/>
      </c>
    </row>
    <row r="67" customFormat="false" ht="15" hidden="false" customHeight="false" outlineLevel="0" collapsed="false">
      <c r="C67" s="33"/>
      <c r="D67" s="34"/>
      <c r="E67" s="34"/>
      <c r="I67" s="25" t="str">
        <f aca="false">IF(OR(D67="",E67=""),"",ROUND(MOD(E67-D67,1)*24,2))</f>
        <v/>
      </c>
      <c r="J67" s="30" t="str">
        <f aca="false">IF($A67="","",COUNTIFS(Deployments!$A$2:$A$1001,$A67,Deployments!$D$2:$D$1001,"&lt;&gt;Withdrawn"))</f>
        <v/>
      </c>
      <c r="K67" s="30" t="str">
        <f aca="false">IF($A67="","",MAX(0,N(H67)-J67))</f>
        <v/>
      </c>
      <c r="L67" s="31" t="str">
        <f aca="false">IF(OR($A67="",N(H67)=0),"",J67/H67)</f>
        <v/>
      </c>
      <c r="M67" s="24" t="str">
        <f aca="false">IF($A67="","",IF(N(H67)=0,"No target",IF(J67&gt;H67,"Over-staffed",IF(J67=H67,"Fully staffed",IF(J67=0,"Unstaffed","Short")))))</f>
        <v/>
      </c>
      <c r="N67" s="24" t="str">
        <f aca="true">IF(OR($A67="",C67=""),"",IF(C67&lt;TODAY(),"Past",IF(C67-TODAY()&lt;=Setup!$H$3,"Upcoming","Later")))</f>
        <v/>
      </c>
      <c r="O67" s="32" t="str">
        <f aca="false">IF($A67="","",IF(C67="",100000,C67)+ROW()/100000)</f>
        <v/>
      </c>
    </row>
    <row r="68" customFormat="false" ht="15" hidden="false" customHeight="false" outlineLevel="0" collapsed="false">
      <c r="C68" s="33"/>
      <c r="D68" s="34"/>
      <c r="E68" s="34"/>
      <c r="I68" s="25" t="str">
        <f aca="false">IF(OR(D68="",E68=""),"",ROUND(MOD(E68-D68,1)*24,2))</f>
        <v/>
      </c>
      <c r="J68" s="30" t="str">
        <f aca="false">IF($A68="","",COUNTIFS(Deployments!$A$2:$A$1001,$A68,Deployments!$D$2:$D$1001,"&lt;&gt;Withdrawn"))</f>
        <v/>
      </c>
      <c r="K68" s="30" t="str">
        <f aca="false">IF($A68="","",MAX(0,N(H68)-J68))</f>
        <v/>
      </c>
      <c r="L68" s="31" t="str">
        <f aca="false">IF(OR($A68="",N(H68)=0),"",J68/H68)</f>
        <v/>
      </c>
      <c r="M68" s="24" t="str">
        <f aca="false">IF($A68="","",IF(N(H68)=0,"No target",IF(J68&gt;H68,"Over-staffed",IF(J68=H68,"Fully staffed",IF(J68=0,"Unstaffed","Short")))))</f>
        <v/>
      </c>
      <c r="N68" s="24" t="str">
        <f aca="true">IF(OR($A68="",C68=""),"",IF(C68&lt;TODAY(),"Past",IF(C68-TODAY()&lt;=Setup!$H$3,"Upcoming","Later")))</f>
        <v/>
      </c>
      <c r="O68" s="32" t="str">
        <f aca="false">IF($A68="","",IF(C68="",100000,C68)+ROW()/100000)</f>
        <v/>
      </c>
    </row>
    <row r="69" customFormat="false" ht="15" hidden="false" customHeight="false" outlineLevel="0" collapsed="false">
      <c r="C69" s="33"/>
      <c r="D69" s="34"/>
      <c r="E69" s="34"/>
      <c r="I69" s="25" t="str">
        <f aca="false">IF(OR(D69="",E69=""),"",ROUND(MOD(E69-D69,1)*24,2))</f>
        <v/>
      </c>
      <c r="J69" s="30" t="str">
        <f aca="false">IF($A69="","",COUNTIFS(Deployments!$A$2:$A$1001,$A69,Deployments!$D$2:$D$1001,"&lt;&gt;Withdrawn"))</f>
        <v/>
      </c>
      <c r="K69" s="30" t="str">
        <f aca="false">IF($A69="","",MAX(0,N(H69)-J69))</f>
        <v/>
      </c>
      <c r="L69" s="31" t="str">
        <f aca="false">IF(OR($A69="",N(H69)=0),"",J69/H69)</f>
        <v/>
      </c>
      <c r="M69" s="24" t="str">
        <f aca="false">IF($A69="","",IF(N(H69)=0,"No target",IF(J69&gt;H69,"Over-staffed",IF(J69=H69,"Fully staffed",IF(J69=0,"Unstaffed","Short")))))</f>
        <v/>
      </c>
      <c r="N69" s="24" t="str">
        <f aca="true">IF(OR($A69="",C69=""),"",IF(C69&lt;TODAY(),"Past",IF(C69-TODAY()&lt;=Setup!$H$3,"Upcoming","Later")))</f>
        <v/>
      </c>
      <c r="O69" s="32" t="str">
        <f aca="false">IF($A69="","",IF(C69="",100000,C69)+ROW()/100000)</f>
        <v/>
      </c>
    </row>
    <row r="70" customFormat="false" ht="15" hidden="false" customHeight="false" outlineLevel="0" collapsed="false">
      <c r="C70" s="33"/>
      <c r="D70" s="34"/>
      <c r="E70" s="34"/>
      <c r="I70" s="25" t="str">
        <f aca="false">IF(OR(D70="",E70=""),"",ROUND(MOD(E70-D70,1)*24,2))</f>
        <v/>
      </c>
      <c r="J70" s="30" t="str">
        <f aca="false">IF($A70="","",COUNTIFS(Deployments!$A$2:$A$1001,$A70,Deployments!$D$2:$D$1001,"&lt;&gt;Withdrawn"))</f>
        <v/>
      </c>
      <c r="K70" s="30" t="str">
        <f aca="false">IF($A70="","",MAX(0,N(H70)-J70))</f>
        <v/>
      </c>
      <c r="L70" s="31" t="str">
        <f aca="false">IF(OR($A70="",N(H70)=0),"",J70/H70)</f>
        <v/>
      </c>
      <c r="M70" s="24" t="str">
        <f aca="false">IF($A70="","",IF(N(H70)=0,"No target",IF(J70&gt;H70,"Over-staffed",IF(J70=H70,"Fully staffed",IF(J70=0,"Unstaffed","Short")))))</f>
        <v/>
      </c>
      <c r="N70" s="24" t="str">
        <f aca="true">IF(OR($A70="",C70=""),"",IF(C70&lt;TODAY(),"Past",IF(C70-TODAY()&lt;=Setup!$H$3,"Upcoming","Later")))</f>
        <v/>
      </c>
      <c r="O70" s="32" t="str">
        <f aca="false">IF($A70="","",IF(C70="",100000,C70)+ROW()/100000)</f>
        <v/>
      </c>
    </row>
    <row r="71" customFormat="false" ht="15" hidden="false" customHeight="false" outlineLevel="0" collapsed="false">
      <c r="C71" s="33"/>
      <c r="D71" s="34"/>
      <c r="E71" s="34"/>
      <c r="I71" s="25" t="str">
        <f aca="false">IF(OR(D71="",E71=""),"",ROUND(MOD(E71-D71,1)*24,2))</f>
        <v/>
      </c>
      <c r="J71" s="30" t="str">
        <f aca="false">IF($A71="","",COUNTIFS(Deployments!$A$2:$A$1001,$A71,Deployments!$D$2:$D$1001,"&lt;&gt;Withdrawn"))</f>
        <v/>
      </c>
      <c r="K71" s="30" t="str">
        <f aca="false">IF($A71="","",MAX(0,N(H71)-J71))</f>
        <v/>
      </c>
      <c r="L71" s="31" t="str">
        <f aca="false">IF(OR($A71="",N(H71)=0),"",J71/H71)</f>
        <v/>
      </c>
      <c r="M71" s="24" t="str">
        <f aca="false">IF($A71="","",IF(N(H71)=0,"No target",IF(J71&gt;H71,"Over-staffed",IF(J71=H71,"Fully staffed",IF(J71=0,"Unstaffed","Short")))))</f>
        <v/>
      </c>
      <c r="N71" s="24" t="str">
        <f aca="true">IF(OR($A71="",C71=""),"",IF(C71&lt;TODAY(),"Past",IF(C71-TODAY()&lt;=Setup!$H$3,"Upcoming","Later")))</f>
        <v/>
      </c>
      <c r="O71" s="32" t="str">
        <f aca="false">IF($A71="","",IF(C71="",100000,C71)+ROW()/100000)</f>
        <v/>
      </c>
    </row>
    <row r="72" customFormat="false" ht="15" hidden="false" customHeight="false" outlineLevel="0" collapsed="false">
      <c r="C72" s="33"/>
      <c r="D72" s="34"/>
      <c r="E72" s="34"/>
      <c r="I72" s="25" t="str">
        <f aca="false">IF(OR(D72="",E72=""),"",ROUND(MOD(E72-D72,1)*24,2))</f>
        <v/>
      </c>
      <c r="J72" s="30" t="str">
        <f aca="false">IF($A72="","",COUNTIFS(Deployments!$A$2:$A$1001,$A72,Deployments!$D$2:$D$1001,"&lt;&gt;Withdrawn"))</f>
        <v/>
      </c>
      <c r="K72" s="30" t="str">
        <f aca="false">IF($A72="","",MAX(0,N(H72)-J72))</f>
        <v/>
      </c>
      <c r="L72" s="31" t="str">
        <f aca="false">IF(OR($A72="",N(H72)=0),"",J72/H72)</f>
        <v/>
      </c>
      <c r="M72" s="24" t="str">
        <f aca="false">IF($A72="","",IF(N(H72)=0,"No target",IF(J72&gt;H72,"Over-staffed",IF(J72=H72,"Fully staffed",IF(J72=0,"Unstaffed","Short")))))</f>
        <v/>
      </c>
      <c r="N72" s="24" t="str">
        <f aca="true">IF(OR($A72="",C72=""),"",IF(C72&lt;TODAY(),"Past",IF(C72-TODAY()&lt;=Setup!$H$3,"Upcoming","Later")))</f>
        <v/>
      </c>
      <c r="O72" s="32" t="str">
        <f aca="false">IF($A72="","",IF(C72="",100000,C72)+ROW()/100000)</f>
        <v/>
      </c>
    </row>
    <row r="73" customFormat="false" ht="15" hidden="false" customHeight="false" outlineLevel="0" collapsed="false">
      <c r="C73" s="33"/>
      <c r="D73" s="34"/>
      <c r="E73" s="34"/>
      <c r="I73" s="25" t="str">
        <f aca="false">IF(OR(D73="",E73=""),"",ROUND(MOD(E73-D73,1)*24,2))</f>
        <v/>
      </c>
      <c r="J73" s="30" t="str">
        <f aca="false">IF($A73="","",COUNTIFS(Deployments!$A$2:$A$1001,$A73,Deployments!$D$2:$D$1001,"&lt;&gt;Withdrawn"))</f>
        <v/>
      </c>
      <c r="K73" s="30" t="str">
        <f aca="false">IF($A73="","",MAX(0,N(H73)-J73))</f>
        <v/>
      </c>
      <c r="L73" s="31" t="str">
        <f aca="false">IF(OR($A73="",N(H73)=0),"",J73/H73)</f>
        <v/>
      </c>
      <c r="M73" s="24" t="str">
        <f aca="false">IF($A73="","",IF(N(H73)=0,"No target",IF(J73&gt;H73,"Over-staffed",IF(J73=H73,"Fully staffed",IF(J73=0,"Unstaffed","Short")))))</f>
        <v/>
      </c>
      <c r="N73" s="24" t="str">
        <f aca="true">IF(OR($A73="",C73=""),"",IF(C73&lt;TODAY(),"Past",IF(C73-TODAY()&lt;=Setup!$H$3,"Upcoming","Later")))</f>
        <v/>
      </c>
      <c r="O73" s="32" t="str">
        <f aca="false">IF($A73="","",IF(C73="",100000,C73)+ROW()/100000)</f>
        <v/>
      </c>
    </row>
    <row r="74" customFormat="false" ht="15" hidden="false" customHeight="false" outlineLevel="0" collapsed="false">
      <c r="C74" s="33"/>
      <c r="D74" s="34"/>
      <c r="E74" s="34"/>
      <c r="I74" s="25" t="str">
        <f aca="false">IF(OR(D74="",E74=""),"",ROUND(MOD(E74-D74,1)*24,2))</f>
        <v/>
      </c>
      <c r="J74" s="30" t="str">
        <f aca="false">IF($A74="","",COUNTIFS(Deployments!$A$2:$A$1001,$A74,Deployments!$D$2:$D$1001,"&lt;&gt;Withdrawn"))</f>
        <v/>
      </c>
      <c r="K74" s="30" t="str">
        <f aca="false">IF($A74="","",MAX(0,N(H74)-J74))</f>
        <v/>
      </c>
      <c r="L74" s="31" t="str">
        <f aca="false">IF(OR($A74="",N(H74)=0),"",J74/H74)</f>
        <v/>
      </c>
      <c r="M74" s="24" t="str">
        <f aca="false">IF($A74="","",IF(N(H74)=0,"No target",IF(J74&gt;H74,"Over-staffed",IF(J74=H74,"Fully staffed",IF(J74=0,"Unstaffed","Short")))))</f>
        <v/>
      </c>
      <c r="N74" s="24" t="str">
        <f aca="true">IF(OR($A74="",C74=""),"",IF(C74&lt;TODAY(),"Past",IF(C74-TODAY()&lt;=Setup!$H$3,"Upcoming","Later")))</f>
        <v/>
      </c>
      <c r="O74" s="32" t="str">
        <f aca="false">IF($A74="","",IF(C74="",100000,C74)+ROW()/100000)</f>
        <v/>
      </c>
    </row>
    <row r="75" customFormat="false" ht="15" hidden="false" customHeight="false" outlineLevel="0" collapsed="false">
      <c r="C75" s="33"/>
      <c r="D75" s="34"/>
      <c r="E75" s="34"/>
      <c r="I75" s="25" t="str">
        <f aca="false">IF(OR(D75="",E75=""),"",ROUND(MOD(E75-D75,1)*24,2))</f>
        <v/>
      </c>
      <c r="J75" s="30" t="str">
        <f aca="false">IF($A75="","",COUNTIFS(Deployments!$A$2:$A$1001,$A75,Deployments!$D$2:$D$1001,"&lt;&gt;Withdrawn"))</f>
        <v/>
      </c>
      <c r="K75" s="30" t="str">
        <f aca="false">IF($A75="","",MAX(0,N(H75)-J75))</f>
        <v/>
      </c>
      <c r="L75" s="31" t="str">
        <f aca="false">IF(OR($A75="",N(H75)=0),"",J75/H75)</f>
        <v/>
      </c>
      <c r="M75" s="24" t="str">
        <f aca="false">IF($A75="","",IF(N(H75)=0,"No target",IF(J75&gt;H75,"Over-staffed",IF(J75=H75,"Fully staffed",IF(J75=0,"Unstaffed","Short")))))</f>
        <v/>
      </c>
      <c r="N75" s="24" t="str">
        <f aca="true">IF(OR($A75="",C75=""),"",IF(C75&lt;TODAY(),"Past",IF(C75-TODAY()&lt;=Setup!$H$3,"Upcoming","Later")))</f>
        <v/>
      </c>
      <c r="O75" s="32" t="str">
        <f aca="false">IF($A75="","",IF(C75="",100000,C75)+ROW()/100000)</f>
        <v/>
      </c>
    </row>
    <row r="76" customFormat="false" ht="15" hidden="false" customHeight="false" outlineLevel="0" collapsed="false">
      <c r="C76" s="33"/>
      <c r="D76" s="34"/>
      <c r="E76" s="34"/>
      <c r="I76" s="25" t="str">
        <f aca="false">IF(OR(D76="",E76=""),"",ROUND(MOD(E76-D76,1)*24,2))</f>
        <v/>
      </c>
      <c r="J76" s="30" t="str">
        <f aca="false">IF($A76="","",COUNTIFS(Deployments!$A$2:$A$1001,$A76,Deployments!$D$2:$D$1001,"&lt;&gt;Withdrawn"))</f>
        <v/>
      </c>
      <c r="K76" s="30" t="str">
        <f aca="false">IF($A76="","",MAX(0,N(H76)-J76))</f>
        <v/>
      </c>
      <c r="L76" s="31" t="str">
        <f aca="false">IF(OR($A76="",N(H76)=0),"",J76/H76)</f>
        <v/>
      </c>
      <c r="M76" s="24" t="str">
        <f aca="false">IF($A76="","",IF(N(H76)=0,"No target",IF(J76&gt;H76,"Over-staffed",IF(J76=H76,"Fully staffed",IF(J76=0,"Unstaffed","Short")))))</f>
        <v/>
      </c>
      <c r="N76" s="24" t="str">
        <f aca="true">IF(OR($A76="",C76=""),"",IF(C76&lt;TODAY(),"Past",IF(C76-TODAY()&lt;=Setup!$H$3,"Upcoming","Later")))</f>
        <v/>
      </c>
      <c r="O76" s="32" t="str">
        <f aca="false">IF($A76="","",IF(C76="",100000,C76)+ROW()/100000)</f>
        <v/>
      </c>
    </row>
    <row r="77" customFormat="false" ht="15" hidden="false" customHeight="false" outlineLevel="0" collapsed="false">
      <c r="C77" s="33"/>
      <c r="D77" s="34"/>
      <c r="E77" s="34"/>
      <c r="I77" s="25" t="str">
        <f aca="false">IF(OR(D77="",E77=""),"",ROUND(MOD(E77-D77,1)*24,2))</f>
        <v/>
      </c>
      <c r="J77" s="30" t="str">
        <f aca="false">IF($A77="","",COUNTIFS(Deployments!$A$2:$A$1001,$A77,Deployments!$D$2:$D$1001,"&lt;&gt;Withdrawn"))</f>
        <v/>
      </c>
      <c r="K77" s="30" t="str">
        <f aca="false">IF($A77="","",MAX(0,N(H77)-J77))</f>
        <v/>
      </c>
      <c r="L77" s="31" t="str">
        <f aca="false">IF(OR($A77="",N(H77)=0),"",J77/H77)</f>
        <v/>
      </c>
      <c r="M77" s="24" t="str">
        <f aca="false">IF($A77="","",IF(N(H77)=0,"No target",IF(J77&gt;H77,"Over-staffed",IF(J77=H77,"Fully staffed",IF(J77=0,"Unstaffed","Short")))))</f>
        <v/>
      </c>
      <c r="N77" s="24" t="str">
        <f aca="true">IF(OR($A77="",C77=""),"",IF(C77&lt;TODAY(),"Past",IF(C77-TODAY()&lt;=Setup!$H$3,"Upcoming","Later")))</f>
        <v/>
      </c>
      <c r="O77" s="32" t="str">
        <f aca="false">IF($A77="","",IF(C77="",100000,C77)+ROW()/100000)</f>
        <v/>
      </c>
    </row>
    <row r="78" customFormat="false" ht="15" hidden="false" customHeight="false" outlineLevel="0" collapsed="false">
      <c r="C78" s="33"/>
      <c r="D78" s="34"/>
      <c r="E78" s="34"/>
      <c r="I78" s="25" t="str">
        <f aca="false">IF(OR(D78="",E78=""),"",ROUND(MOD(E78-D78,1)*24,2))</f>
        <v/>
      </c>
      <c r="J78" s="30" t="str">
        <f aca="false">IF($A78="","",COUNTIFS(Deployments!$A$2:$A$1001,$A78,Deployments!$D$2:$D$1001,"&lt;&gt;Withdrawn"))</f>
        <v/>
      </c>
      <c r="K78" s="30" t="str">
        <f aca="false">IF($A78="","",MAX(0,N(H78)-J78))</f>
        <v/>
      </c>
      <c r="L78" s="31" t="str">
        <f aca="false">IF(OR($A78="",N(H78)=0),"",J78/H78)</f>
        <v/>
      </c>
      <c r="M78" s="24" t="str">
        <f aca="false">IF($A78="","",IF(N(H78)=0,"No target",IF(J78&gt;H78,"Over-staffed",IF(J78=H78,"Fully staffed",IF(J78=0,"Unstaffed","Short")))))</f>
        <v/>
      </c>
      <c r="N78" s="24" t="str">
        <f aca="true">IF(OR($A78="",C78=""),"",IF(C78&lt;TODAY(),"Past",IF(C78-TODAY()&lt;=Setup!$H$3,"Upcoming","Later")))</f>
        <v/>
      </c>
      <c r="O78" s="32" t="str">
        <f aca="false">IF($A78="","",IF(C78="",100000,C78)+ROW()/100000)</f>
        <v/>
      </c>
    </row>
    <row r="79" customFormat="false" ht="15" hidden="false" customHeight="false" outlineLevel="0" collapsed="false">
      <c r="C79" s="33"/>
      <c r="D79" s="34"/>
      <c r="E79" s="34"/>
      <c r="I79" s="25" t="str">
        <f aca="false">IF(OR(D79="",E79=""),"",ROUND(MOD(E79-D79,1)*24,2))</f>
        <v/>
      </c>
      <c r="J79" s="30" t="str">
        <f aca="false">IF($A79="","",COUNTIFS(Deployments!$A$2:$A$1001,$A79,Deployments!$D$2:$D$1001,"&lt;&gt;Withdrawn"))</f>
        <v/>
      </c>
      <c r="K79" s="30" t="str">
        <f aca="false">IF($A79="","",MAX(0,N(H79)-J79))</f>
        <v/>
      </c>
      <c r="L79" s="31" t="str">
        <f aca="false">IF(OR($A79="",N(H79)=0),"",J79/H79)</f>
        <v/>
      </c>
      <c r="M79" s="24" t="str">
        <f aca="false">IF($A79="","",IF(N(H79)=0,"No target",IF(J79&gt;H79,"Over-staffed",IF(J79=H79,"Fully staffed",IF(J79=0,"Unstaffed","Short")))))</f>
        <v/>
      </c>
      <c r="N79" s="24" t="str">
        <f aca="true">IF(OR($A79="",C79=""),"",IF(C79&lt;TODAY(),"Past",IF(C79-TODAY()&lt;=Setup!$H$3,"Upcoming","Later")))</f>
        <v/>
      </c>
      <c r="O79" s="32" t="str">
        <f aca="false">IF($A79="","",IF(C79="",100000,C79)+ROW()/100000)</f>
        <v/>
      </c>
    </row>
    <row r="80" customFormat="false" ht="15" hidden="false" customHeight="false" outlineLevel="0" collapsed="false">
      <c r="C80" s="33"/>
      <c r="D80" s="34"/>
      <c r="E80" s="34"/>
      <c r="I80" s="25" t="str">
        <f aca="false">IF(OR(D80="",E80=""),"",ROUND(MOD(E80-D80,1)*24,2))</f>
        <v/>
      </c>
      <c r="J80" s="30" t="str">
        <f aca="false">IF($A80="","",COUNTIFS(Deployments!$A$2:$A$1001,$A80,Deployments!$D$2:$D$1001,"&lt;&gt;Withdrawn"))</f>
        <v/>
      </c>
      <c r="K80" s="30" t="str">
        <f aca="false">IF($A80="","",MAX(0,N(H80)-J80))</f>
        <v/>
      </c>
      <c r="L80" s="31" t="str">
        <f aca="false">IF(OR($A80="",N(H80)=0),"",J80/H80)</f>
        <v/>
      </c>
      <c r="M80" s="24" t="str">
        <f aca="false">IF($A80="","",IF(N(H80)=0,"No target",IF(J80&gt;H80,"Over-staffed",IF(J80=H80,"Fully staffed",IF(J80=0,"Unstaffed","Short")))))</f>
        <v/>
      </c>
      <c r="N80" s="24" t="str">
        <f aca="true">IF(OR($A80="",C80=""),"",IF(C80&lt;TODAY(),"Past",IF(C80-TODAY()&lt;=Setup!$H$3,"Upcoming","Later")))</f>
        <v/>
      </c>
      <c r="O80" s="32" t="str">
        <f aca="false">IF($A80="","",IF(C80="",100000,C80)+ROW()/100000)</f>
        <v/>
      </c>
    </row>
    <row r="81" customFormat="false" ht="15" hidden="false" customHeight="false" outlineLevel="0" collapsed="false">
      <c r="C81" s="33"/>
      <c r="D81" s="34"/>
      <c r="E81" s="34"/>
      <c r="I81" s="25" t="str">
        <f aca="false">IF(OR(D81="",E81=""),"",ROUND(MOD(E81-D81,1)*24,2))</f>
        <v/>
      </c>
      <c r="J81" s="30" t="str">
        <f aca="false">IF($A81="","",COUNTIFS(Deployments!$A$2:$A$1001,$A81,Deployments!$D$2:$D$1001,"&lt;&gt;Withdrawn"))</f>
        <v/>
      </c>
      <c r="K81" s="30" t="str">
        <f aca="false">IF($A81="","",MAX(0,N(H81)-J81))</f>
        <v/>
      </c>
      <c r="L81" s="31" t="str">
        <f aca="false">IF(OR($A81="",N(H81)=0),"",J81/H81)</f>
        <v/>
      </c>
      <c r="M81" s="24" t="str">
        <f aca="false">IF($A81="","",IF(N(H81)=0,"No target",IF(J81&gt;H81,"Over-staffed",IF(J81=H81,"Fully staffed",IF(J81=0,"Unstaffed","Short")))))</f>
        <v/>
      </c>
      <c r="N81" s="24" t="str">
        <f aca="true">IF(OR($A81="",C81=""),"",IF(C81&lt;TODAY(),"Past",IF(C81-TODAY()&lt;=Setup!$H$3,"Upcoming","Later")))</f>
        <v/>
      </c>
      <c r="O81" s="32" t="str">
        <f aca="false">IF($A81="","",IF(C81="",100000,C81)+ROW()/100000)</f>
        <v/>
      </c>
    </row>
    <row r="82" customFormat="false" ht="15" hidden="false" customHeight="false" outlineLevel="0" collapsed="false">
      <c r="C82" s="33"/>
      <c r="D82" s="34"/>
      <c r="E82" s="34"/>
      <c r="I82" s="25" t="str">
        <f aca="false">IF(OR(D82="",E82=""),"",ROUND(MOD(E82-D82,1)*24,2))</f>
        <v/>
      </c>
      <c r="J82" s="30" t="str">
        <f aca="false">IF($A82="","",COUNTIFS(Deployments!$A$2:$A$1001,$A82,Deployments!$D$2:$D$1001,"&lt;&gt;Withdrawn"))</f>
        <v/>
      </c>
      <c r="K82" s="30" t="str">
        <f aca="false">IF($A82="","",MAX(0,N(H82)-J82))</f>
        <v/>
      </c>
      <c r="L82" s="31" t="str">
        <f aca="false">IF(OR($A82="",N(H82)=0),"",J82/H82)</f>
        <v/>
      </c>
      <c r="M82" s="24" t="str">
        <f aca="false">IF($A82="","",IF(N(H82)=0,"No target",IF(J82&gt;H82,"Over-staffed",IF(J82=H82,"Fully staffed",IF(J82=0,"Unstaffed","Short")))))</f>
        <v/>
      </c>
      <c r="N82" s="24" t="str">
        <f aca="true">IF(OR($A82="",C82=""),"",IF(C82&lt;TODAY(),"Past",IF(C82-TODAY()&lt;=Setup!$H$3,"Upcoming","Later")))</f>
        <v/>
      </c>
      <c r="O82" s="32" t="str">
        <f aca="false">IF($A82="","",IF(C82="",100000,C82)+ROW()/100000)</f>
        <v/>
      </c>
    </row>
    <row r="83" customFormat="false" ht="15" hidden="false" customHeight="false" outlineLevel="0" collapsed="false">
      <c r="C83" s="33"/>
      <c r="D83" s="34"/>
      <c r="E83" s="34"/>
      <c r="I83" s="25" t="str">
        <f aca="false">IF(OR(D83="",E83=""),"",ROUND(MOD(E83-D83,1)*24,2))</f>
        <v/>
      </c>
      <c r="J83" s="30" t="str">
        <f aca="false">IF($A83="","",COUNTIFS(Deployments!$A$2:$A$1001,$A83,Deployments!$D$2:$D$1001,"&lt;&gt;Withdrawn"))</f>
        <v/>
      </c>
      <c r="K83" s="30" t="str">
        <f aca="false">IF($A83="","",MAX(0,N(H83)-J83))</f>
        <v/>
      </c>
      <c r="L83" s="31" t="str">
        <f aca="false">IF(OR($A83="",N(H83)=0),"",J83/H83)</f>
        <v/>
      </c>
      <c r="M83" s="24" t="str">
        <f aca="false">IF($A83="","",IF(N(H83)=0,"No target",IF(J83&gt;H83,"Over-staffed",IF(J83=H83,"Fully staffed",IF(J83=0,"Unstaffed","Short")))))</f>
        <v/>
      </c>
      <c r="N83" s="24" t="str">
        <f aca="true">IF(OR($A83="",C83=""),"",IF(C83&lt;TODAY(),"Past",IF(C83-TODAY()&lt;=Setup!$H$3,"Upcoming","Later")))</f>
        <v/>
      </c>
      <c r="O83" s="32" t="str">
        <f aca="false">IF($A83="","",IF(C83="",100000,C83)+ROW()/100000)</f>
        <v/>
      </c>
    </row>
    <row r="84" customFormat="false" ht="15" hidden="false" customHeight="false" outlineLevel="0" collapsed="false">
      <c r="C84" s="33"/>
      <c r="D84" s="34"/>
      <c r="E84" s="34"/>
      <c r="I84" s="25" t="str">
        <f aca="false">IF(OR(D84="",E84=""),"",ROUND(MOD(E84-D84,1)*24,2))</f>
        <v/>
      </c>
      <c r="J84" s="30" t="str">
        <f aca="false">IF($A84="","",COUNTIFS(Deployments!$A$2:$A$1001,$A84,Deployments!$D$2:$D$1001,"&lt;&gt;Withdrawn"))</f>
        <v/>
      </c>
      <c r="K84" s="30" t="str">
        <f aca="false">IF($A84="","",MAX(0,N(H84)-J84))</f>
        <v/>
      </c>
      <c r="L84" s="31" t="str">
        <f aca="false">IF(OR($A84="",N(H84)=0),"",J84/H84)</f>
        <v/>
      </c>
      <c r="M84" s="24" t="str">
        <f aca="false">IF($A84="","",IF(N(H84)=0,"No target",IF(J84&gt;H84,"Over-staffed",IF(J84=H84,"Fully staffed",IF(J84=0,"Unstaffed","Short")))))</f>
        <v/>
      </c>
      <c r="N84" s="24" t="str">
        <f aca="true">IF(OR($A84="",C84=""),"",IF(C84&lt;TODAY(),"Past",IF(C84-TODAY()&lt;=Setup!$H$3,"Upcoming","Later")))</f>
        <v/>
      </c>
      <c r="O84" s="32" t="str">
        <f aca="false">IF($A84="","",IF(C84="",100000,C84)+ROW()/100000)</f>
        <v/>
      </c>
    </row>
    <row r="85" customFormat="false" ht="15" hidden="false" customHeight="false" outlineLevel="0" collapsed="false">
      <c r="C85" s="33"/>
      <c r="D85" s="34"/>
      <c r="E85" s="34"/>
      <c r="I85" s="25" t="str">
        <f aca="false">IF(OR(D85="",E85=""),"",ROUND(MOD(E85-D85,1)*24,2))</f>
        <v/>
      </c>
      <c r="J85" s="30" t="str">
        <f aca="false">IF($A85="","",COUNTIFS(Deployments!$A$2:$A$1001,$A85,Deployments!$D$2:$D$1001,"&lt;&gt;Withdrawn"))</f>
        <v/>
      </c>
      <c r="K85" s="30" t="str">
        <f aca="false">IF($A85="","",MAX(0,N(H85)-J85))</f>
        <v/>
      </c>
      <c r="L85" s="31" t="str">
        <f aca="false">IF(OR($A85="",N(H85)=0),"",J85/H85)</f>
        <v/>
      </c>
      <c r="M85" s="24" t="str">
        <f aca="false">IF($A85="","",IF(N(H85)=0,"No target",IF(J85&gt;H85,"Over-staffed",IF(J85=H85,"Fully staffed",IF(J85=0,"Unstaffed","Short")))))</f>
        <v/>
      </c>
      <c r="N85" s="24" t="str">
        <f aca="true">IF(OR($A85="",C85=""),"",IF(C85&lt;TODAY(),"Past",IF(C85-TODAY()&lt;=Setup!$H$3,"Upcoming","Later")))</f>
        <v/>
      </c>
      <c r="O85" s="32" t="str">
        <f aca="false">IF($A85="","",IF(C85="",100000,C85)+ROW()/100000)</f>
        <v/>
      </c>
    </row>
    <row r="86" customFormat="false" ht="15" hidden="false" customHeight="false" outlineLevel="0" collapsed="false">
      <c r="C86" s="33"/>
      <c r="D86" s="34"/>
      <c r="E86" s="34"/>
      <c r="I86" s="25" t="str">
        <f aca="false">IF(OR(D86="",E86=""),"",ROUND(MOD(E86-D86,1)*24,2))</f>
        <v/>
      </c>
      <c r="J86" s="30" t="str">
        <f aca="false">IF($A86="","",COUNTIFS(Deployments!$A$2:$A$1001,$A86,Deployments!$D$2:$D$1001,"&lt;&gt;Withdrawn"))</f>
        <v/>
      </c>
      <c r="K86" s="30" t="str">
        <f aca="false">IF($A86="","",MAX(0,N(H86)-J86))</f>
        <v/>
      </c>
      <c r="L86" s="31" t="str">
        <f aca="false">IF(OR($A86="",N(H86)=0),"",J86/H86)</f>
        <v/>
      </c>
      <c r="M86" s="24" t="str">
        <f aca="false">IF($A86="","",IF(N(H86)=0,"No target",IF(J86&gt;H86,"Over-staffed",IF(J86=H86,"Fully staffed",IF(J86=0,"Unstaffed","Short")))))</f>
        <v/>
      </c>
      <c r="N86" s="24" t="str">
        <f aca="true">IF(OR($A86="",C86=""),"",IF(C86&lt;TODAY(),"Past",IF(C86-TODAY()&lt;=Setup!$H$3,"Upcoming","Later")))</f>
        <v/>
      </c>
      <c r="O86" s="32" t="str">
        <f aca="false">IF($A86="","",IF(C86="",100000,C86)+ROW()/100000)</f>
        <v/>
      </c>
    </row>
    <row r="87" customFormat="false" ht="15" hidden="false" customHeight="false" outlineLevel="0" collapsed="false">
      <c r="C87" s="33"/>
      <c r="D87" s="34"/>
      <c r="E87" s="34"/>
      <c r="I87" s="25" t="str">
        <f aca="false">IF(OR(D87="",E87=""),"",ROUND(MOD(E87-D87,1)*24,2))</f>
        <v/>
      </c>
      <c r="J87" s="30" t="str">
        <f aca="false">IF($A87="","",COUNTIFS(Deployments!$A$2:$A$1001,$A87,Deployments!$D$2:$D$1001,"&lt;&gt;Withdrawn"))</f>
        <v/>
      </c>
      <c r="K87" s="30" t="str">
        <f aca="false">IF($A87="","",MAX(0,N(H87)-J87))</f>
        <v/>
      </c>
      <c r="L87" s="31" t="str">
        <f aca="false">IF(OR($A87="",N(H87)=0),"",J87/H87)</f>
        <v/>
      </c>
      <c r="M87" s="24" t="str">
        <f aca="false">IF($A87="","",IF(N(H87)=0,"No target",IF(J87&gt;H87,"Over-staffed",IF(J87=H87,"Fully staffed",IF(J87=0,"Unstaffed","Short")))))</f>
        <v/>
      </c>
      <c r="N87" s="24" t="str">
        <f aca="true">IF(OR($A87="",C87=""),"",IF(C87&lt;TODAY(),"Past",IF(C87-TODAY()&lt;=Setup!$H$3,"Upcoming","Later")))</f>
        <v/>
      </c>
      <c r="O87" s="32" t="str">
        <f aca="false">IF($A87="","",IF(C87="",100000,C87)+ROW()/100000)</f>
        <v/>
      </c>
    </row>
    <row r="88" customFormat="false" ht="15" hidden="false" customHeight="false" outlineLevel="0" collapsed="false">
      <c r="C88" s="33"/>
      <c r="D88" s="34"/>
      <c r="E88" s="34"/>
      <c r="I88" s="25" t="str">
        <f aca="false">IF(OR(D88="",E88=""),"",ROUND(MOD(E88-D88,1)*24,2))</f>
        <v/>
      </c>
      <c r="J88" s="30" t="str">
        <f aca="false">IF($A88="","",COUNTIFS(Deployments!$A$2:$A$1001,$A88,Deployments!$D$2:$D$1001,"&lt;&gt;Withdrawn"))</f>
        <v/>
      </c>
      <c r="K88" s="30" t="str">
        <f aca="false">IF($A88="","",MAX(0,N(H88)-J88))</f>
        <v/>
      </c>
      <c r="L88" s="31" t="str">
        <f aca="false">IF(OR($A88="",N(H88)=0),"",J88/H88)</f>
        <v/>
      </c>
      <c r="M88" s="24" t="str">
        <f aca="false">IF($A88="","",IF(N(H88)=0,"No target",IF(J88&gt;H88,"Over-staffed",IF(J88=H88,"Fully staffed",IF(J88=0,"Unstaffed","Short")))))</f>
        <v/>
      </c>
      <c r="N88" s="24" t="str">
        <f aca="true">IF(OR($A88="",C88=""),"",IF(C88&lt;TODAY(),"Past",IF(C88-TODAY()&lt;=Setup!$H$3,"Upcoming","Later")))</f>
        <v/>
      </c>
      <c r="O88" s="32" t="str">
        <f aca="false">IF($A88="","",IF(C88="",100000,C88)+ROW()/100000)</f>
        <v/>
      </c>
    </row>
    <row r="89" customFormat="false" ht="15" hidden="false" customHeight="false" outlineLevel="0" collapsed="false">
      <c r="C89" s="33"/>
      <c r="D89" s="34"/>
      <c r="E89" s="34"/>
      <c r="I89" s="25" t="str">
        <f aca="false">IF(OR(D89="",E89=""),"",ROUND(MOD(E89-D89,1)*24,2))</f>
        <v/>
      </c>
      <c r="J89" s="30" t="str">
        <f aca="false">IF($A89="","",COUNTIFS(Deployments!$A$2:$A$1001,$A89,Deployments!$D$2:$D$1001,"&lt;&gt;Withdrawn"))</f>
        <v/>
      </c>
      <c r="K89" s="30" t="str">
        <f aca="false">IF($A89="","",MAX(0,N(H89)-J89))</f>
        <v/>
      </c>
      <c r="L89" s="31" t="str">
        <f aca="false">IF(OR($A89="",N(H89)=0),"",J89/H89)</f>
        <v/>
      </c>
      <c r="M89" s="24" t="str">
        <f aca="false">IF($A89="","",IF(N(H89)=0,"No target",IF(J89&gt;H89,"Over-staffed",IF(J89=H89,"Fully staffed",IF(J89=0,"Unstaffed","Short")))))</f>
        <v/>
      </c>
      <c r="N89" s="24" t="str">
        <f aca="true">IF(OR($A89="",C89=""),"",IF(C89&lt;TODAY(),"Past",IF(C89-TODAY()&lt;=Setup!$H$3,"Upcoming","Later")))</f>
        <v/>
      </c>
      <c r="O89" s="32" t="str">
        <f aca="false">IF($A89="","",IF(C89="",100000,C89)+ROW()/100000)</f>
        <v/>
      </c>
    </row>
    <row r="90" customFormat="false" ht="15" hidden="false" customHeight="false" outlineLevel="0" collapsed="false">
      <c r="C90" s="33"/>
      <c r="D90" s="34"/>
      <c r="E90" s="34"/>
      <c r="I90" s="25" t="str">
        <f aca="false">IF(OR(D90="",E90=""),"",ROUND(MOD(E90-D90,1)*24,2))</f>
        <v/>
      </c>
      <c r="J90" s="30" t="str">
        <f aca="false">IF($A90="","",COUNTIFS(Deployments!$A$2:$A$1001,$A90,Deployments!$D$2:$D$1001,"&lt;&gt;Withdrawn"))</f>
        <v/>
      </c>
      <c r="K90" s="30" t="str">
        <f aca="false">IF($A90="","",MAX(0,N(H90)-J90))</f>
        <v/>
      </c>
      <c r="L90" s="31" t="str">
        <f aca="false">IF(OR($A90="",N(H90)=0),"",J90/H90)</f>
        <v/>
      </c>
      <c r="M90" s="24" t="str">
        <f aca="false">IF($A90="","",IF(N(H90)=0,"No target",IF(J90&gt;H90,"Over-staffed",IF(J90=H90,"Fully staffed",IF(J90=0,"Unstaffed","Short")))))</f>
        <v/>
      </c>
      <c r="N90" s="24" t="str">
        <f aca="true">IF(OR($A90="",C90=""),"",IF(C90&lt;TODAY(),"Past",IF(C90-TODAY()&lt;=Setup!$H$3,"Upcoming","Later")))</f>
        <v/>
      </c>
      <c r="O90" s="32" t="str">
        <f aca="false">IF($A90="","",IF(C90="",100000,C90)+ROW()/100000)</f>
        <v/>
      </c>
    </row>
    <row r="91" customFormat="false" ht="15" hidden="false" customHeight="false" outlineLevel="0" collapsed="false">
      <c r="C91" s="33"/>
      <c r="D91" s="34"/>
      <c r="E91" s="34"/>
      <c r="I91" s="25" t="str">
        <f aca="false">IF(OR(D91="",E91=""),"",ROUND(MOD(E91-D91,1)*24,2))</f>
        <v/>
      </c>
      <c r="J91" s="30" t="str">
        <f aca="false">IF($A91="","",COUNTIFS(Deployments!$A$2:$A$1001,$A91,Deployments!$D$2:$D$1001,"&lt;&gt;Withdrawn"))</f>
        <v/>
      </c>
      <c r="K91" s="30" t="str">
        <f aca="false">IF($A91="","",MAX(0,N(H91)-J91))</f>
        <v/>
      </c>
      <c r="L91" s="31" t="str">
        <f aca="false">IF(OR($A91="",N(H91)=0),"",J91/H91)</f>
        <v/>
      </c>
      <c r="M91" s="24" t="str">
        <f aca="false">IF($A91="","",IF(N(H91)=0,"No target",IF(J91&gt;H91,"Over-staffed",IF(J91=H91,"Fully staffed",IF(J91=0,"Unstaffed","Short")))))</f>
        <v/>
      </c>
      <c r="N91" s="24" t="str">
        <f aca="true">IF(OR($A91="",C91=""),"",IF(C91&lt;TODAY(),"Past",IF(C91-TODAY()&lt;=Setup!$H$3,"Upcoming","Later")))</f>
        <v/>
      </c>
      <c r="O91" s="32" t="str">
        <f aca="false">IF($A91="","",IF(C91="",100000,C91)+ROW()/100000)</f>
        <v/>
      </c>
    </row>
    <row r="92" customFormat="false" ht="15" hidden="false" customHeight="false" outlineLevel="0" collapsed="false">
      <c r="C92" s="33"/>
      <c r="D92" s="34"/>
      <c r="E92" s="34"/>
      <c r="I92" s="25" t="str">
        <f aca="false">IF(OR(D92="",E92=""),"",ROUND(MOD(E92-D92,1)*24,2))</f>
        <v/>
      </c>
      <c r="J92" s="30" t="str">
        <f aca="false">IF($A92="","",COUNTIFS(Deployments!$A$2:$A$1001,$A92,Deployments!$D$2:$D$1001,"&lt;&gt;Withdrawn"))</f>
        <v/>
      </c>
      <c r="K92" s="30" t="str">
        <f aca="false">IF($A92="","",MAX(0,N(H92)-J92))</f>
        <v/>
      </c>
      <c r="L92" s="31" t="str">
        <f aca="false">IF(OR($A92="",N(H92)=0),"",J92/H92)</f>
        <v/>
      </c>
      <c r="M92" s="24" t="str">
        <f aca="false">IF($A92="","",IF(N(H92)=0,"No target",IF(J92&gt;H92,"Over-staffed",IF(J92=H92,"Fully staffed",IF(J92=0,"Unstaffed","Short")))))</f>
        <v/>
      </c>
      <c r="N92" s="24" t="str">
        <f aca="true">IF(OR($A92="",C92=""),"",IF(C92&lt;TODAY(),"Past",IF(C92-TODAY()&lt;=Setup!$H$3,"Upcoming","Later")))</f>
        <v/>
      </c>
      <c r="O92" s="32" t="str">
        <f aca="false">IF($A92="","",IF(C92="",100000,C92)+ROW()/100000)</f>
        <v/>
      </c>
    </row>
    <row r="93" customFormat="false" ht="15" hidden="false" customHeight="false" outlineLevel="0" collapsed="false">
      <c r="C93" s="33"/>
      <c r="D93" s="34"/>
      <c r="E93" s="34"/>
      <c r="I93" s="25" t="str">
        <f aca="false">IF(OR(D93="",E93=""),"",ROUND(MOD(E93-D93,1)*24,2))</f>
        <v/>
      </c>
      <c r="J93" s="30" t="str">
        <f aca="false">IF($A93="","",COUNTIFS(Deployments!$A$2:$A$1001,$A93,Deployments!$D$2:$D$1001,"&lt;&gt;Withdrawn"))</f>
        <v/>
      </c>
      <c r="K93" s="30" t="str">
        <f aca="false">IF($A93="","",MAX(0,N(H93)-J93))</f>
        <v/>
      </c>
      <c r="L93" s="31" t="str">
        <f aca="false">IF(OR($A93="",N(H93)=0),"",J93/H93)</f>
        <v/>
      </c>
      <c r="M93" s="24" t="str">
        <f aca="false">IF($A93="","",IF(N(H93)=0,"No target",IF(J93&gt;H93,"Over-staffed",IF(J93=H93,"Fully staffed",IF(J93=0,"Unstaffed","Short")))))</f>
        <v/>
      </c>
      <c r="N93" s="24" t="str">
        <f aca="true">IF(OR($A93="",C93=""),"",IF(C93&lt;TODAY(),"Past",IF(C93-TODAY()&lt;=Setup!$H$3,"Upcoming","Later")))</f>
        <v/>
      </c>
      <c r="O93" s="32" t="str">
        <f aca="false">IF($A93="","",IF(C93="",100000,C93)+ROW()/100000)</f>
        <v/>
      </c>
    </row>
    <row r="94" customFormat="false" ht="15" hidden="false" customHeight="false" outlineLevel="0" collapsed="false">
      <c r="C94" s="33"/>
      <c r="D94" s="34"/>
      <c r="E94" s="34"/>
      <c r="I94" s="25" t="str">
        <f aca="false">IF(OR(D94="",E94=""),"",ROUND(MOD(E94-D94,1)*24,2))</f>
        <v/>
      </c>
      <c r="J94" s="30" t="str">
        <f aca="false">IF($A94="","",COUNTIFS(Deployments!$A$2:$A$1001,$A94,Deployments!$D$2:$D$1001,"&lt;&gt;Withdrawn"))</f>
        <v/>
      </c>
      <c r="K94" s="30" t="str">
        <f aca="false">IF($A94="","",MAX(0,N(H94)-J94))</f>
        <v/>
      </c>
      <c r="L94" s="31" t="str">
        <f aca="false">IF(OR($A94="",N(H94)=0),"",J94/H94)</f>
        <v/>
      </c>
      <c r="M94" s="24" t="str">
        <f aca="false">IF($A94="","",IF(N(H94)=0,"No target",IF(J94&gt;H94,"Over-staffed",IF(J94=H94,"Fully staffed",IF(J94=0,"Unstaffed","Short")))))</f>
        <v/>
      </c>
      <c r="N94" s="24" t="str">
        <f aca="true">IF(OR($A94="",C94=""),"",IF(C94&lt;TODAY(),"Past",IF(C94-TODAY()&lt;=Setup!$H$3,"Upcoming","Later")))</f>
        <v/>
      </c>
      <c r="O94" s="32" t="str">
        <f aca="false">IF($A94="","",IF(C94="",100000,C94)+ROW()/100000)</f>
        <v/>
      </c>
    </row>
    <row r="95" customFormat="false" ht="15" hidden="false" customHeight="false" outlineLevel="0" collapsed="false">
      <c r="C95" s="33"/>
      <c r="D95" s="34"/>
      <c r="E95" s="34"/>
      <c r="I95" s="25" t="str">
        <f aca="false">IF(OR(D95="",E95=""),"",ROUND(MOD(E95-D95,1)*24,2))</f>
        <v/>
      </c>
      <c r="J95" s="30" t="str">
        <f aca="false">IF($A95="","",COUNTIFS(Deployments!$A$2:$A$1001,$A95,Deployments!$D$2:$D$1001,"&lt;&gt;Withdrawn"))</f>
        <v/>
      </c>
      <c r="K95" s="30" t="str">
        <f aca="false">IF($A95="","",MAX(0,N(H95)-J95))</f>
        <v/>
      </c>
      <c r="L95" s="31" t="str">
        <f aca="false">IF(OR($A95="",N(H95)=0),"",J95/H95)</f>
        <v/>
      </c>
      <c r="M95" s="24" t="str">
        <f aca="false">IF($A95="","",IF(N(H95)=0,"No target",IF(J95&gt;H95,"Over-staffed",IF(J95=H95,"Fully staffed",IF(J95=0,"Unstaffed","Short")))))</f>
        <v/>
      </c>
      <c r="N95" s="24" t="str">
        <f aca="true">IF(OR($A95="",C95=""),"",IF(C95&lt;TODAY(),"Past",IF(C95-TODAY()&lt;=Setup!$H$3,"Upcoming","Later")))</f>
        <v/>
      </c>
      <c r="O95" s="32" t="str">
        <f aca="false">IF($A95="","",IF(C95="",100000,C95)+ROW()/100000)</f>
        <v/>
      </c>
    </row>
    <row r="96" customFormat="false" ht="15" hidden="false" customHeight="false" outlineLevel="0" collapsed="false">
      <c r="C96" s="33"/>
      <c r="D96" s="34"/>
      <c r="E96" s="34"/>
      <c r="I96" s="25" t="str">
        <f aca="false">IF(OR(D96="",E96=""),"",ROUND(MOD(E96-D96,1)*24,2))</f>
        <v/>
      </c>
      <c r="J96" s="30" t="str">
        <f aca="false">IF($A96="","",COUNTIFS(Deployments!$A$2:$A$1001,$A96,Deployments!$D$2:$D$1001,"&lt;&gt;Withdrawn"))</f>
        <v/>
      </c>
      <c r="K96" s="30" t="str">
        <f aca="false">IF($A96="","",MAX(0,N(H96)-J96))</f>
        <v/>
      </c>
      <c r="L96" s="31" t="str">
        <f aca="false">IF(OR($A96="",N(H96)=0),"",J96/H96)</f>
        <v/>
      </c>
      <c r="M96" s="24" t="str">
        <f aca="false">IF($A96="","",IF(N(H96)=0,"No target",IF(J96&gt;H96,"Over-staffed",IF(J96=H96,"Fully staffed",IF(J96=0,"Unstaffed","Short")))))</f>
        <v/>
      </c>
      <c r="N96" s="24" t="str">
        <f aca="true">IF(OR($A96="",C96=""),"",IF(C96&lt;TODAY(),"Past",IF(C96-TODAY()&lt;=Setup!$H$3,"Upcoming","Later")))</f>
        <v/>
      </c>
      <c r="O96" s="32" t="str">
        <f aca="false">IF($A96="","",IF(C96="",100000,C96)+ROW()/100000)</f>
        <v/>
      </c>
    </row>
    <row r="97" customFormat="false" ht="15" hidden="false" customHeight="false" outlineLevel="0" collapsed="false">
      <c r="C97" s="33"/>
      <c r="D97" s="34"/>
      <c r="E97" s="34"/>
      <c r="I97" s="25" t="str">
        <f aca="false">IF(OR(D97="",E97=""),"",ROUND(MOD(E97-D97,1)*24,2))</f>
        <v/>
      </c>
      <c r="J97" s="30" t="str">
        <f aca="false">IF($A97="","",COUNTIFS(Deployments!$A$2:$A$1001,$A97,Deployments!$D$2:$D$1001,"&lt;&gt;Withdrawn"))</f>
        <v/>
      </c>
      <c r="K97" s="30" t="str">
        <f aca="false">IF($A97="","",MAX(0,N(H97)-J97))</f>
        <v/>
      </c>
      <c r="L97" s="31" t="str">
        <f aca="false">IF(OR($A97="",N(H97)=0),"",J97/H97)</f>
        <v/>
      </c>
      <c r="M97" s="24" t="str">
        <f aca="false">IF($A97="","",IF(N(H97)=0,"No target",IF(J97&gt;H97,"Over-staffed",IF(J97=H97,"Fully staffed",IF(J97=0,"Unstaffed","Short")))))</f>
        <v/>
      </c>
      <c r="N97" s="24" t="str">
        <f aca="true">IF(OR($A97="",C97=""),"",IF(C97&lt;TODAY(),"Past",IF(C97-TODAY()&lt;=Setup!$H$3,"Upcoming","Later")))</f>
        <v/>
      </c>
      <c r="O97" s="32" t="str">
        <f aca="false">IF($A97="","",IF(C97="",100000,C97)+ROW()/100000)</f>
        <v/>
      </c>
    </row>
    <row r="98" customFormat="false" ht="15" hidden="false" customHeight="false" outlineLevel="0" collapsed="false">
      <c r="C98" s="33"/>
      <c r="D98" s="34"/>
      <c r="E98" s="34"/>
      <c r="I98" s="25" t="str">
        <f aca="false">IF(OR(D98="",E98=""),"",ROUND(MOD(E98-D98,1)*24,2))</f>
        <v/>
      </c>
      <c r="J98" s="30" t="str">
        <f aca="false">IF($A98="","",COUNTIFS(Deployments!$A$2:$A$1001,$A98,Deployments!$D$2:$D$1001,"&lt;&gt;Withdrawn"))</f>
        <v/>
      </c>
      <c r="K98" s="30" t="str">
        <f aca="false">IF($A98="","",MAX(0,N(H98)-J98))</f>
        <v/>
      </c>
      <c r="L98" s="31" t="str">
        <f aca="false">IF(OR($A98="",N(H98)=0),"",J98/H98)</f>
        <v/>
      </c>
      <c r="M98" s="24" t="str">
        <f aca="false">IF($A98="","",IF(N(H98)=0,"No target",IF(J98&gt;H98,"Over-staffed",IF(J98=H98,"Fully staffed",IF(J98=0,"Unstaffed","Short")))))</f>
        <v/>
      </c>
      <c r="N98" s="24" t="str">
        <f aca="true">IF(OR($A98="",C98=""),"",IF(C98&lt;TODAY(),"Past",IF(C98-TODAY()&lt;=Setup!$H$3,"Upcoming","Later")))</f>
        <v/>
      </c>
      <c r="O98" s="32" t="str">
        <f aca="false">IF($A98="","",IF(C98="",100000,C98)+ROW()/100000)</f>
        <v/>
      </c>
    </row>
    <row r="99" customFormat="false" ht="15" hidden="false" customHeight="false" outlineLevel="0" collapsed="false">
      <c r="C99" s="33"/>
      <c r="D99" s="34"/>
      <c r="E99" s="34"/>
      <c r="I99" s="25" t="str">
        <f aca="false">IF(OR(D99="",E99=""),"",ROUND(MOD(E99-D99,1)*24,2))</f>
        <v/>
      </c>
      <c r="J99" s="30" t="str">
        <f aca="false">IF($A99="","",COUNTIFS(Deployments!$A$2:$A$1001,$A99,Deployments!$D$2:$D$1001,"&lt;&gt;Withdrawn"))</f>
        <v/>
      </c>
      <c r="K99" s="30" t="str">
        <f aca="false">IF($A99="","",MAX(0,N(H99)-J99))</f>
        <v/>
      </c>
      <c r="L99" s="31" t="str">
        <f aca="false">IF(OR($A99="",N(H99)=0),"",J99/H99)</f>
        <v/>
      </c>
      <c r="M99" s="24" t="str">
        <f aca="false">IF($A99="","",IF(N(H99)=0,"No target",IF(J99&gt;H99,"Over-staffed",IF(J99=H99,"Fully staffed",IF(J99=0,"Unstaffed","Short")))))</f>
        <v/>
      </c>
      <c r="N99" s="24" t="str">
        <f aca="true">IF(OR($A99="",C99=""),"",IF(C99&lt;TODAY(),"Past",IF(C99-TODAY()&lt;=Setup!$H$3,"Upcoming","Later")))</f>
        <v/>
      </c>
      <c r="O99" s="32" t="str">
        <f aca="false">IF($A99="","",IF(C99="",100000,C99)+ROW()/100000)</f>
        <v/>
      </c>
    </row>
    <row r="100" customFormat="false" ht="15" hidden="false" customHeight="false" outlineLevel="0" collapsed="false">
      <c r="C100" s="33"/>
      <c r="D100" s="34"/>
      <c r="E100" s="34"/>
      <c r="I100" s="25" t="str">
        <f aca="false">IF(OR(D100="",E100=""),"",ROUND(MOD(E100-D100,1)*24,2))</f>
        <v/>
      </c>
      <c r="J100" s="30" t="str">
        <f aca="false">IF($A100="","",COUNTIFS(Deployments!$A$2:$A$1001,$A100,Deployments!$D$2:$D$1001,"&lt;&gt;Withdrawn"))</f>
        <v/>
      </c>
      <c r="K100" s="30" t="str">
        <f aca="false">IF($A100="","",MAX(0,N(H100)-J100))</f>
        <v/>
      </c>
      <c r="L100" s="31" t="str">
        <f aca="false">IF(OR($A100="",N(H100)=0),"",J100/H100)</f>
        <v/>
      </c>
      <c r="M100" s="24" t="str">
        <f aca="false">IF($A100="","",IF(N(H100)=0,"No target",IF(J100&gt;H100,"Over-staffed",IF(J100=H100,"Fully staffed",IF(J100=0,"Unstaffed","Short")))))</f>
        <v/>
      </c>
      <c r="N100" s="24" t="str">
        <f aca="true">IF(OR($A100="",C100=""),"",IF(C100&lt;TODAY(),"Past",IF(C100-TODAY()&lt;=Setup!$H$3,"Upcoming","Later")))</f>
        <v/>
      </c>
      <c r="O100" s="32" t="str">
        <f aca="false">IF($A100="","",IF(C100="",100000,C100)+ROW()/100000)</f>
        <v/>
      </c>
    </row>
    <row r="101" customFormat="false" ht="15" hidden="false" customHeight="false" outlineLevel="0" collapsed="false">
      <c r="C101" s="33"/>
      <c r="D101" s="34"/>
      <c r="E101" s="34"/>
      <c r="I101" s="25" t="str">
        <f aca="false">IF(OR(D101="",E101=""),"",ROUND(MOD(E101-D101,1)*24,2))</f>
        <v/>
      </c>
      <c r="J101" s="30" t="str">
        <f aca="false">IF($A101="","",COUNTIFS(Deployments!$A$2:$A$1001,$A101,Deployments!$D$2:$D$1001,"&lt;&gt;Withdrawn"))</f>
        <v/>
      </c>
      <c r="K101" s="30" t="str">
        <f aca="false">IF($A101="","",MAX(0,N(H101)-J101))</f>
        <v/>
      </c>
      <c r="L101" s="31" t="str">
        <f aca="false">IF(OR($A101="",N(H101)=0),"",J101/H101)</f>
        <v/>
      </c>
      <c r="M101" s="24" t="str">
        <f aca="false">IF($A101="","",IF(N(H101)=0,"No target",IF(J101&gt;H101,"Over-staffed",IF(J101=H101,"Fully staffed",IF(J101=0,"Unstaffed","Short")))))</f>
        <v/>
      </c>
      <c r="N101" s="24" t="str">
        <f aca="true">IF(OR($A101="",C101=""),"",IF(C101&lt;TODAY(),"Past",IF(C101-TODAY()&lt;=Setup!$H$3,"Upcoming","Later")))</f>
        <v/>
      </c>
      <c r="O101" s="32" t="str">
        <f aca="false">IF($A101="","",IF(C101="",100000,C101)+ROW()/100000)</f>
        <v/>
      </c>
    </row>
    <row r="102" customFormat="false" ht="15" hidden="false" customHeight="false" outlineLevel="0" collapsed="false">
      <c r="C102" s="33"/>
      <c r="D102" s="34"/>
      <c r="E102" s="34"/>
      <c r="I102" s="25" t="str">
        <f aca="false">IF(OR(D102="",E102=""),"",ROUND(MOD(E102-D102,1)*24,2))</f>
        <v/>
      </c>
      <c r="J102" s="30" t="str">
        <f aca="false">IF($A102="","",COUNTIFS(Deployments!$A$2:$A$1001,$A102,Deployments!$D$2:$D$1001,"&lt;&gt;Withdrawn"))</f>
        <v/>
      </c>
      <c r="K102" s="30" t="str">
        <f aca="false">IF($A102="","",MAX(0,N(H102)-J102))</f>
        <v/>
      </c>
      <c r="L102" s="31" t="str">
        <f aca="false">IF(OR($A102="",N(H102)=0),"",J102/H102)</f>
        <v/>
      </c>
      <c r="M102" s="24" t="str">
        <f aca="false">IF($A102="","",IF(N(H102)=0,"No target",IF(J102&gt;H102,"Over-staffed",IF(J102=H102,"Fully staffed",IF(J102=0,"Unstaffed","Short")))))</f>
        <v/>
      </c>
      <c r="N102" s="24" t="str">
        <f aca="true">IF(OR($A102="",C102=""),"",IF(C102&lt;TODAY(),"Past",IF(C102-TODAY()&lt;=Setup!$H$3,"Upcoming","Later")))</f>
        <v/>
      </c>
      <c r="O102" s="32" t="str">
        <f aca="false">IF($A102="","",IF(C102="",100000,C102)+ROW()/100000)</f>
        <v/>
      </c>
    </row>
    <row r="103" customFormat="false" ht="15" hidden="false" customHeight="false" outlineLevel="0" collapsed="false">
      <c r="C103" s="33"/>
      <c r="D103" s="34"/>
      <c r="E103" s="34"/>
      <c r="I103" s="25" t="str">
        <f aca="false">IF(OR(D103="",E103=""),"",ROUND(MOD(E103-D103,1)*24,2))</f>
        <v/>
      </c>
      <c r="J103" s="30" t="str">
        <f aca="false">IF($A103="","",COUNTIFS(Deployments!$A$2:$A$1001,$A103,Deployments!$D$2:$D$1001,"&lt;&gt;Withdrawn"))</f>
        <v/>
      </c>
      <c r="K103" s="30" t="str">
        <f aca="false">IF($A103="","",MAX(0,N(H103)-J103))</f>
        <v/>
      </c>
      <c r="L103" s="31" t="str">
        <f aca="false">IF(OR($A103="",N(H103)=0),"",J103/H103)</f>
        <v/>
      </c>
      <c r="M103" s="24" t="str">
        <f aca="false">IF($A103="","",IF(N(H103)=0,"No target",IF(J103&gt;H103,"Over-staffed",IF(J103=H103,"Fully staffed",IF(J103=0,"Unstaffed","Short")))))</f>
        <v/>
      </c>
      <c r="N103" s="24" t="str">
        <f aca="true">IF(OR($A103="",C103=""),"",IF(C103&lt;TODAY(),"Past",IF(C103-TODAY()&lt;=Setup!$H$3,"Upcoming","Later")))</f>
        <v/>
      </c>
      <c r="O103" s="32" t="str">
        <f aca="false">IF($A103="","",IF(C103="",100000,C103)+ROW()/100000)</f>
        <v/>
      </c>
    </row>
    <row r="104" customFormat="false" ht="15" hidden="false" customHeight="false" outlineLevel="0" collapsed="false">
      <c r="C104" s="33"/>
      <c r="D104" s="34"/>
      <c r="E104" s="34"/>
      <c r="I104" s="25" t="str">
        <f aca="false">IF(OR(D104="",E104=""),"",ROUND(MOD(E104-D104,1)*24,2))</f>
        <v/>
      </c>
      <c r="J104" s="30" t="str">
        <f aca="false">IF($A104="","",COUNTIFS(Deployments!$A$2:$A$1001,$A104,Deployments!$D$2:$D$1001,"&lt;&gt;Withdrawn"))</f>
        <v/>
      </c>
      <c r="K104" s="30" t="str">
        <f aca="false">IF($A104="","",MAX(0,N(H104)-J104))</f>
        <v/>
      </c>
      <c r="L104" s="31" t="str">
        <f aca="false">IF(OR($A104="",N(H104)=0),"",J104/H104)</f>
        <v/>
      </c>
      <c r="M104" s="24" t="str">
        <f aca="false">IF($A104="","",IF(N(H104)=0,"No target",IF(J104&gt;H104,"Over-staffed",IF(J104=H104,"Fully staffed",IF(J104=0,"Unstaffed","Short")))))</f>
        <v/>
      </c>
      <c r="N104" s="24" t="str">
        <f aca="true">IF(OR($A104="",C104=""),"",IF(C104&lt;TODAY(),"Past",IF(C104-TODAY()&lt;=Setup!$H$3,"Upcoming","Later")))</f>
        <v/>
      </c>
      <c r="O104" s="32" t="str">
        <f aca="false">IF($A104="","",IF(C104="",100000,C104)+ROW()/100000)</f>
        <v/>
      </c>
    </row>
    <row r="105" customFormat="false" ht="15" hidden="false" customHeight="false" outlineLevel="0" collapsed="false">
      <c r="C105" s="33"/>
      <c r="D105" s="34"/>
      <c r="E105" s="34"/>
      <c r="I105" s="25" t="str">
        <f aca="false">IF(OR(D105="",E105=""),"",ROUND(MOD(E105-D105,1)*24,2))</f>
        <v/>
      </c>
      <c r="J105" s="30" t="str">
        <f aca="false">IF($A105="","",COUNTIFS(Deployments!$A$2:$A$1001,$A105,Deployments!$D$2:$D$1001,"&lt;&gt;Withdrawn"))</f>
        <v/>
      </c>
      <c r="K105" s="30" t="str">
        <f aca="false">IF($A105="","",MAX(0,N(H105)-J105))</f>
        <v/>
      </c>
      <c r="L105" s="31" t="str">
        <f aca="false">IF(OR($A105="",N(H105)=0),"",J105/H105)</f>
        <v/>
      </c>
      <c r="M105" s="24" t="str">
        <f aca="false">IF($A105="","",IF(N(H105)=0,"No target",IF(J105&gt;H105,"Over-staffed",IF(J105=H105,"Fully staffed",IF(J105=0,"Unstaffed","Short")))))</f>
        <v/>
      </c>
      <c r="N105" s="24" t="str">
        <f aca="true">IF(OR($A105="",C105=""),"",IF(C105&lt;TODAY(),"Past",IF(C105-TODAY()&lt;=Setup!$H$3,"Upcoming","Later")))</f>
        <v/>
      </c>
      <c r="O105" s="32" t="str">
        <f aca="false">IF($A105="","",IF(C105="",100000,C105)+ROW()/100000)</f>
        <v/>
      </c>
    </row>
    <row r="106" customFormat="false" ht="15" hidden="false" customHeight="false" outlineLevel="0" collapsed="false">
      <c r="C106" s="33"/>
      <c r="D106" s="34"/>
      <c r="E106" s="34"/>
      <c r="I106" s="25" t="str">
        <f aca="false">IF(OR(D106="",E106=""),"",ROUND(MOD(E106-D106,1)*24,2))</f>
        <v/>
      </c>
      <c r="J106" s="30" t="str">
        <f aca="false">IF($A106="","",COUNTIFS(Deployments!$A$2:$A$1001,$A106,Deployments!$D$2:$D$1001,"&lt;&gt;Withdrawn"))</f>
        <v/>
      </c>
      <c r="K106" s="30" t="str">
        <f aca="false">IF($A106="","",MAX(0,N(H106)-J106))</f>
        <v/>
      </c>
      <c r="L106" s="31" t="str">
        <f aca="false">IF(OR($A106="",N(H106)=0),"",J106/H106)</f>
        <v/>
      </c>
      <c r="M106" s="24" t="str">
        <f aca="false">IF($A106="","",IF(N(H106)=0,"No target",IF(J106&gt;H106,"Over-staffed",IF(J106=H106,"Fully staffed",IF(J106=0,"Unstaffed","Short")))))</f>
        <v/>
      </c>
      <c r="N106" s="24" t="str">
        <f aca="true">IF(OR($A106="",C106=""),"",IF(C106&lt;TODAY(),"Past",IF(C106-TODAY()&lt;=Setup!$H$3,"Upcoming","Later")))</f>
        <v/>
      </c>
      <c r="O106" s="32" t="str">
        <f aca="false">IF($A106="","",IF(C106="",100000,C106)+ROW()/100000)</f>
        <v/>
      </c>
    </row>
    <row r="107" customFormat="false" ht="15" hidden="false" customHeight="false" outlineLevel="0" collapsed="false">
      <c r="C107" s="33"/>
      <c r="D107" s="34"/>
      <c r="E107" s="34"/>
      <c r="I107" s="25" t="str">
        <f aca="false">IF(OR(D107="",E107=""),"",ROUND(MOD(E107-D107,1)*24,2))</f>
        <v/>
      </c>
      <c r="J107" s="30" t="str">
        <f aca="false">IF($A107="","",COUNTIFS(Deployments!$A$2:$A$1001,$A107,Deployments!$D$2:$D$1001,"&lt;&gt;Withdrawn"))</f>
        <v/>
      </c>
      <c r="K107" s="30" t="str">
        <f aca="false">IF($A107="","",MAX(0,N(H107)-J107))</f>
        <v/>
      </c>
      <c r="L107" s="31" t="str">
        <f aca="false">IF(OR($A107="",N(H107)=0),"",J107/H107)</f>
        <v/>
      </c>
      <c r="M107" s="24" t="str">
        <f aca="false">IF($A107="","",IF(N(H107)=0,"No target",IF(J107&gt;H107,"Over-staffed",IF(J107=H107,"Fully staffed",IF(J107=0,"Unstaffed","Short")))))</f>
        <v/>
      </c>
      <c r="N107" s="24" t="str">
        <f aca="true">IF(OR($A107="",C107=""),"",IF(C107&lt;TODAY(),"Past",IF(C107-TODAY()&lt;=Setup!$H$3,"Upcoming","Later")))</f>
        <v/>
      </c>
      <c r="O107" s="32" t="str">
        <f aca="false">IF($A107="","",IF(C107="",100000,C107)+ROW()/100000)</f>
        <v/>
      </c>
    </row>
    <row r="108" customFormat="false" ht="15" hidden="false" customHeight="false" outlineLevel="0" collapsed="false">
      <c r="C108" s="33"/>
      <c r="D108" s="34"/>
      <c r="E108" s="34"/>
      <c r="I108" s="25" t="str">
        <f aca="false">IF(OR(D108="",E108=""),"",ROUND(MOD(E108-D108,1)*24,2))</f>
        <v/>
      </c>
      <c r="J108" s="30" t="str">
        <f aca="false">IF($A108="","",COUNTIFS(Deployments!$A$2:$A$1001,$A108,Deployments!$D$2:$D$1001,"&lt;&gt;Withdrawn"))</f>
        <v/>
      </c>
      <c r="K108" s="30" t="str">
        <f aca="false">IF($A108="","",MAX(0,N(H108)-J108))</f>
        <v/>
      </c>
      <c r="L108" s="31" t="str">
        <f aca="false">IF(OR($A108="",N(H108)=0),"",J108/H108)</f>
        <v/>
      </c>
      <c r="M108" s="24" t="str">
        <f aca="false">IF($A108="","",IF(N(H108)=0,"No target",IF(J108&gt;H108,"Over-staffed",IF(J108=H108,"Fully staffed",IF(J108=0,"Unstaffed","Short")))))</f>
        <v/>
      </c>
      <c r="N108" s="24" t="str">
        <f aca="true">IF(OR($A108="",C108=""),"",IF(C108&lt;TODAY(),"Past",IF(C108-TODAY()&lt;=Setup!$H$3,"Upcoming","Later")))</f>
        <v/>
      </c>
      <c r="O108" s="32" t="str">
        <f aca="false">IF($A108="","",IF(C108="",100000,C108)+ROW()/100000)</f>
        <v/>
      </c>
    </row>
    <row r="109" customFormat="false" ht="15" hidden="false" customHeight="false" outlineLevel="0" collapsed="false">
      <c r="C109" s="33"/>
      <c r="D109" s="34"/>
      <c r="E109" s="34"/>
      <c r="I109" s="25" t="str">
        <f aca="false">IF(OR(D109="",E109=""),"",ROUND(MOD(E109-D109,1)*24,2))</f>
        <v/>
      </c>
      <c r="J109" s="30" t="str">
        <f aca="false">IF($A109="","",COUNTIFS(Deployments!$A$2:$A$1001,$A109,Deployments!$D$2:$D$1001,"&lt;&gt;Withdrawn"))</f>
        <v/>
      </c>
      <c r="K109" s="30" t="str">
        <f aca="false">IF($A109="","",MAX(0,N(H109)-J109))</f>
        <v/>
      </c>
      <c r="L109" s="31" t="str">
        <f aca="false">IF(OR($A109="",N(H109)=0),"",J109/H109)</f>
        <v/>
      </c>
      <c r="M109" s="24" t="str">
        <f aca="false">IF($A109="","",IF(N(H109)=0,"No target",IF(J109&gt;H109,"Over-staffed",IF(J109=H109,"Fully staffed",IF(J109=0,"Unstaffed","Short")))))</f>
        <v/>
      </c>
      <c r="N109" s="24" t="str">
        <f aca="true">IF(OR($A109="",C109=""),"",IF(C109&lt;TODAY(),"Past",IF(C109-TODAY()&lt;=Setup!$H$3,"Upcoming","Later")))</f>
        <v/>
      </c>
      <c r="O109" s="32" t="str">
        <f aca="false">IF($A109="","",IF(C109="",100000,C109)+ROW()/100000)</f>
        <v/>
      </c>
    </row>
    <row r="110" customFormat="false" ht="15" hidden="false" customHeight="false" outlineLevel="0" collapsed="false">
      <c r="C110" s="33"/>
      <c r="D110" s="34"/>
      <c r="E110" s="34"/>
      <c r="I110" s="25" t="str">
        <f aca="false">IF(OR(D110="",E110=""),"",ROUND(MOD(E110-D110,1)*24,2))</f>
        <v/>
      </c>
      <c r="J110" s="30" t="str">
        <f aca="false">IF($A110="","",COUNTIFS(Deployments!$A$2:$A$1001,$A110,Deployments!$D$2:$D$1001,"&lt;&gt;Withdrawn"))</f>
        <v/>
      </c>
      <c r="K110" s="30" t="str">
        <f aca="false">IF($A110="","",MAX(0,N(H110)-J110))</f>
        <v/>
      </c>
      <c r="L110" s="31" t="str">
        <f aca="false">IF(OR($A110="",N(H110)=0),"",J110/H110)</f>
        <v/>
      </c>
      <c r="M110" s="24" t="str">
        <f aca="false">IF($A110="","",IF(N(H110)=0,"No target",IF(J110&gt;H110,"Over-staffed",IF(J110=H110,"Fully staffed",IF(J110=0,"Unstaffed","Short")))))</f>
        <v/>
      </c>
      <c r="N110" s="24" t="str">
        <f aca="true">IF(OR($A110="",C110=""),"",IF(C110&lt;TODAY(),"Past",IF(C110-TODAY()&lt;=Setup!$H$3,"Upcoming","Later")))</f>
        <v/>
      </c>
      <c r="O110" s="32" t="str">
        <f aca="false">IF($A110="","",IF(C110="",100000,C110)+ROW()/100000)</f>
        <v/>
      </c>
    </row>
    <row r="111" customFormat="false" ht="15" hidden="false" customHeight="false" outlineLevel="0" collapsed="false">
      <c r="C111" s="33"/>
      <c r="D111" s="34"/>
      <c r="E111" s="34"/>
      <c r="I111" s="25" t="str">
        <f aca="false">IF(OR(D111="",E111=""),"",ROUND(MOD(E111-D111,1)*24,2))</f>
        <v/>
      </c>
      <c r="J111" s="30" t="str">
        <f aca="false">IF($A111="","",COUNTIFS(Deployments!$A$2:$A$1001,$A111,Deployments!$D$2:$D$1001,"&lt;&gt;Withdrawn"))</f>
        <v/>
      </c>
      <c r="K111" s="30" t="str">
        <f aca="false">IF($A111="","",MAX(0,N(H111)-J111))</f>
        <v/>
      </c>
      <c r="L111" s="31" t="str">
        <f aca="false">IF(OR($A111="",N(H111)=0),"",J111/H111)</f>
        <v/>
      </c>
      <c r="M111" s="24" t="str">
        <f aca="false">IF($A111="","",IF(N(H111)=0,"No target",IF(J111&gt;H111,"Over-staffed",IF(J111=H111,"Fully staffed",IF(J111=0,"Unstaffed","Short")))))</f>
        <v/>
      </c>
      <c r="N111" s="24" t="str">
        <f aca="true">IF(OR($A111="",C111=""),"",IF(C111&lt;TODAY(),"Past",IF(C111-TODAY()&lt;=Setup!$H$3,"Upcoming","Later")))</f>
        <v/>
      </c>
      <c r="O111" s="32" t="str">
        <f aca="false">IF($A111="","",IF(C111="",100000,C111)+ROW()/100000)</f>
        <v/>
      </c>
    </row>
    <row r="112" customFormat="false" ht="15" hidden="false" customHeight="false" outlineLevel="0" collapsed="false">
      <c r="C112" s="33"/>
      <c r="D112" s="34"/>
      <c r="E112" s="34"/>
      <c r="I112" s="25" t="str">
        <f aca="false">IF(OR(D112="",E112=""),"",ROUND(MOD(E112-D112,1)*24,2))</f>
        <v/>
      </c>
      <c r="J112" s="30" t="str">
        <f aca="false">IF($A112="","",COUNTIFS(Deployments!$A$2:$A$1001,$A112,Deployments!$D$2:$D$1001,"&lt;&gt;Withdrawn"))</f>
        <v/>
      </c>
      <c r="K112" s="30" t="str">
        <f aca="false">IF($A112="","",MAX(0,N(H112)-J112))</f>
        <v/>
      </c>
      <c r="L112" s="31" t="str">
        <f aca="false">IF(OR($A112="",N(H112)=0),"",J112/H112)</f>
        <v/>
      </c>
      <c r="M112" s="24" t="str">
        <f aca="false">IF($A112="","",IF(N(H112)=0,"No target",IF(J112&gt;H112,"Over-staffed",IF(J112=H112,"Fully staffed",IF(J112=0,"Unstaffed","Short")))))</f>
        <v/>
      </c>
      <c r="N112" s="24" t="str">
        <f aca="true">IF(OR($A112="",C112=""),"",IF(C112&lt;TODAY(),"Past",IF(C112-TODAY()&lt;=Setup!$H$3,"Upcoming","Later")))</f>
        <v/>
      </c>
      <c r="O112" s="32" t="str">
        <f aca="false">IF($A112="","",IF(C112="",100000,C112)+ROW()/100000)</f>
        <v/>
      </c>
    </row>
    <row r="113" customFormat="false" ht="15" hidden="false" customHeight="false" outlineLevel="0" collapsed="false">
      <c r="C113" s="33"/>
      <c r="D113" s="34"/>
      <c r="E113" s="34"/>
      <c r="I113" s="25" t="str">
        <f aca="false">IF(OR(D113="",E113=""),"",ROUND(MOD(E113-D113,1)*24,2))</f>
        <v/>
      </c>
      <c r="J113" s="30" t="str">
        <f aca="false">IF($A113="","",COUNTIFS(Deployments!$A$2:$A$1001,$A113,Deployments!$D$2:$D$1001,"&lt;&gt;Withdrawn"))</f>
        <v/>
      </c>
      <c r="K113" s="30" t="str">
        <f aca="false">IF($A113="","",MAX(0,N(H113)-J113))</f>
        <v/>
      </c>
      <c r="L113" s="31" t="str">
        <f aca="false">IF(OR($A113="",N(H113)=0),"",J113/H113)</f>
        <v/>
      </c>
      <c r="M113" s="24" t="str">
        <f aca="false">IF($A113="","",IF(N(H113)=0,"No target",IF(J113&gt;H113,"Over-staffed",IF(J113=H113,"Fully staffed",IF(J113=0,"Unstaffed","Short")))))</f>
        <v/>
      </c>
      <c r="N113" s="24" t="str">
        <f aca="true">IF(OR($A113="",C113=""),"",IF(C113&lt;TODAY(),"Past",IF(C113-TODAY()&lt;=Setup!$H$3,"Upcoming","Later")))</f>
        <v/>
      </c>
      <c r="O113" s="32" t="str">
        <f aca="false">IF($A113="","",IF(C113="",100000,C113)+ROW()/100000)</f>
        <v/>
      </c>
    </row>
    <row r="114" customFormat="false" ht="15" hidden="false" customHeight="false" outlineLevel="0" collapsed="false">
      <c r="C114" s="33"/>
      <c r="D114" s="34"/>
      <c r="E114" s="34"/>
      <c r="I114" s="25" t="str">
        <f aca="false">IF(OR(D114="",E114=""),"",ROUND(MOD(E114-D114,1)*24,2))</f>
        <v/>
      </c>
      <c r="J114" s="30" t="str">
        <f aca="false">IF($A114="","",COUNTIFS(Deployments!$A$2:$A$1001,$A114,Deployments!$D$2:$D$1001,"&lt;&gt;Withdrawn"))</f>
        <v/>
      </c>
      <c r="K114" s="30" t="str">
        <f aca="false">IF($A114="","",MAX(0,N(H114)-J114))</f>
        <v/>
      </c>
      <c r="L114" s="31" t="str">
        <f aca="false">IF(OR($A114="",N(H114)=0),"",J114/H114)</f>
        <v/>
      </c>
      <c r="M114" s="24" t="str">
        <f aca="false">IF($A114="","",IF(N(H114)=0,"No target",IF(J114&gt;H114,"Over-staffed",IF(J114=H114,"Fully staffed",IF(J114=0,"Unstaffed","Short")))))</f>
        <v/>
      </c>
      <c r="N114" s="24" t="str">
        <f aca="true">IF(OR($A114="",C114=""),"",IF(C114&lt;TODAY(),"Past",IF(C114-TODAY()&lt;=Setup!$H$3,"Upcoming","Later")))</f>
        <v/>
      </c>
      <c r="O114" s="32" t="str">
        <f aca="false">IF($A114="","",IF(C114="",100000,C114)+ROW()/100000)</f>
        <v/>
      </c>
    </row>
    <row r="115" customFormat="false" ht="15" hidden="false" customHeight="false" outlineLevel="0" collapsed="false">
      <c r="C115" s="33"/>
      <c r="D115" s="34"/>
      <c r="E115" s="34"/>
      <c r="I115" s="25" t="str">
        <f aca="false">IF(OR(D115="",E115=""),"",ROUND(MOD(E115-D115,1)*24,2))</f>
        <v/>
      </c>
      <c r="J115" s="30" t="str">
        <f aca="false">IF($A115="","",COUNTIFS(Deployments!$A$2:$A$1001,$A115,Deployments!$D$2:$D$1001,"&lt;&gt;Withdrawn"))</f>
        <v/>
      </c>
      <c r="K115" s="30" t="str">
        <f aca="false">IF($A115="","",MAX(0,N(H115)-J115))</f>
        <v/>
      </c>
      <c r="L115" s="31" t="str">
        <f aca="false">IF(OR($A115="",N(H115)=0),"",J115/H115)</f>
        <v/>
      </c>
      <c r="M115" s="24" t="str">
        <f aca="false">IF($A115="","",IF(N(H115)=0,"No target",IF(J115&gt;H115,"Over-staffed",IF(J115=H115,"Fully staffed",IF(J115=0,"Unstaffed","Short")))))</f>
        <v/>
      </c>
      <c r="N115" s="24" t="str">
        <f aca="true">IF(OR($A115="",C115=""),"",IF(C115&lt;TODAY(),"Past",IF(C115-TODAY()&lt;=Setup!$H$3,"Upcoming","Later")))</f>
        <v/>
      </c>
      <c r="O115" s="32" t="str">
        <f aca="false">IF($A115="","",IF(C115="",100000,C115)+ROW()/100000)</f>
        <v/>
      </c>
    </row>
    <row r="116" customFormat="false" ht="15" hidden="false" customHeight="false" outlineLevel="0" collapsed="false">
      <c r="C116" s="33"/>
      <c r="D116" s="34"/>
      <c r="E116" s="34"/>
      <c r="I116" s="25" t="str">
        <f aca="false">IF(OR(D116="",E116=""),"",ROUND(MOD(E116-D116,1)*24,2))</f>
        <v/>
      </c>
      <c r="J116" s="30" t="str">
        <f aca="false">IF($A116="","",COUNTIFS(Deployments!$A$2:$A$1001,$A116,Deployments!$D$2:$D$1001,"&lt;&gt;Withdrawn"))</f>
        <v/>
      </c>
      <c r="K116" s="30" t="str">
        <f aca="false">IF($A116="","",MAX(0,N(H116)-J116))</f>
        <v/>
      </c>
      <c r="L116" s="31" t="str">
        <f aca="false">IF(OR($A116="",N(H116)=0),"",J116/H116)</f>
        <v/>
      </c>
      <c r="M116" s="24" t="str">
        <f aca="false">IF($A116="","",IF(N(H116)=0,"No target",IF(J116&gt;H116,"Over-staffed",IF(J116=H116,"Fully staffed",IF(J116=0,"Unstaffed","Short")))))</f>
        <v/>
      </c>
      <c r="N116" s="24" t="str">
        <f aca="true">IF(OR($A116="",C116=""),"",IF(C116&lt;TODAY(),"Past",IF(C116-TODAY()&lt;=Setup!$H$3,"Upcoming","Later")))</f>
        <v/>
      </c>
      <c r="O116" s="32" t="str">
        <f aca="false">IF($A116="","",IF(C116="",100000,C116)+ROW()/100000)</f>
        <v/>
      </c>
    </row>
    <row r="117" customFormat="false" ht="15" hidden="false" customHeight="false" outlineLevel="0" collapsed="false">
      <c r="C117" s="33"/>
      <c r="D117" s="34"/>
      <c r="E117" s="34"/>
      <c r="I117" s="25" t="str">
        <f aca="false">IF(OR(D117="",E117=""),"",ROUND(MOD(E117-D117,1)*24,2))</f>
        <v/>
      </c>
      <c r="J117" s="30" t="str">
        <f aca="false">IF($A117="","",COUNTIFS(Deployments!$A$2:$A$1001,$A117,Deployments!$D$2:$D$1001,"&lt;&gt;Withdrawn"))</f>
        <v/>
      </c>
      <c r="K117" s="30" t="str">
        <f aca="false">IF($A117="","",MAX(0,N(H117)-J117))</f>
        <v/>
      </c>
      <c r="L117" s="31" t="str">
        <f aca="false">IF(OR($A117="",N(H117)=0),"",J117/H117)</f>
        <v/>
      </c>
      <c r="M117" s="24" t="str">
        <f aca="false">IF($A117="","",IF(N(H117)=0,"No target",IF(J117&gt;H117,"Over-staffed",IF(J117=H117,"Fully staffed",IF(J117=0,"Unstaffed","Short")))))</f>
        <v/>
      </c>
      <c r="N117" s="24" t="str">
        <f aca="true">IF(OR($A117="",C117=""),"",IF(C117&lt;TODAY(),"Past",IF(C117-TODAY()&lt;=Setup!$H$3,"Upcoming","Later")))</f>
        <v/>
      </c>
      <c r="O117" s="32" t="str">
        <f aca="false">IF($A117="","",IF(C117="",100000,C117)+ROW()/100000)</f>
        <v/>
      </c>
    </row>
    <row r="118" customFormat="false" ht="15" hidden="false" customHeight="false" outlineLevel="0" collapsed="false">
      <c r="C118" s="33"/>
      <c r="D118" s="34"/>
      <c r="E118" s="34"/>
      <c r="I118" s="25" t="str">
        <f aca="false">IF(OR(D118="",E118=""),"",ROUND(MOD(E118-D118,1)*24,2))</f>
        <v/>
      </c>
      <c r="J118" s="30" t="str">
        <f aca="false">IF($A118="","",COUNTIFS(Deployments!$A$2:$A$1001,$A118,Deployments!$D$2:$D$1001,"&lt;&gt;Withdrawn"))</f>
        <v/>
      </c>
      <c r="K118" s="30" t="str">
        <f aca="false">IF($A118="","",MAX(0,N(H118)-J118))</f>
        <v/>
      </c>
      <c r="L118" s="31" t="str">
        <f aca="false">IF(OR($A118="",N(H118)=0),"",J118/H118)</f>
        <v/>
      </c>
      <c r="M118" s="24" t="str">
        <f aca="false">IF($A118="","",IF(N(H118)=0,"No target",IF(J118&gt;H118,"Over-staffed",IF(J118=H118,"Fully staffed",IF(J118=0,"Unstaffed","Short")))))</f>
        <v/>
      </c>
      <c r="N118" s="24" t="str">
        <f aca="true">IF(OR($A118="",C118=""),"",IF(C118&lt;TODAY(),"Past",IF(C118-TODAY()&lt;=Setup!$H$3,"Upcoming","Later")))</f>
        <v/>
      </c>
      <c r="O118" s="32" t="str">
        <f aca="false">IF($A118="","",IF(C118="",100000,C118)+ROW()/100000)</f>
        <v/>
      </c>
    </row>
    <row r="119" customFormat="false" ht="15" hidden="false" customHeight="false" outlineLevel="0" collapsed="false">
      <c r="C119" s="33"/>
      <c r="D119" s="34"/>
      <c r="E119" s="34"/>
      <c r="I119" s="25" t="str">
        <f aca="false">IF(OR(D119="",E119=""),"",ROUND(MOD(E119-D119,1)*24,2))</f>
        <v/>
      </c>
      <c r="J119" s="30" t="str">
        <f aca="false">IF($A119="","",COUNTIFS(Deployments!$A$2:$A$1001,$A119,Deployments!$D$2:$D$1001,"&lt;&gt;Withdrawn"))</f>
        <v/>
      </c>
      <c r="K119" s="30" t="str">
        <f aca="false">IF($A119="","",MAX(0,N(H119)-J119))</f>
        <v/>
      </c>
      <c r="L119" s="31" t="str">
        <f aca="false">IF(OR($A119="",N(H119)=0),"",J119/H119)</f>
        <v/>
      </c>
      <c r="M119" s="24" t="str">
        <f aca="false">IF($A119="","",IF(N(H119)=0,"No target",IF(J119&gt;H119,"Over-staffed",IF(J119=H119,"Fully staffed",IF(J119=0,"Unstaffed","Short")))))</f>
        <v/>
      </c>
      <c r="N119" s="24" t="str">
        <f aca="true">IF(OR($A119="",C119=""),"",IF(C119&lt;TODAY(),"Past",IF(C119-TODAY()&lt;=Setup!$H$3,"Upcoming","Later")))</f>
        <v/>
      </c>
      <c r="O119" s="32" t="str">
        <f aca="false">IF($A119="","",IF(C119="",100000,C119)+ROW()/100000)</f>
        <v/>
      </c>
    </row>
    <row r="120" customFormat="false" ht="15" hidden="false" customHeight="false" outlineLevel="0" collapsed="false">
      <c r="C120" s="33"/>
      <c r="D120" s="34"/>
      <c r="E120" s="34"/>
      <c r="I120" s="25" t="str">
        <f aca="false">IF(OR(D120="",E120=""),"",ROUND(MOD(E120-D120,1)*24,2))</f>
        <v/>
      </c>
      <c r="J120" s="30" t="str">
        <f aca="false">IF($A120="","",COUNTIFS(Deployments!$A$2:$A$1001,$A120,Deployments!$D$2:$D$1001,"&lt;&gt;Withdrawn"))</f>
        <v/>
      </c>
      <c r="K120" s="30" t="str">
        <f aca="false">IF($A120="","",MAX(0,N(H120)-J120))</f>
        <v/>
      </c>
      <c r="L120" s="31" t="str">
        <f aca="false">IF(OR($A120="",N(H120)=0),"",J120/H120)</f>
        <v/>
      </c>
      <c r="M120" s="24" t="str">
        <f aca="false">IF($A120="","",IF(N(H120)=0,"No target",IF(J120&gt;H120,"Over-staffed",IF(J120=H120,"Fully staffed",IF(J120=0,"Unstaffed","Short")))))</f>
        <v/>
      </c>
      <c r="N120" s="24" t="str">
        <f aca="true">IF(OR($A120="",C120=""),"",IF(C120&lt;TODAY(),"Past",IF(C120-TODAY()&lt;=Setup!$H$3,"Upcoming","Later")))</f>
        <v/>
      </c>
      <c r="O120" s="32" t="str">
        <f aca="false">IF($A120="","",IF(C120="",100000,C120)+ROW()/100000)</f>
        <v/>
      </c>
    </row>
    <row r="121" customFormat="false" ht="15" hidden="false" customHeight="false" outlineLevel="0" collapsed="false">
      <c r="C121" s="33"/>
      <c r="D121" s="34"/>
      <c r="E121" s="34"/>
      <c r="I121" s="25" t="str">
        <f aca="false">IF(OR(D121="",E121=""),"",ROUND(MOD(E121-D121,1)*24,2))</f>
        <v/>
      </c>
      <c r="J121" s="30" t="str">
        <f aca="false">IF($A121="","",COUNTIFS(Deployments!$A$2:$A$1001,$A121,Deployments!$D$2:$D$1001,"&lt;&gt;Withdrawn"))</f>
        <v/>
      </c>
      <c r="K121" s="30" t="str">
        <f aca="false">IF($A121="","",MAX(0,N(H121)-J121))</f>
        <v/>
      </c>
      <c r="L121" s="31" t="str">
        <f aca="false">IF(OR($A121="",N(H121)=0),"",J121/H121)</f>
        <v/>
      </c>
      <c r="M121" s="24" t="str">
        <f aca="false">IF($A121="","",IF(N(H121)=0,"No target",IF(J121&gt;H121,"Over-staffed",IF(J121=H121,"Fully staffed",IF(J121=0,"Unstaffed","Short")))))</f>
        <v/>
      </c>
      <c r="N121" s="24" t="str">
        <f aca="true">IF(OR($A121="",C121=""),"",IF(C121&lt;TODAY(),"Past",IF(C121-TODAY()&lt;=Setup!$H$3,"Upcoming","Later")))</f>
        <v/>
      </c>
      <c r="O121" s="32" t="str">
        <f aca="false">IF($A121="","",IF(C121="",100000,C121)+ROW()/100000)</f>
        <v/>
      </c>
    </row>
    <row r="122" customFormat="false" ht="15" hidden="false" customHeight="false" outlineLevel="0" collapsed="false">
      <c r="C122" s="33"/>
      <c r="D122" s="34"/>
      <c r="E122" s="34"/>
      <c r="I122" s="25" t="str">
        <f aca="false">IF(OR(D122="",E122=""),"",ROUND(MOD(E122-D122,1)*24,2))</f>
        <v/>
      </c>
      <c r="J122" s="30" t="str">
        <f aca="false">IF($A122="","",COUNTIFS(Deployments!$A$2:$A$1001,$A122,Deployments!$D$2:$D$1001,"&lt;&gt;Withdrawn"))</f>
        <v/>
      </c>
      <c r="K122" s="30" t="str">
        <f aca="false">IF($A122="","",MAX(0,N(H122)-J122))</f>
        <v/>
      </c>
      <c r="L122" s="31" t="str">
        <f aca="false">IF(OR($A122="",N(H122)=0),"",J122/H122)</f>
        <v/>
      </c>
      <c r="M122" s="24" t="str">
        <f aca="false">IF($A122="","",IF(N(H122)=0,"No target",IF(J122&gt;H122,"Over-staffed",IF(J122=H122,"Fully staffed",IF(J122=0,"Unstaffed","Short")))))</f>
        <v/>
      </c>
      <c r="N122" s="24" t="str">
        <f aca="true">IF(OR($A122="",C122=""),"",IF(C122&lt;TODAY(),"Past",IF(C122-TODAY()&lt;=Setup!$H$3,"Upcoming","Later")))</f>
        <v/>
      </c>
      <c r="O122" s="32" t="str">
        <f aca="false">IF($A122="","",IF(C122="",100000,C122)+ROW()/100000)</f>
        <v/>
      </c>
    </row>
    <row r="123" customFormat="false" ht="15" hidden="false" customHeight="false" outlineLevel="0" collapsed="false">
      <c r="C123" s="33"/>
      <c r="D123" s="34"/>
      <c r="E123" s="34"/>
      <c r="I123" s="25" t="str">
        <f aca="false">IF(OR(D123="",E123=""),"",ROUND(MOD(E123-D123,1)*24,2))</f>
        <v/>
      </c>
      <c r="J123" s="30" t="str">
        <f aca="false">IF($A123="","",COUNTIFS(Deployments!$A$2:$A$1001,$A123,Deployments!$D$2:$D$1001,"&lt;&gt;Withdrawn"))</f>
        <v/>
      </c>
      <c r="K123" s="30" t="str">
        <f aca="false">IF($A123="","",MAX(0,N(H123)-J123))</f>
        <v/>
      </c>
      <c r="L123" s="31" t="str">
        <f aca="false">IF(OR($A123="",N(H123)=0),"",J123/H123)</f>
        <v/>
      </c>
      <c r="M123" s="24" t="str">
        <f aca="false">IF($A123="","",IF(N(H123)=0,"No target",IF(J123&gt;H123,"Over-staffed",IF(J123=H123,"Fully staffed",IF(J123=0,"Unstaffed","Short")))))</f>
        <v/>
      </c>
      <c r="N123" s="24" t="str">
        <f aca="true">IF(OR($A123="",C123=""),"",IF(C123&lt;TODAY(),"Past",IF(C123-TODAY()&lt;=Setup!$H$3,"Upcoming","Later")))</f>
        <v/>
      </c>
      <c r="O123" s="32" t="str">
        <f aca="false">IF($A123="","",IF(C123="",100000,C123)+ROW()/100000)</f>
        <v/>
      </c>
    </row>
    <row r="124" customFormat="false" ht="15" hidden="false" customHeight="false" outlineLevel="0" collapsed="false">
      <c r="C124" s="33"/>
      <c r="D124" s="34"/>
      <c r="E124" s="34"/>
      <c r="I124" s="25" t="str">
        <f aca="false">IF(OR(D124="",E124=""),"",ROUND(MOD(E124-D124,1)*24,2))</f>
        <v/>
      </c>
      <c r="J124" s="30" t="str">
        <f aca="false">IF($A124="","",COUNTIFS(Deployments!$A$2:$A$1001,$A124,Deployments!$D$2:$D$1001,"&lt;&gt;Withdrawn"))</f>
        <v/>
      </c>
      <c r="K124" s="30" t="str">
        <f aca="false">IF($A124="","",MAX(0,N(H124)-J124))</f>
        <v/>
      </c>
      <c r="L124" s="31" t="str">
        <f aca="false">IF(OR($A124="",N(H124)=0),"",J124/H124)</f>
        <v/>
      </c>
      <c r="M124" s="24" t="str">
        <f aca="false">IF($A124="","",IF(N(H124)=0,"No target",IF(J124&gt;H124,"Over-staffed",IF(J124=H124,"Fully staffed",IF(J124=0,"Unstaffed","Short")))))</f>
        <v/>
      </c>
      <c r="N124" s="24" t="str">
        <f aca="true">IF(OR($A124="",C124=""),"",IF(C124&lt;TODAY(),"Past",IF(C124-TODAY()&lt;=Setup!$H$3,"Upcoming","Later")))</f>
        <v/>
      </c>
      <c r="O124" s="32" t="str">
        <f aca="false">IF($A124="","",IF(C124="",100000,C124)+ROW()/100000)</f>
        <v/>
      </c>
    </row>
    <row r="125" customFormat="false" ht="15" hidden="false" customHeight="false" outlineLevel="0" collapsed="false">
      <c r="C125" s="33"/>
      <c r="D125" s="34"/>
      <c r="E125" s="34"/>
      <c r="I125" s="25" t="str">
        <f aca="false">IF(OR(D125="",E125=""),"",ROUND(MOD(E125-D125,1)*24,2))</f>
        <v/>
      </c>
      <c r="J125" s="30" t="str">
        <f aca="false">IF($A125="","",COUNTIFS(Deployments!$A$2:$A$1001,$A125,Deployments!$D$2:$D$1001,"&lt;&gt;Withdrawn"))</f>
        <v/>
      </c>
      <c r="K125" s="30" t="str">
        <f aca="false">IF($A125="","",MAX(0,N(H125)-J125))</f>
        <v/>
      </c>
      <c r="L125" s="31" t="str">
        <f aca="false">IF(OR($A125="",N(H125)=0),"",J125/H125)</f>
        <v/>
      </c>
      <c r="M125" s="24" t="str">
        <f aca="false">IF($A125="","",IF(N(H125)=0,"No target",IF(J125&gt;H125,"Over-staffed",IF(J125=H125,"Fully staffed",IF(J125=0,"Unstaffed","Short")))))</f>
        <v/>
      </c>
      <c r="N125" s="24" t="str">
        <f aca="true">IF(OR($A125="",C125=""),"",IF(C125&lt;TODAY(),"Past",IF(C125-TODAY()&lt;=Setup!$H$3,"Upcoming","Later")))</f>
        <v/>
      </c>
      <c r="O125" s="32" t="str">
        <f aca="false">IF($A125="","",IF(C125="",100000,C125)+ROW()/100000)</f>
        <v/>
      </c>
    </row>
    <row r="126" customFormat="false" ht="15" hidden="false" customHeight="false" outlineLevel="0" collapsed="false">
      <c r="C126" s="33"/>
      <c r="D126" s="34"/>
      <c r="E126" s="34"/>
      <c r="I126" s="25" t="str">
        <f aca="false">IF(OR(D126="",E126=""),"",ROUND(MOD(E126-D126,1)*24,2))</f>
        <v/>
      </c>
      <c r="J126" s="30" t="str">
        <f aca="false">IF($A126="","",COUNTIFS(Deployments!$A$2:$A$1001,$A126,Deployments!$D$2:$D$1001,"&lt;&gt;Withdrawn"))</f>
        <v/>
      </c>
      <c r="K126" s="30" t="str">
        <f aca="false">IF($A126="","",MAX(0,N(H126)-J126))</f>
        <v/>
      </c>
      <c r="L126" s="31" t="str">
        <f aca="false">IF(OR($A126="",N(H126)=0),"",J126/H126)</f>
        <v/>
      </c>
      <c r="M126" s="24" t="str">
        <f aca="false">IF($A126="","",IF(N(H126)=0,"No target",IF(J126&gt;H126,"Over-staffed",IF(J126=H126,"Fully staffed",IF(J126=0,"Unstaffed","Short")))))</f>
        <v/>
      </c>
      <c r="N126" s="24" t="str">
        <f aca="true">IF(OR($A126="",C126=""),"",IF(C126&lt;TODAY(),"Past",IF(C126-TODAY()&lt;=Setup!$H$3,"Upcoming","Later")))</f>
        <v/>
      </c>
      <c r="O126" s="32" t="str">
        <f aca="false">IF($A126="","",IF(C126="",100000,C126)+ROW()/100000)</f>
        <v/>
      </c>
    </row>
    <row r="127" customFormat="false" ht="15" hidden="false" customHeight="false" outlineLevel="0" collapsed="false">
      <c r="C127" s="33"/>
      <c r="D127" s="34"/>
      <c r="E127" s="34"/>
      <c r="I127" s="25" t="str">
        <f aca="false">IF(OR(D127="",E127=""),"",ROUND(MOD(E127-D127,1)*24,2))</f>
        <v/>
      </c>
      <c r="J127" s="30" t="str">
        <f aca="false">IF($A127="","",COUNTIFS(Deployments!$A$2:$A$1001,$A127,Deployments!$D$2:$D$1001,"&lt;&gt;Withdrawn"))</f>
        <v/>
      </c>
      <c r="K127" s="30" t="str">
        <f aca="false">IF($A127="","",MAX(0,N(H127)-J127))</f>
        <v/>
      </c>
      <c r="L127" s="31" t="str">
        <f aca="false">IF(OR($A127="",N(H127)=0),"",J127/H127)</f>
        <v/>
      </c>
      <c r="M127" s="24" t="str">
        <f aca="false">IF($A127="","",IF(N(H127)=0,"No target",IF(J127&gt;H127,"Over-staffed",IF(J127=H127,"Fully staffed",IF(J127=0,"Unstaffed","Short")))))</f>
        <v/>
      </c>
      <c r="N127" s="24" t="str">
        <f aca="true">IF(OR($A127="",C127=""),"",IF(C127&lt;TODAY(),"Past",IF(C127-TODAY()&lt;=Setup!$H$3,"Upcoming","Later")))</f>
        <v/>
      </c>
      <c r="O127" s="32" t="str">
        <f aca="false">IF($A127="","",IF(C127="",100000,C127)+ROW()/100000)</f>
        <v/>
      </c>
    </row>
    <row r="128" customFormat="false" ht="15" hidden="false" customHeight="false" outlineLevel="0" collapsed="false">
      <c r="C128" s="33"/>
      <c r="D128" s="34"/>
      <c r="E128" s="34"/>
      <c r="I128" s="25" t="str">
        <f aca="false">IF(OR(D128="",E128=""),"",ROUND(MOD(E128-D128,1)*24,2))</f>
        <v/>
      </c>
      <c r="J128" s="30" t="str">
        <f aca="false">IF($A128="","",COUNTIFS(Deployments!$A$2:$A$1001,$A128,Deployments!$D$2:$D$1001,"&lt;&gt;Withdrawn"))</f>
        <v/>
      </c>
      <c r="K128" s="30" t="str">
        <f aca="false">IF($A128="","",MAX(0,N(H128)-J128))</f>
        <v/>
      </c>
      <c r="L128" s="31" t="str">
        <f aca="false">IF(OR($A128="",N(H128)=0),"",J128/H128)</f>
        <v/>
      </c>
      <c r="M128" s="24" t="str">
        <f aca="false">IF($A128="","",IF(N(H128)=0,"No target",IF(J128&gt;H128,"Over-staffed",IF(J128=H128,"Fully staffed",IF(J128=0,"Unstaffed","Short")))))</f>
        <v/>
      </c>
      <c r="N128" s="24" t="str">
        <f aca="true">IF(OR($A128="",C128=""),"",IF(C128&lt;TODAY(),"Past",IF(C128-TODAY()&lt;=Setup!$H$3,"Upcoming","Later")))</f>
        <v/>
      </c>
      <c r="O128" s="32" t="str">
        <f aca="false">IF($A128="","",IF(C128="",100000,C128)+ROW()/100000)</f>
        <v/>
      </c>
    </row>
    <row r="129" customFormat="false" ht="15" hidden="false" customHeight="false" outlineLevel="0" collapsed="false">
      <c r="C129" s="33"/>
      <c r="D129" s="34"/>
      <c r="E129" s="34"/>
      <c r="I129" s="25" t="str">
        <f aca="false">IF(OR(D129="",E129=""),"",ROUND(MOD(E129-D129,1)*24,2))</f>
        <v/>
      </c>
      <c r="J129" s="30" t="str">
        <f aca="false">IF($A129="","",COUNTIFS(Deployments!$A$2:$A$1001,$A129,Deployments!$D$2:$D$1001,"&lt;&gt;Withdrawn"))</f>
        <v/>
      </c>
      <c r="K129" s="30" t="str">
        <f aca="false">IF($A129="","",MAX(0,N(H129)-J129))</f>
        <v/>
      </c>
      <c r="L129" s="31" t="str">
        <f aca="false">IF(OR($A129="",N(H129)=0),"",J129/H129)</f>
        <v/>
      </c>
      <c r="M129" s="24" t="str">
        <f aca="false">IF($A129="","",IF(N(H129)=0,"No target",IF(J129&gt;H129,"Over-staffed",IF(J129=H129,"Fully staffed",IF(J129=0,"Unstaffed","Short")))))</f>
        <v/>
      </c>
      <c r="N129" s="24" t="str">
        <f aca="true">IF(OR($A129="",C129=""),"",IF(C129&lt;TODAY(),"Past",IF(C129-TODAY()&lt;=Setup!$H$3,"Upcoming","Later")))</f>
        <v/>
      </c>
      <c r="O129" s="32" t="str">
        <f aca="false">IF($A129="","",IF(C129="",100000,C129)+ROW()/100000)</f>
        <v/>
      </c>
    </row>
    <row r="130" customFormat="false" ht="15" hidden="false" customHeight="false" outlineLevel="0" collapsed="false">
      <c r="C130" s="33"/>
      <c r="D130" s="34"/>
      <c r="E130" s="34"/>
      <c r="I130" s="25" t="str">
        <f aca="false">IF(OR(D130="",E130=""),"",ROUND(MOD(E130-D130,1)*24,2))</f>
        <v/>
      </c>
      <c r="J130" s="30" t="str">
        <f aca="false">IF($A130="","",COUNTIFS(Deployments!$A$2:$A$1001,$A130,Deployments!$D$2:$D$1001,"&lt;&gt;Withdrawn"))</f>
        <v/>
      </c>
      <c r="K130" s="30" t="str">
        <f aca="false">IF($A130="","",MAX(0,N(H130)-J130))</f>
        <v/>
      </c>
      <c r="L130" s="31" t="str">
        <f aca="false">IF(OR($A130="",N(H130)=0),"",J130/H130)</f>
        <v/>
      </c>
      <c r="M130" s="24" t="str">
        <f aca="false">IF($A130="","",IF(N(H130)=0,"No target",IF(J130&gt;H130,"Over-staffed",IF(J130=H130,"Fully staffed",IF(J130=0,"Unstaffed","Short")))))</f>
        <v/>
      </c>
      <c r="N130" s="24" t="str">
        <f aca="true">IF(OR($A130="",C130=""),"",IF(C130&lt;TODAY(),"Past",IF(C130-TODAY()&lt;=Setup!$H$3,"Upcoming","Later")))</f>
        <v/>
      </c>
      <c r="O130" s="32" t="str">
        <f aca="false">IF($A130="","",IF(C130="",100000,C130)+ROW()/100000)</f>
        <v/>
      </c>
    </row>
    <row r="131" customFormat="false" ht="15" hidden="false" customHeight="false" outlineLevel="0" collapsed="false">
      <c r="C131" s="33"/>
      <c r="D131" s="34"/>
      <c r="E131" s="34"/>
      <c r="I131" s="25" t="str">
        <f aca="false">IF(OR(D131="",E131=""),"",ROUND(MOD(E131-D131,1)*24,2))</f>
        <v/>
      </c>
      <c r="J131" s="30" t="str">
        <f aca="false">IF($A131="","",COUNTIFS(Deployments!$A$2:$A$1001,$A131,Deployments!$D$2:$D$1001,"&lt;&gt;Withdrawn"))</f>
        <v/>
      </c>
      <c r="K131" s="30" t="str">
        <f aca="false">IF($A131="","",MAX(0,N(H131)-J131))</f>
        <v/>
      </c>
      <c r="L131" s="31" t="str">
        <f aca="false">IF(OR($A131="",N(H131)=0),"",J131/H131)</f>
        <v/>
      </c>
      <c r="M131" s="24" t="str">
        <f aca="false">IF($A131="","",IF(N(H131)=0,"No target",IF(J131&gt;H131,"Over-staffed",IF(J131=H131,"Fully staffed",IF(J131=0,"Unstaffed","Short")))))</f>
        <v/>
      </c>
      <c r="N131" s="24" t="str">
        <f aca="true">IF(OR($A131="",C131=""),"",IF(C131&lt;TODAY(),"Past",IF(C131-TODAY()&lt;=Setup!$H$3,"Upcoming","Later")))</f>
        <v/>
      </c>
      <c r="O131" s="32" t="str">
        <f aca="false">IF($A131="","",IF(C131="",100000,C131)+ROW()/100000)</f>
        <v/>
      </c>
    </row>
    <row r="132" customFormat="false" ht="15" hidden="false" customHeight="false" outlineLevel="0" collapsed="false">
      <c r="C132" s="33"/>
      <c r="D132" s="34"/>
      <c r="E132" s="34"/>
      <c r="I132" s="25" t="str">
        <f aca="false">IF(OR(D132="",E132=""),"",ROUND(MOD(E132-D132,1)*24,2))</f>
        <v/>
      </c>
      <c r="J132" s="30" t="str">
        <f aca="false">IF($A132="","",COUNTIFS(Deployments!$A$2:$A$1001,$A132,Deployments!$D$2:$D$1001,"&lt;&gt;Withdrawn"))</f>
        <v/>
      </c>
      <c r="K132" s="30" t="str">
        <f aca="false">IF($A132="","",MAX(0,N(H132)-J132))</f>
        <v/>
      </c>
      <c r="L132" s="31" t="str">
        <f aca="false">IF(OR($A132="",N(H132)=0),"",J132/H132)</f>
        <v/>
      </c>
      <c r="M132" s="24" t="str">
        <f aca="false">IF($A132="","",IF(N(H132)=0,"No target",IF(J132&gt;H132,"Over-staffed",IF(J132=H132,"Fully staffed",IF(J132=0,"Unstaffed","Short")))))</f>
        <v/>
      </c>
      <c r="N132" s="24" t="str">
        <f aca="true">IF(OR($A132="",C132=""),"",IF(C132&lt;TODAY(),"Past",IF(C132-TODAY()&lt;=Setup!$H$3,"Upcoming","Later")))</f>
        <v/>
      </c>
      <c r="O132" s="32" t="str">
        <f aca="false">IF($A132="","",IF(C132="",100000,C132)+ROW()/100000)</f>
        <v/>
      </c>
    </row>
    <row r="133" customFormat="false" ht="15" hidden="false" customHeight="false" outlineLevel="0" collapsed="false">
      <c r="C133" s="33"/>
      <c r="D133" s="34"/>
      <c r="E133" s="34"/>
      <c r="I133" s="25" t="str">
        <f aca="false">IF(OR(D133="",E133=""),"",ROUND(MOD(E133-D133,1)*24,2))</f>
        <v/>
      </c>
      <c r="J133" s="30" t="str">
        <f aca="false">IF($A133="","",COUNTIFS(Deployments!$A$2:$A$1001,$A133,Deployments!$D$2:$D$1001,"&lt;&gt;Withdrawn"))</f>
        <v/>
      </c>
      <c r="K133" s="30" t="str">
        <f aca="false">IF($A133="","",MAX(0,N(H133)-J133))</f>
        <v/>
      </c>
      <c r="L133" s="31" t="str">
        <f aca="false">IF(OR($A133="",N(H133)=0),"",J133/H133)</f>
        <v/>
      </c>
      <c r="M133" s="24" t="str">
        <f aca="false">IF($A133="","",IF(N(H133)=0,"No target",IF(J133&gt;H133,"Over-staffed",IF(J133=H133,"Fully staffed",IF(J133=0,"Unstaffed","Short")))))</f>
        <v/>
      </c>
      <c r="N133" s="24" t="str">
        <f aca="true">IF(OR($A133="",C133=""),"",IF(C133&lt;TODAY(),"Past",IF(C133-TODAY()&lt;=Setup!$H$3,"Upcoming","Later")))</f>
        <v/>
      </c>
      <c r="O133" s="32" t="str">
        <f aca="false">IF($A133="","",IF(C133="",100000,C133)+ROW()/100000)</f>
        <v/>
      </c>
    </row>
    <row r="134" customFormat="false" ht="15" hidden="false" customHeight="false" outlineLevel="0" collapsed="false">
      <c r="C134" s="33"/>
      <c r="D134" s="34"/>
      <c r="E134" s="34"/>
      <c r="I134" s="25" t="str">
        <f aca="false">IF(OR(D134="",E134=""),"",ROUND(MOD(E134-D134,1)*24,2))</f>
        <v/>
      </c>
      <c r="J134" s="30" t="str">
        <f aca="false">IF($A134="","",COUNTIFS(Deployments!$A$2:$A$1001,$A134,Deployments!$D$2:$D$1001,"&lt;&gt;Withdrawn"))</f>
        <v/>
      </c>
      <c r="K134" s="30" t="str">
        <f aca="false">IF($A134="","",MAX(0,N(H134)-J134))</f>
        <v/>
      </c>
      <c r="L134" s="31" t="str">
        <f aca="false">IF(OR($A134="",N(H134)=0),"",J134/H134)</f>
        <v/>
      </c>
      <c r="M134" s="24" t="str">
        <f aca="false">IF($A134="","",IF(N(H134)=0,"No target",IF(J134&gt;H134,"Over-staffed",IF(J134=H134,"Fully staffed",IF(J134=0,"Unstaffed","Short")))))</f>
        <v/>
      </c>
      <c r="N134" s="24" t="str">
        <f aca="true">IF(OR($A134="",C134=""),"",IF(C134&lt;TODAY(),"Past",IF(C134-TODAY()&lt;=Setup!$H$3,"Upcoming","Later")))</f>
        <v/>
      </c>
      <c r="O134" s="32" t="str">
        <f aca="false">IF($A134="","",IF(C134="",100000,C134)+ROW()/100000)</f>
        <v/>
      </c>
    </row>
    <row r="135" customFormat="false" ht="15" hidden="false" customHeight="false" outlineLevel="0" collapsed="false">
      <c r="C135" s="33"/>
      <c r="D135" s="34"/>
      <c r="E135" s="34"/>
      <c r="I135" s="25" t="str">
        <f aca="false">IF(OR(D135="",E135=""),"",ROUND(MOD(E135-D135,1)*24,2))</f>
        <v/>
      </c>
      <c r="J135" s="30" t="str">
        <f aca="false">IF($A135="","",COUNTIFS(Deployments!$A$2:$A$1001,$A135,Deployments!$D$2:$D$1001,"&lt;&gt;Withdrawn"))</f>
        <v/>
      </c>
      <c r="K135" s="30" t="str">
        <f aca="false">IF($A135="","",MAX(0,N(H135)-J135))</f>
        <v/>
      </c>
      <c r="L135" s="31" t="str">
        <f aca="false">IF(OR($A135="",N(H135)=0),"",J135/H135)</f>
        <v/>
      </c>
      <c r="M135" s="24" t="str">
        <f aca="false">IF($A135="","",IF(N(H135)=0,"No target",IF(J135&gt;H135,"Over-staffed",IF(J135=H135,"Fully staffed",IF(J135=0,"Unstaffed","Short")))))</f>
        <v/>
      </c>
      <c r="N135" s="24" t="str">
        <f aca="true">IF(OR($A135="",C135=""),"",IF(C135&lt;TODAY(),"Past",IF(C135-TODAY()&lt;=Setup!$H$3,"Upcoming","Later")))</f>
        <v/>
      </c>
      <c r="O135" s="32" t="str">
        <f aca="false">IF($A135="","",IF(C135="",100000,C135)+ROW()/100000)</f>
        <v/>
      </c>
    </row>
    <row r="136" customFormat="false" ht="15" hidden="false" customHeight="false" outlineLevel="0" collapsed="false">
      <c r="C136" s="33"/>
      <c r="D136" s="34"/>
      <c r="E136" s="34"/>
      <c r="I136" s="25" t="str">
        <f aca="false">IF(OR(D136="",E136=""),"",ROUND(MOD(E136-D136,1)*24,2))</f>
        <v/>
      </c>
      <c r="J136" s="30" t="str">
        <f aca="false">IF($A136="","",COUNTIFS(Deployments!$A$2:$A$1001,$A136,Deployments!$D$2:$D$1001,"&lt;&gt;Withdrawn"))</f>
        <v/>
      </c>
      <c r="K136" s="30" t="str">
        <f aca="false">IF($A136="","",MAX(0,N(H136)-J136))</f>
        <v/>
      </c>
      <c r="L136" s="31" t="str">
        <f aca="false">IF(OR($A136="",N(H136)=0),"",J136/H136)</f>
        <v/>
      </c>
      <c r="M136" s="24" t="str">
        <f aca="false">IF($A136="","",IF(N(H136)=0,"No target",IF(J136&gt;H136,"Over-staffed",IF(J136=H136,"Fully staffed",IF(J136=0,"Unstaffed","Short")))))</f>
        <v/>
      </c>
      <c r="N136" s="24" t="str">
        <f aca="true">IF(OR($A136="",C136=""),"",IF(C136&lt;TODAY(),"Past",IF(C136-TODAY()&lt;=Setup!$H$3,"Upcoming","Later")))</f>
        <v/>
      </c>
      <c r="O136" s="32" t="str">
        <f aca="false">IF($A136="","",IF(C136="",100000,C136)+ROW()/100000)</f>
        <v/>
      </c>
    </row>
    <row r="137" customFormat="false" ht="15" hidden="false" customHeight="false" outlineLevel="0" collapsed="false">
      <c r="C137" s="33"/>
      <c r="D137" s="34"/>
      <c r="E137" s="34"/>
      <c r="I137" s="25" t="str">
        <f aca="false">IF(OR(D137="",E137=""),"",ROUND(MOD(E137-D137,1)*24,2))</f>
        <v/>
      </c>
      <c r="J137" s="30" t="str">
        <f aca="false">IF($A137="","",COUNTIFS(Deployments!$A$2:$A$1001,$A137,Deployments!$D$2:$D$1001,"&lt;&gt;Withdrawn"))</f>
        <v/>
      </c>
      <c r="K137" s="30" t="str">
        <f aca="false">IF($A137="","",MAX(0,N(H137)-J137))</f>
        <v/>
      </c>
      <c r="L137" s="31" t="str">
        <f aca="false">IF(OR($A137="",N(H137)=0),"",J137/H137)</f>
        <v/>
      </c>
      <c r="M137" s="24" t="str">
        <f aca="false">IF($A137="","",IF(N(H137)=0,"No target",IF(J137&gt;H137,"Over-staffed",IF(J137=H137,"Fully staffed",IF(J137=0,"Unstaffed","Short")))))</f>
        <v/>
      </c>
      <c r="N137" s="24" t="str">
        <f aca="true">IF(OR($A137="",C137=""),"",IF(C137&lt;TODAY(),"Past",IF(C137-TODAY()&lt;=Setup!$H$3,"Upcoming","Later")))</f>
        <v/>
      </c>
      <c r="O137" s="32" t="str">
        <f aca="false">IF($A137="","",IF(C137="",100000,C137)+ROW()/100000)</f>
        <v/>
      </c>
    </row>
    <row r="138" customFormat="false" ht="15" hidden="false" customHeight="false" outlineLevel="0" collapsed="false">
      <c r="C138" s="33"/>
      <c r="D138" s="34"/>
      <c r="E138" s="34"/>
      <c r="I138" s="25" t="str">
        <f aca="false">IF(OR(D138="",E138=""),"",ROUND(MOD(E138-D138,1)*24,2))</f>
        <v/>
      </c>
      <c r="J138" s="30" t="str">
        <f aca="false">IF($A138="","",COUNTIFS(Deployments!$A$2:$A$1001,$A138,Deployments!$D$2:$D$1001,"&lt;&gt;Withdrawn"))</f>
        <v/>
      </c>
      <c r="K138" s="30" t="str">
        <f aca="false">IF($A138="","",MAX(0,N(H138)-J138))</f>
        <v/>
      </c>
      <c r="L138" s="31" t="str">
        <f aca="false">IF(OR($A138="",N(H138)=0),"",J138/H138)</f>
        <v/>
      </c>
      <c r="M138" s="24" t="str">
        <f aca="false">IF($A138="","",IF(N(H138)=0,"No target",IF(J138&gt;H138,"Over-staffed",IF(J138=H138,"Fully staffed",IF(J138=0,"Unstaffed","Short")))))</f>
        <v/>
      </c>
      <c r="N138" s="24" t="str">
        <f aca="true">IF(OR($A138="",C138=""),"",IF(C138&lt;TODAY(),"Past",IF(C138-TODAY()&lt;=Setup!$H$3,"Upcoming","Later")))</f>
        <v/>
      </c>
      <c r="O138" s="32" t="str">
        <f aca="false">IF($A138="","",IF(C138="",100000,C138)+ROW()/100000)</f>
        <v/>
      </c>
    </row>
    <row r="139" customFormat="false" ht="15" hidden="false" customHeight="false" outlineLevel="0" collapsed="false">
      <c r="C139" s="33"/>
      <c r="D139" s="34"/>
      <c r="E139" s="34"/>
      <c r="I139" s="25" t="str">
        <f aca="false">IF(OR(D139="",E139=""),"",ROUND(MOD(E139-D139,1)*24,2))</f>
        <v/>
      </c>
      <c r="J139" s="30" t="str">
        <f aca="false">IF($A139="","",COUNTIFS(Deployments!$A$2:$A$1001,$A139,Deployments!$D$2:$D$1001,"&lt;&gt;Withdrawn"))</f>
        <v/>
      </c>
      <c r="K139" s="30" t="str">
        <f aca="false">IF($A139="","",MAX(0,N(H139)-J139))</f>
        <v/>
      </c>
      <c r="L139" s="31" t="str">
        <f aca="false">IF(OR($A139="",N(H139)=0),"",J139/H139)</f>
        <v/>
      </c>
      <c r="M139" s="24" t="str">
        <f aca="false">IF($A139="","",IF(N(H139)=0,"No target",IF(J139&gt;H139,"Over-staffed",IF(J139=H139,"Fully staffed",IF(J139=0,"Unstaffed","Short")))))</f>
        <v/>
      </c>
      <c r="N139" s="24" t="str">
        <f aca="true">IF(OR($A139="",C139=""),"",IF(C139&lt;TODAY(),"Past",IF(C139-TODAY()&lt;=Setup!$H$3,"Upcoming","Later")))</f>
        <v/>
      </c>
      <c r="O139" s="32" t="str">
        <f aca="false">IF($A139="","",IF(C139="",100000,C139)+ROW()/100000)</f>
        <v/>
      </c>
    </row>
    <row r="140" customFormat="false" ht="15" hidden="false" customHeight="false" outlineLevel="0" collapsed="false">
      <c r="C140" s="33"/>
      <c r="D140" s="34"/>
      <c r="E140" s="34"/>
      <c r="I140" s="25" t="str">
        <f aca="false">IF(OR(D140="",E140=""),"",ROUND(MOD(E140-D140,1)*24,2))</f>
        <v/>
      </c>
      <c r="J140" s="30" t="str">
        <f aca="false">IF($A140="","",COUNTIFS(Deployments!$A$2:$A$1001,$A140,Deployments!$D$2:$D$1001,"&lt;&gt;Withdrawn"))</f>
        <v/>
      </c>
      <c r="K140" s="30" t="str">
        <f aca="false">IF($A140="","",MAX(0,N(H140)-J140))</f>
        <v/>
      </c>
      <c r="L140" s="31" t="str">
        <f aca="false">IF(OR($A140="",N(H140)=0),"",J140/H140)</f>
        <v/>
      </c>
      <c r="M140" s="24" t="str">
        <f aca="false">IF($A140="","",IF(N(H140)=0,"No target",IF(J140&gt;H140,"Over-staffed",IF(J140=H140,"Fully staffed",IF(J140=0,"Unstaffed","Short")))))</f>
        <v/>
      </c>
      <c r="N140" s="24" t="str">
        <f aca="true">IF(OR($A140="",C140=""),"",IF(C140&lt;TODAY(),"Past",IF(C140-TODAY()&lt;=Setup!$H$3,"Upcoming","Later")))</f>
        <v/>
      </c>
      <c r="O140" s="32" t="str">
        <f aca="false">IF($A140="","",IF(C140="",100000,C140)+ROW()/100000)</f>
        <v/>
      </c>
    </row>
    <row r="141" customFormat="false" ht="15" hidden="false" customHeight="false" outlineLevel="0" collapsed="false">
      <c r="C141" s="33"/>
      <c r="D141" s="34"/>
      <c r="E141" s="34"/>
      <c r="I141" s="25" t="str">
        <f aca="false">IF(OR(D141="",E141=""),"",ROUND(MOD(E141-D141,1)*24,2))</f>
        <v/>
      </c>
      <c r="J141" s="30" t="str">
        <f aca="false">IF($A141="","",COUNTIFS(Deployments!$A$2:$A$1001,$A141,Deployments!$D$2:$D$1001,"&lt;&gt;Withdrawn"))</f>
        <v/>
      </c>
      <c r="K141" s="30" t="str">
        <f aca="false">IF($A141="","",MAX(0,N(H141)-J141))</f>
        <v/>
      </c>
      <c r="L141" s="31" t="str">
        <f aca="false">IF(OR($A141="",N(H141)=0),"",J141/H141)</f>
        <v/>
      </c>
      <c r="M141" s="24" t="str">
        <f aca="false">IF($A141="","",IF(N(H141)=0,"No target",IF(J141&gt;H141,"Over-staffed",IF(J141=H141,"Fully staffed",IF(J141=0,"Unstaffed","Short")))))</f>
        <v/>
      </c>
      <c r="N141" s="24" t="str">
        <f aca="true">IF(OR($A141="",C141=""),"",IF(C141&lt;TODAY(),"Past",IF(C141-TODAY()&lt;=Setup!$H$3,"Upcoming","Later")))</f>
        <v/>
      </c>
      <c r="O141" s="32" t="str">
        <f aca="false">IF($A141="","",IF(C141="",100000,C141)+ROW()/100000)</f>
        <v/>
      </c>
    </row>
    <row r="142" customFormat="false" ht="15" hidden="false" customHeight="false" outlineLevel="0" collapsed="false">
      <c r="C142" s="33"/>
      <c r="D142" s="34"/>
      <c r="E142" s="34"/>
      <c r="I142" s="25" t="str">
        <f aca="false">IF(OR(D142="",E142=""),"",ROUND(MOD(E142-D142,1)*24,2))</f>
        <v/>
      </c>
      <c r="J142" s="30" t="str">
        <f aca="false">IF($A142="","",COUNTIFS(Deployments!$A$2:$A$1001,$A142,Deployments!$D$2:$D$1001,"&lt;&gt;Withdrawn"))</f>
        <v/>
      </c>
      <c r="K142" s="30" t="str">
        <f aca="false">IF($A142="","",MAX(0,N(H142)-J142))</f>
        <v/>
      </c>
      <c r="L142" s="31" t="str">
        <f aca="false">IF(OR($A142="",N(H142)=0),"",J142/H142)</f>
        <v/>
      </c>
      <c r="M142" s="24" t="str">
        <f aca="false">IF($A142="","",IF(N(H142)=0,"No target",IF(J142&gt;H142,"Over-staffed",IF(J142=H142,"Fully staffed",IF(J142=0,"Unstaffed","Short")))))</f>
        <v/>
      </c>
      <c r="N142" s="24" t="str">
        <f aca="true">IF(OR($A142="",C142=""),"",IF(C142&lt;TODAY(),"Past",IF(C142-TODAY()&lt;=Setup!$H$3,"Upcoming","Later")))</f>
        <v/>
      </c>
      <c r="O142" s="32" t="str">
        <f aca="false">IF($A142="","",IF(C142="",100000,C142)+ROW()/100000)</f>
        <v/>
      </c>
    </row>
    <row r="143" customFormat="false" ht="15" hidden="false" customHeight="false" outlineLevel="0" collapsed="false">
      <c r="C143" s="33"/>
      <c r="D143" s="34"/>
      <c r="E143" s="34"/>
      <c r="I143" s="25" t="str">
        <f aca="false">IF(OR(D143="",E143=""),"",ROUND(MOD(E143-D143,1)*24,2))</f>
        <v/>
      </c>
      <c r="J143" s="30" t="str">
        <f aca="false">IF($A143="","",COUNTIFS(Deployments!$A$2:$A$1001,$A143,Deployments!$D$2:$D$1001,"&lt;&gt;Withdrawn"))</f>
        <v/>
      </c>
      <c r="K143" s="30" t="str">
        <f aca="false">IF($A143="","",MAX(0,N(H143)-J143))</f>
        <v/>
      </c>
      <c r="L143" s="31" t="str">
        <f aca="false">IF(OR($A143="",N(H143)=0),"",J143/H143)</f>
        <v/>
      </c>
      <c r="M143" s="24" t="str">
        <f aca="false">IF($A143="","",IF(N(H143)=0,"No target",IF(J143&gt;H143,"Over-staffed",IF(J143=H143,"Fully staffed",IF(J143=0,"Unstaffed","Short")))))</f>
        <v/>
      </c>
      <c r="N143" s="24" t="str">
        <f aca="true">IF(OR($A143="",C143=""),"",IF(C143&lt;TODAY(),"Past",IF(C143-TODAY()&lt;=Setup!$H$3,"Upcoming","Later")))</f>
        <v/>
      </c>
      <c r="O143" s="32" t="str">
        <f aca="false">IF($A143="","",IF(C143="",100000,C143)+ROW()/100000)</f>
        <v/>
      </c>
    </row>
    <row r="144" customFormat="false" ht="15" hidden="false" customHeight="false" outlineLevel="0" collapsed="false">
      <c r="C144" s="33"/>
      <c r="D144" s="34"/>
      <c r="E144" s="34"/>
      <c r="I144" s="25" t="str">
        <f aca="false">IF(OR(D144="",E144=""),"",ROUND(MOD(E144-D144,1)*24,2))</f>
        <v/>
      </c>
      <c r="J144" s="30" t="str">
        <f aca="false">IF($A144="","",COUNTIFS(Deployments!$A$2:$A$1001,$A144,Deployments!$D$2:$D$1001,"&lt;&gt;Withdrawn"))</f>
        <v/>
      </c>
      <c r="K144" s="30" t="str">
        <f aca="false">IF($A144="","",MAX(0,N(H144)-J144))</f>
        <v/>
      </c>
      <c r="L144" s="31" t="str">
        <f aca="false">IF(OR($A144="",N(H144)=0),"",J144/H144)</f>
        <v/>
      </c>
      <c r="M144" s="24" t="str">
        <f aca="false">IF($A144="","",IF(N(H144)=0,"No target",IF(J144&gt;H144,"Over-staffed",IF(J144=H144,"Fully staffed",IF(J144=0,"Unstaffed","Short")))))</f>
        <v/>
      </c>
      <c r="N144" s="24" t="str">
        <f aca="true">IF(OR($A144="",C144=""),"",IF(C144&lt;TODAY(),"Past",IF(C144-TODAY()&lt;=Setup!$H$3,"Upcoming","Later")))</f>
        <v/>
      </c>
      <c r="O144" s="32" t="str">
        <f aca="false">IF($A144="","",IF(C144="",100000,C144)+ROW()/100000)</f>
        <v/>
      </c>
    </row>
    <row r="145" customFormat="false" ht="15" hidden="false" customHeight="false" outlineLevel="0" collapsed="false">
      <c r="C145" s="33"/>
      <c r="D145" s="34"/>
      <c r="E145" s="34"/>
      <c r="I145" s="25" t="str">
        <f aca="false">IF(OR(D145="",E145=""),"",ROUND(MOD(E145-D145,1)*24,2))</f>
        <v/>
      </c>
      <c r="J145" s="30" t="str">
        <f aca="false">IF($A145="","",COUNTIFS(Deployments!$A$2:$A$1001,$A145,Deployments!$D$2:$D$1001,"&lt;&gt;Withdrawn"))</f>
        <v/>
      </c>
      <c r="K145" s="30" t="str">
        <f aca="false">IF($A145="","",MAX(0,N(H145)-J145))</f>
        <v/>
      </c>
      <c r="L145" s="31" t="str">
        <f aca="false">IF(OR($A145="",N(H145)=0),"",J145/H145)</f>
        <v/>
      </c>
      <c r="M145" s="24" t="str">
        <f aca="false">IF($A145="","",IF(N(H145)=0,"No target",IF(J145&gt;H145,"Over-staffed",IF(J145=H145,"Fully staffed",IF(J145=0,"Unstaffed","Short")))))</f>
        <v/>
      </c>
      <c r="N145" s="24" t="str">
        <f aca="true">IF(OR($A145="",C145=""),"",IF(C145&lt;TODAY(),"Past",IF(C145-TODAY()&lt;=Setup!$H$3,"Upcoming","Later")))</f>
        <v/>
      </c>
      <c r="O145" s="32" t="str">
        <f aca="false">IF($A145="","",IF(C145="",100000,C145)+ROW()/100000)</f>
        <v/>
      </c>
    </row>
    <row r="146" customFormat="false" ht="15" hidden="false" customHeight="false" outlineLevel="0" collapsed="false">
      <c r="C146" s="33"/>
      <c r="D146" s="34"/>
      <c r="E146" s="34"/>
      <c r="I146" s="25" t="str">
        <f aca="false">IF(OR(D146="",E146=""),"",ROUND(MOD(E146-D146,1)*24,2))</f>
        <v/>
      </c>
      <c r="J146" s="30" t="str">
        <f aca="false">IF($A146="","",COUNTIFS(Deployments!$A$2:$A$1001,$A146,Deployments!$D$2:$D$1001,"&lt;&gt;Withdrawn"))</f>
        <v/>
      </c>
      <c r="K146" s="30" t="str">
        <f aca="false">IF($A146="","",MAX(0,N(H146)-J146))</f>
        <v/>
      </c>
      <c r="L146" s="31" t="str">
        <f aca="false">IF(OR($A146="",N(H146)=0),"",J146/H146)</f>
        <v/>
      </c>
      <c r="M146" s="24" t="str">
        <f aca="false">IF($A146="","",IF(N(H146)=0,"No target",IF(J146&gt;H146,"Over-staffed",IF(J146=H146,"Fully staffed",IF(J146=0,"Unstaffed","Short")))))</f>
        <v/>
      </c>
      <c r="N146" s="24" t="str">
        <f aca="true">IF(OR($A146="",C146=""),"",IF(C146&lt;TODAY(),"Past",IF(C146-TODAY()&lt;=Setup!$H$3,"Upcoming","Later")))</f>
        <v/>
      </c>
      <c r="O146" s="32" t="str">
        <f aca="false">IF($A146="","",IF(C146="",100000,C146)+ROW()/100000)</f>
        <v/>
      </c>
    </row>
    <row r="147" customFormat="false" ht="15" hidden="false" customHeight="false" outlineLevel="0" collapsed="false">
      <c r="C147" s="33"/>
      <c r="D147" s="34"/>
      <c r="E147" s="34"/>
      <c r="I147" s="25" t="str">
        <f aca="false">IF(OR(D147="",E147=""),"",ROUND(MOD(E147-D147,1)*24,2))</f>
        <v/>
      </c>
      <c r="J147" s="30" t="str">
        <f aca="false">IF($A147="","",COUNTIFS(Deployments!$A$2:$A$1001,$A147,Deployments!$D$2:$D$1001,"&lt;&gt;Withdrawn"))</f>
        <v/>
      </c>
      <c r="K147" s="30" t="str">
        <f aca="false">IF($A147="","",MAX(0,N(H147)-J147))</f>
        <v/>
      </c>
      <c r="L147" s="31" t="str">
        <f aca="false">IF(OR($A147="",N(H147)=0),"",J147/H147)</f>
        <v/>
      </c>
      <c r="M147" s="24" t="str">
        <f aca="false">IF($A147="","",IF(N(H147)=0,"No target",IF(J147&gt;H147,"Over-staffed",IF(J147=H147,"Fully staffed",IF(J147=0,"Unstaffed","Short")))))</f>
        <v/>
      </c>
      <c r="N147" s="24" t="str">
        <f aca="true">IF(OR($A147="",C147=""),"",IF(C147&lt;TODAY(),"Past",IF(C147-TODAY()&lt;=Setup!$H$3,"Upcoming","Later")))</f>
        <v/>
      </c>
      <c r="O147" s="32" t="str">
        <f aca="false">IF($A147="","",IF(C147="",100000,C147)+ROW()/100000)</f>
        <v/>
      </c>
    </row>
    <row r="148" customFormat="false" ht="15" hidden="false" customHeight="false" outlineLevel="0" collapsed="false">
      <c r="C148" s="33"/>
      <c r="D148" s="34"/>
      <c r="E148" s="34"/>
      <c r="I148" s="25" t="str">
        <f aca="false">IF(OR(D148="",E148=""),"",ROUND(MOD(E148-D148,1)*24,2))</f>
        <v/>
      </c>
      <c r="J148" s="30" t="str">
        <f aca="false">IF($A148="","",COUNTIFS(Deployments!$A$2:$A$1001,$A148,Deployments!$D$2:$D$1001,"&lt;&gt;Withdrawn"))</f>
        <v/>
      </c>
      <c r="K148" s="30" t="str">
        <f aca="false">IF($A148="","",MAX(0,N(H148)-J148))</f>
        <v/>
      </c>
      <c r="L148" s="31" t="str">
        <f aca="false">IF(OR($A148="",N(H148)=0),"",J148/H148)</f>
        <v/>
      </c>
      <c r="M148" s="24" t="str">
        <f aca="false">IF($A148="","",IF(N(H148)=0,"No target",IF(J148&gt;H148,"Over-staffed",IF(J148=H148,"Fully staffed",IF(J148=0,"Unstaffed","Short")))))</f>
        <v/>
      </c>
      <c r="N148" s="24" t="str">
        <f aca="true">IF(OR($A148="",C148=""),"",IF(C148&lt;TODAY(),"Past",IF(C148-TODAY()&lt;=Setup!$H$3,"Upcoming","Later")))</f>
        <v/>
      </c>
      <c r="O148" s="32" t="str">
        <f aca="false">IF($A148="","",IF(C148="",100000,C148)+ROW()/100000)</f>
        <v/>
      </c>
    </row>
    <row r="149" customFormat="false" ht="15" hidden="false" customHeight="false" outlineLevel="0" collapsed="false">
      <c r="C149" s="33"/>
      <c r="D149" s="34"/>
      <c r="E149" s="34"/>
      <c r="I149" s="25" t="str">
        <f aca="false">IF(OR(D149="",E149=""),"",ROUND(MOD(E149-D149,1)*24,2))</f>
        <v/>
      </c>
      <c r="J149" s="30" t="str">
        <f aca="false">IF($A149="","",COUNTIFS(Deployments!$A$2:$A$1001,$A149,Deployments!$D$2:$D$1001,"&lt;&gt;Withdrawn"))</f>
        <v/>
      </c>
      <c r="K149" s="30" t="str">
        <f aca="false">IF($A149="","",MAX(0,N(H149)-J149))</f>
        <v/>
      </c>
      <c r="L149" s="31" t="str">
        <f aca="false">IF(OR($A149="",N(H149)=0),"",J149/H149)</f>
        <v/>
      </c>
      <c r="M149" s="24" t="str">
        <f aca="false">IF($A149="","",IF(N(H149)=0,"No target",IF(J149&gt;H149,"Over-staffed",IF(J149=H149,"Fully staffed",IF(J149=0,"Unstaffed","Short")))))</f>
        <v/>
      </c>
      <c r="N149" s="24" t="str">
        <f aca="true">IF(OR($A149="",C149=""),"",IF(C149&lt;TODAY(),"Past",IF(C149-TODAY()&lt;=Setup!$H$3,"Upcoming","Later")))</f>
        <v/>
      </c>
      <c r="O149" s="32" t="str">
        <f aca="false">IF($A149="","",IF(C149="",100000,C149)+ROW()/100000)</f>
        <v/>
      </c>
    </row>
    <row r="150" customFormat="false" ht="15" hidden="false" customHeight="false" outlineLevel="0" collapsed="false">
      <c r="C150" s="33"/>
      <c r="D150" s="34"/>
      <c r="E150" s="34"/>
      <c r="I150" s="25" t="str">
        <f aca="false">IF(OR(D150="",E150=""),"",ROUND(MOD(E150-D150,1)*24,2))</f>
        <v/>
      </c>
      <c r="J150" s="30" t="str">
        <f aca="false">IF($A150="","",COUNTIFS(Deployments!$A$2:$A$1001,$A150,Deployments!$D$2:$D$1001,"&lt;&gt;Withdrawn"))</f>
        <v/>
      </c>
      <c r="K150" s="30" t="str">
        <f aca="false">IF($A150="","",MAX(0,N(H150)-J150))</f>
        <v/>
      </c>
      <c r="L150" s="31" t="str">
        <f aca="false">IF(OR($A150="",N(H150)=0),"",J150/H150)</f>
        <v/>
      </c>
      <c r="M150" s="24" t="str">
        <f aca="false">IF($A150="","",IF(N(H150)=0,"No target",IF(J150&gt;H150,"Over-staffed",IF(J150=H150,"Fully staffed",IF(J150=0,"Unstaffed","Short")))))</f>
        <v/>
      </c>
      <c r="N150" s="24" t="str">
        <f aca="true">IF(OR($A150="",C150=""),"",IF(C150&lt;TODAY(),"Past",IF(C150-TODAY()&lt;=Setup!$H$3,"Upcoming","Later")))</f>
        <v/>
      </c>
      <c r="O150" s="32" t="str">
        <f aca="false">IF($A150="","",IF(C150="",100000,C150)+ROW()/100000)</f>
        <v/>
      </c>
    </row>
    <row r="151" customFormat="false" ht="15" hidden="false" customHeight="false" outlineLevel="0" collapsed="false">
      <c r="C151" s="33"/>
      <c r="D151" s="34"/>
      <c r="E151" s="34"/>
      <c r="I151" s="25" t="str">
        <f aca="false">IF(OR(D151="",E151=""),"",ROUND(MOD(E151-D151,1)*24,2))</f>
        <v/>
      </c>
      <c r="J151" s="30" t="str">
        <f aca="false">IF($A151="","",COUNTIFS(Deployments!$A$2:$A$1001,$A151,Deployments!$D$2:$D$1001,"&lt;&gt;Withdrawn"))</f>
        <v/>
      </c>
      <c r="K151" s="30" t="str">
        <f aca="false">IF($A151="","",MAX(0,N(H151)-J151))</f>
        <v/>
      </c>
      <c r="L151" s="31" t="str">
        <f aca="false">IF(OR($A151="",N(H151)=0),"",J151/H151)</f>
        <v/>
      </c>
      <c r="M151" s="24" t="str">
        <f aca="false">IF($A151="","",IF(N(H151)=0,"No target",IF(J151&gt;H151,"Over-staffed",IF(J151=H151,"Fully staffed",IF(J151=0,"Unstaffed","Short")))))</f>
        <v/>
      </c>
      <c r="N151" s="24" t="str">
        <f aca="true">IF(OR($A151="",C151=""),"",IF(C151&lt;TODAY(),"Past",IF(C151-TODAY()&lt;=Setup!$H$3,"Upcoming","Later")))</f>
        <v/>
      </c>
      <c r="O151" s="32" t="str">
        <f aca="false">IF($A151="","",IF(C151="",100000,C151)+ROW()/100000)</f>
        <v/>
      </c>
    </row>
    <row r="152" customFormat="false" ht="15" hidden="false" customHeight="false" outlineLevel="0" collapsed="false">
      <c r="C152" s="33"/>
      <c r="D152" s="34"/>
      <c r="E152" s="34"/>
      <c r="I152" s="25" t="str">
        <f aca="false">IF(OR(D152="",E152=""),"",ROUND(MOD(E152-D152,1)*24,2))</f>
        <v/>
      </c>
      <c r="J152" s="30" t="str">
        <f aca="false">IF($A152="","",COUNTIFS(Deployments!$A$2:$A$1001,$A152,Deployments!$D$2:$D$1001,"&lt;&gt;Withdrawn"))</f>
        <v/>
      </c>
      <c r="K152" s="30" t="str">
        <f aca="false">IF($A152="","",MAX(0,N(H152)-J152))</f>
        <v/>
      </c>
      <c r="L152" s="31" t="str">
        <f aca="false">IF(OR($A152="",N(H152)=0),"",J152/H152)</f>
        <v/>
      </c>
      <c r="M152" s="24" t="str">
        <f aca="false">IF($A152="","",IF(N(H152)=0,"No target",IF(J152&gt;H152,"Over-staffed",IF(J152=H152,"Fully staffed",IF(J152=0,"Unstaffed","Short")))))</f>
        <v/>
      </c>
      <c r="N152" s="24" t="str">
        <f aca="true">IF(OR($A152="",C152=""),"",IF(C152&lt;TODAY(),"Past",IF(C152-TODAY()&lt;=Setup!$H$3,"Upcoming","Later")))</f>
        <v/>
      </c>
      <c r="O152" s="32" t="str">
        <f aca="false">IF($A152="","",IF(C152="",100000,C152)+ROW()/100000)</f>
        <v/>
      </c>
    </row>
    <row r="153" customFormat="false" ht="15" hidden="false" customHeight="false" outlineLevel="0" collapsed="false">
      <c r="C153" s="33"/>
      <c r="D153" s="34"/>
      <c r="E153" s="34"/>
      <c r="I153" s="25" t="str">
        <f aca="false">IF(OR(D153="",E153=""),"",ROUND(MOD(E153-D153,1)*24,2))</f>
        <v/>
      </c>
      <c r="J153" s="30" t="str">
        <f aca="false">IF($A153="","",COUNTIFS(Deployments!$A$2:$A$1001,$A153,Deployments!$D$2:$D$1001,"&lt;&gt;Withdrawn"))</f>
        <v/>
      </c>
      <c r="K153" s="30" t="str">
        <f aca="false">IF($A153="","",MAX(0,N(H153)-J153))</f>
        <v/>
      </c>
      <c r="L153" s="31" t="str">
        <f aca="false">IF(OR($A153="",N(H153)=0),"",J153/H153)</f>
        <v/>
      </c>
      <c r="M153" s="24" t="str">
        <f aca="false">IF($A153="","",IF(N(H153)=0,"No target",IF(J153&gt;H153,"Over-staffed",IF(J153=H153,"Fully staffed",IF(J153=0,"Unstaffed","Short")))))</f>
        <v/>
      </c>
      <c r="N153" s="24" t="str">
        <f aca="true">IF(OR($A153="",C153=""),"",IF(C153&lt;TODAY(),"Past",IF(C153-TODAY()&lt;=Setup!$H$3,"Upcoming","Later")))</f>
        <v/>
      </c>
      <c r="O153" s="32" t="str">
        <f aca="false">IF($A153="","",IF(C153="",100000,C153)+ROW()/100000)</f>
        <v/>
      </c>
    </row>
    <row r="154" customFormat="false" ht="15" hidden="false" customHeight="false" outlineLevel="0" collapsed="false">
      <c r="C154" s="33"/>
      <c r="D154" s="34"/>
      <c r="E154" s="34"/>
      <c r="I154" s="25" t="str">
        <f aca="false">IF(OR(D154="",E154=""),"",ROUND(MOD(E154-D154,1)*24,2))</f>
        <v/>
      </c>
      <c r="J154" s="30" t="str">
        <f aca="false">IF($A154="","",COUNTIFS(Deployments!$A$2:$A$1001,$A154,Deployments!$D$2:$D$1001,"&lt;&gt;Withdrawn"))</f>
        <v/>
      </c>
      <c r="K154" s="30" t="str">
        <f aca="false">IF($A154="","",MAX(0,N(H154)-J154))</f>
        <v/>
      </c>
      <c r="L154" s="31" t="str">
        <f aca="false">IF(OR($A154="",N(H154)=0),"",J154/H154)</f>
        <v/>
      </c>
      <c r="M154" s="24" t="str">
        <f aca="false">IF($A154="","",IF(N(H154)=0,"No target",IF(J154&gt;H154,"Over-staffed",IF(J154=H154,"Fully staffed",IF(J154=0,"Unstaffed","Short")))))</f>
        <v/>
      </c>
      <c r="N154" s="24" t="str">
        <f aca="true">IF(OR($A154="",C154=""),"",IF(C154&lt;TODAY(),"Past",IF(C154-TODAY()&lt;=Setup!$H$3,"Upcoming","Later")))</f>
        <v/>
      </c>
      <c r="O154" s="32" t="str">
        <f aca="false">IF($A154="","",IF(C154="",100000,C154)+ROW()/100000)</f>
        <v/>
      </c>
    </row>
    <row r="155" customFormat="false" ht="15" hidden="false" customHeight="false" outlineLevel="0" collapsed="false">
      <c r="C155" s="33"/>
      <c r="D155" s="34"/>
      <c r="E155" s="34"/>
      <c r="I155" s="25" t="str">
        <f aca="false">IF(OR(D155="",E155=""),"",ROUND(MOD(E155-D155,1)*24,2))</f>
        <v/>
      </c>
      <c r="J155" s="30" t="str">
        <f aca="false">IF($A155="","",COUNTIFS(Deployments!$A$2:$A$1001,$A155,Deployments!$D$2:$D$1001,"&lt;&gt;Withdrawn"))</f>
        <v/>
      </c>
      <c r="K155" s="30" t="str">
        <f aca="false">IF($A155="","",MAX(0,N(H155)-J155))</f>
        <v/>
      </c>
      <c r="L155" s="31" t="str">
        <f aca="false">IF(OR($A155="",N(H155)=0),"",J155/H155)</f>
        <v/>
      </c>
      <c r="M155" s="24" t="str">
        <f aca="false">IF($A155="","",IF(N(H155)=0,"No target",IF(J155&gt;H155,"Over-staffed",IF(J155=H155,"Fully staffed",IF(J155=0,"Unstaffed","Short")))))</f>
        <v/>
      </c>
      <c r="N155" s="24" t="str">
        <f aca="true">IF(OR($A155="",C155=""),"",IF(C155&lt;TODAY(),"Past",IF(C155-TODAY()&lt;=Setup!$H$3,"Upcoming","Later")))</f>
        <v/>
      </c>
      <c r="O155" s="32" t="str">
        <f aca="false">IF($A155="","",IF(C155="",100000,C155)+ROW()/100000)</f>
        <v/>
      </c>
    </row>
    <row r="156" customFormat="false" ht="15" hidden="false" customHeight="false" outlineLevel="0" collapsed="false">
      <c r="C156" s="33"/>
      <c r="D156" s="34"/>
      <c r="E156" s="34"/>
      <c r="I156" s="25" t="str">
        <f aca="false">IF(OR(D156="",E156=""),"",ROUND(MOD(E156-D156,1)*24,2))</f>
        <v/>
      </c>
      <c r="J156" s="30" t="str">
        <f aca="false">IF($A156="","",COUNTIFS(Deployments!$A$2:$A$1001,$A156,Deployments!$D$2:$D$1001,"&lt;&gt;Withdrawn"))</f>
        <v/>
      </c>
      <c r="K156" s="30" t="str">
        <f aca="false">IF($A156="","",MAX(0,N(H156)-J156))</f>
        <v/>
      </c>
      <c r="L156" s="31" t="str">
        <f aca="false">IF(OR($A156="",N(H156)=0),"",J156/H156)</f>
        <v/>
      </c>
      <c r="M156" s="24" t="str">
        <f aca="false">IF($A156="","",IF(N(H156)=0,"No target",IF(J156&gt;H156,"Over-staffed",IF(J156=H156,"Fully staffed",IF(J156=0,"Unstaffed","Short")))))</f>
        <v/>
      </c>
      <c r="N156" s="24" t="str">
        <f aca="true">IF(OR($A156="",C156=""),"",IF(C156&lt;TODAY(),"Past",IF(C156-TODAY()&lt;=Setup!$H$3,"Upcoming","Later")))</f>
        <v/>
      </c>
      <c r="O156" s="32" t="str">
        <f aca="false">IF($A156="","",IF(C156="",100000,C156)+ROW()/100000)</f>
        <v/>
      </c>
    </row>
    <row r="157" customFormat="false" ht="15" hidden="false" customHeight="false" outlineLevel="0" collapsed="false">
      <c r="C157" s="33"/>
      <c r="D157" s="34"/>
      <c r="E157" s="34"/>
      <c r="I157" s="25" t="str">
        <f aca="false">IF(OR(D157="",E157=""),"",ROUND(MOD(E157-D157,1)*24,2))</f>
        <v/>
      </c>
      <c r="J157" s="30" t="str">
        <f aca="false">IF($A157="","",COUNTIFS(Deployments!$A$2:$A$1001,$A157,Deployments!$D$2:$D$1001,"&lt;&gt;Withdrawn"))</f>
        <v/>
      </c>
      <c r="K157" s="30" t="str">
        <f aca="false">IF($A157="","",MAX(0,N(H157)-J157))</f>
        <v/>
      </c>
      <c r="L157" s="31" t="str">
        <f aca="false">IF(OR($A157="",N(H157)=0),"",J157/H157)</f>
        <v/>
      </c>
      <c r="M157" s="24" t="str">
        <f aca="false">IF($A157="","",IF(N(H157)=0,"No target",IF(J157&gt;H157,"Over-staffed",IF(J157=H157,"Fully staffed",IF(J157=0,"Unstaffed","Short")))))</f>
        <v/>
      </c>
      <c r="N157" s="24" t="str">
        <f aca="true">IF(OR($A157="",C157=""),"",IF(C157&lt;TODAY(),"Past",IF(C157-TODAY()&lt;=Setup!$H$3,"Upcoming","Later")))</f>
        <v/>
      </c>
      <c r="O157" s="32" t="str">
        <f aca="false">IF($A157="","",IF(C157="",100000,C157)+ROW()/100000)</f>
        <v/>
      </c>
    </row>
    <row r="158" customFormat="false" ht="15" hidden="false" customHeight="false" outlineLevel="0" collapsed="false">
      <c r="C158" s="33"/>
      <c r="D158" s="34"/>
      <c r="E158" s="34"/>
      <c r="I158" s="25" t="str">
        <f aca="false">IF(OR(D158="",E158=""),"",ROUND(MOD(E158-D158,1)*24,2))</f>
        <v/>
      </c>
      <c r="J158" s="30" t="str">
        <f aca="false">IF($A158="","",COUNTIFS(Deployments!$A$2:$A$1001,$A158,Deployments!$D$2:$D$1001,"&lt;&gt;Withdrawn"))</f>
        <v/>
      </c>
      <c r="K158" s="30" t="str">
        <f aca="false">IF($A158="","",MAX(0,N(H158)-J158))</f>
        <v/>
      </c>
      <c r="L158" s="31" t="str">
        <f aca="false">IF(OR($A158="",N(H158)=0),"",J158/H158)</f>
        <v/>
      </c>
      <c r="M158" s="24" t="str">
        <f aca="false">IF($A158="","",IF(N(H158)=0,"No target",IF(J158&gt;H158,"Over-staffed",IF(J158=H158,"Fully staffed",IF(J158=0,"Unstaffed","Short")))))</f>
        <v/>
      </c>
      <c r="N158" s="24" t="str">
        <f aca="true">IF(OR($A158="",C158=""),"",IF(C158&lt;TODAY(),"Past",IF(C158-TODAY()&lt;=Setup!$H$3,"Upcoming","Later")))</f>
        <v/>
      </c>
      <c r="O158" s="32" t="str">
        <f aca="false">IF($A158="","",IF(C158="",100000,C158)+ROW()/100000)</f>
        <v/>
      </c>
    </row>
    <row r="159" customFormat="false" ht="15" hidden="false" customHeight="false" outlineLevel="0" collapsed="false">
      <c r="C159" s="33"/>
      <c r="D159" s="34"/>
      <c r="E159" s="34"/>
      <c r="I159" s="25" t="str">
        <f aca="false">IF(OR(D159="",E159=""),"",ROUND(MOD(E159-D159,1)*24,2))</f>
        <v/>
      </c>
      <c r="J159" s="30" t="str">
        <f aca="false">IF($A159="","",COUNTIFS(Deployments!$A$2:$A$1001,$A159,Deployments!$D$2:$D$1001,"&lt;&gt;Withdrawn"))</f>
        <v/>
      </c>
      <c r="K159" s="30" t="str">
        <f aca="false">IF($A159="","",MAX(0,N(H159)-J159))</f>
        <v/>
      </c>
      <c r="L159" s="31" t="str">
        <f aca="false">IF(OR($A159="",N(H159)=0),"",J159/H159)</f>
        <v/>
      </c>
      <c r="M159" s="24" t="str">
        <f aca="false">IF($A159="","",IF(N(H159)=0,"No target",IF(J159&gt;H159,"Over-staffed",IF(J159=H159,"Fully staffed",IF(J159=0,"Unstaffed","Short")))))</f>
        <v/>
      </c>
      <c r="N159" s="24" t="str">
        <f aca="true">IF(OR($A159="",C159=""),"",IF(C159&lt;TODAY(),"Past",IF(C159-TODAY()&lt;=Setup!$H$3,"Upcoming","Later")))</f>
        <v/>
      </c>
      <c r="O159" s="32" t="str">
        <f aca="false">IF($A159="","",IF(C159="",100000,C159)+ROW()/100000)</f>
        <v/>
      </c>
    </row>
    <row r="160" customFormat="false" ht="15" hidden="false" customHeight="false" outlineLevel="0" collapsed="false">
      <c r="C160" s="33"/>
      <c r="D160" s="34"/>
      <c r="E160" s="34"/>
      <c r="I160" s="25" t="str">
        <f aca="false">IF(OR(D160="",E160=""),"",ROUND(MOD(E160-D160,1)*24,2))</f>
        <v/>
      </c>
      <c r="J160" s="30" t="str">
        <f aca="false">IF($A160="","",COUNTIFS(Deployments!$A$2:$A$1001,$A160,Deployments!$D$2:$D$1001,"&lt;&gt;Withdrawn"))</f>
        <v/>
      </c>
      <c r="K160" s="30" t="str">
        <f aca="false">IF($A160="","",MAX(0,N(H160)-J160))</f>
        <v/>
      </c>
      <c r="L160" s="31" t="str">
        <f aca="false">IF(OR($A160="",N(H160)=0),"",J160/H160)</f>
        <v/>
      </c>
      <c r="M160" s="24" t="str">
        <f aca="false">IF($A160="","",IF(N(H160)=0,"No target",IF(J160&gt;H160,"Over-staffed",IF(J160=H160,"Fully staffed",IF(J160=0,"Unstaffed","Short")))))</f>
        <v/>
      </c>
      <c r="N160" s="24" t="str">
        <f aca="true">IF(OR($A160="",C160=""),"",IF(C160&lt;TODAY(),"Past",IF(C160-TODAY()&lt;=Setup!$H$3,"Upcoming","Later")))</f>
        <v/>
      </c>
      <c r="O160" s="32" t="str">
        <f aca="false">IF($A160="","",IF(C160="",100000,C160)+ROW()/100000)</f>
        <v/>
      </c>
    </row>
    <row r="161" customFormat="false" ht="15" hidden="false" customHeight="false" outlineLevel="0" collapsed="false">
      <c r="C161" s="33"/>
      <c r="D161" s="34"/>
      <c r="E161" s="34"/>
      <c r="I161" s="25" t="str">
        <f aca="false">IF(OR(D161="",E161=""),"",ROUND(MOD(E161-D161,1)*24,2))</f>
        <v/>
      </c>
      <c r="J161" s="30" t="str">
        <f aca="false">IF($A161="","",COUNTIFS(Deployments!$A$2:$A$1001,$A161,Deployments!$D$2:$D$1001,"&lt;&gt;Withdrawn"))</f>
        <v/>
      </c>
      <c r="K161" s="30" t="str">
        <f aca="false">IF($A161="","",MAX(0,N(H161)-J161))</f>
        <v/>
      </c>
      <c r="L161" s="31" t="str">
        <f aca="false">IF(OR($A161="",N(H161)=0),"",J161/H161)</f>
        <v/>
      </c>
      <c r="M161" s="24" t="str">
        <f aca="false">IF($A161="","",IF(N(H161)=0,"No target",IF(J161&gt;H161,"Over-staffed",IF(J161=H161,"Fully staffed",IF(J161=0,"Unstaffed","Short")))))</f>
        <v/>
      </c>
      <c r="N161" s="24" t="str">
        <f aca="true">IF(OR($A161="",C161=""),"",IF(C161&lt;TODAY(),"Past",IF(C161-TODAY()&lt;=Setup!$H$3,"Upcoming","Later")))</f>
        <v/>
      </c>
      <c r="O161" s="32" t="str">
        <f aca="false">IF($A161="","",IF(C161="",100000,C161)+ROW()/100000)</f>
        <v/>
      </c>
    </row>
    <row r="162" customFormat="false" ht="15" hidden="false" customHeight="false" outlineLevel="0" collapsed="false">
      <c r="C162" s="33"/>
      <c r="D162" s="34"/>
      <c r="E162" s="34"/>
      <c r="I162" s="25" t="str">
        <f aca="false">IF(OR(D162="",E162=""),"",ROUND(MOD(E162-D162,1)*24,2))</f>
        <v/>
      </c>
      <c r="J162" s="30" t="str">
        <f aca="false">IF($A162="","",COUNTIFS(Deployments!$A$2:$A$1001,$A162,Deployments!$D$2:$D$1001,"&lt;&gt;Withdrawn"))</f>
        <v/>
      </c>
      <c r="K162" s="30" t="str">
        <f aca="false">IF($A162="","",MAX(0,N(H162)-J162))</f>
        <v/>
      </c>
      <c r="L162" s="31" t="str">
        <f aca="false">IF(OR($A162="",N(H162)=0),"",J162/H162)</f>
        <v/>
      </c>
      <c r="M162" s="24" t="str">
        <f aca="false">IF($A162="","",IF(N(H162)=0,"No target",IF(J162&gt;H162,"Over-staffed",IF(J162=H162,"Fully staffed",IF(J162=0,"Unstaffed","Short")))))</f>
        <v/>
      </c>
      <c r="N162" s="24" t="str">
        <f aca="true">IF(OR($A162="",C162=""),"",IF(C162&lt;TODAY(),"Past",IF(C162-TODAY()&lt;=Setup!$H$3,"Upcoming","Later")))</f>
        <v/>
      </c>
      <c r="O162" s="32" t="str">
        <f aca="false">IF($A162="","",IF(C162="",100000,C162)+ROW()/100000)</f>
        <v/>
      </c>
    </row>
    <row r="163" customFormat="false" ht="15" hidden="false" customHeight="false" outlineLevel="0" collapsed="false">
      <c r="C163" s="33"/>
      <c r="D163" s="34"/>
      <c r="E163" s="34"/>
      <c r="I163" s="25" t="str">
        <f aca="false">IF(OR(D163="",E163=""),"",ROUND(MOD(E163-D163,1)*24,2))</f>
        <v/>
      </c>
      <c r="J163" s="30" t="str">
        <f aca="false">IF($A163="","",COUNTIFS(Deployments!$A$2:$A$1001,$A163,Deployments!$D$2:$D$1001,"&lt;&gt;Withdrawn"))</f>
        <v/>
      </c>
      <c r="K163" s="30" t="str">
        <f aca="false">IF($A163="","",MAX(0,N(H163)-J163))</f>
        <v/>
      </c>
      <c r="L163" s="31" t="str">
        <f aca="false">IF(OR($A163="",N(H163)=0),"",J163/H163)</f>
        <v/>
      </c>
      <c r="M163" s="24" t="str">
        <f aca="false">IF($A163="","",IF(N(H163)=0,"No target",IF(J163&gt;H163,"Over-staffed",IF(J163=H163,"Fully staffed",IF(J163=0,"Unstaffed","Short")))))</f>
        <v/>
      </c>
      <c r="N163" s="24" t="str">
        <f aca="true">IF(OR($A163="",C163=""),"",IF(C163&lt;TODAY(),"Past",IF(C163-TODAY()&lt;=Setup!$H$3,"Upcoming","Later")))</f>
        <v/>
      </c>
      <c r="O163" s="32" t="str">
        <f aca="false">IF($A163="","",IF(C163="",100000,C163)+ROW()/100000)</f>
        <v/>
      </c>
    </row>
    <row r="164" customFormat="false" ht="15" hidden="false" customHeight="false" outlineLevel="0" collapsed="false">
      <c r="C164" s="33"/>
      <c r="D164" s="34"/>
      <c r="E164" s="34"/>
      <c r="I164" s="25" t="str">
        <f aca="false">IF(OR(D164="",E164=""),"",ROUND(MOD(E164-D164,1)*24,2))</f>
        <v/>
      </c>
      <c r="J164" s="30" t="str">
        <f aca="false">IF($A164="","",COUNTIFS(Deployments!$A$2:$A$1001,$A164,Deployments!$D$2:$D$1001,"&lt;&gt;Withdrawn"))</f>
        <v/>
      </c>
      <c r="K164" s="30" t="str">
        <f aca="false">IF($A164="","",MAX(0,N(H164)-J164))</f>
        <v/>
      </c>
      <c r="L164" s="31" t="str">
        <f aca="false">IF(OR($A164="",N(H164)=0),"",J164/H164)</f>
        <v/>
      </c>
      <c r="M164" s="24" t="str">
        <f aca="false">IF($A164="","",IF(N(H164)=0,"No target",IF(J164&gt;H164,"Over-staffed",IF(J164=H164,"Fully staffed",IF(J164=0,"Unstaffed","Short")))))</f>
        <v/>
      </c>
      <c r="N164" s="24" t="str">
        <f aca="true">IF(OR($A164="",C164=""),"",IF(C164&lt;TODAY(),"Past",IF(C164-TODAY()&lt;=Setup!$H$3,"Upcoming","Later")))</f>
        <v/>
      </c>
      <c r="O164" s="32" t="str">
        <f aca="false">IF($A164="","",IF(C164="",100000,C164)+ROW()/100000)</f>
        <v/>
      </c>
    </row>
    <row r="165" customFormat="false" ht="15" hidden="false" customHeight="false" outlineLevel="0" collapsed="false">
      <c r="C165" s="33"/>
      <c r="D165" s="34"/>
      <c r="E165" s="34"/>
      <c r="I165" s="25" t="str">
        <f aca="false">IF(OR(D165="",E165=""),"",ROUND(MOD(E165-D165,1)*24,2))</f>
        <v/>
      </c>
      <c r="J165" s="30" t="str">
        <f aca="false">IF($A165="","",COUNTIFS(Deployments!$A$2:$A$1001,$A165,Deployments!$D$2:$D$1001,"&lt;&gt;Withdrawn"))</f>
        <v/>
      </c>
      <c r="K165" s="30" t="str">
        <f aca="false">IF($A165="","",MAX(0,N(H165)-J165))</f>
        <v/>
      </c>
      <c r="L165" s="31" t="str">
        <f aca="false">IF(OR($A165="",N(H165)=0),"",J165/H165)</f>
        <v/>
      </c>
      <c r="M165" s="24" t="str">
        <f aca="false">IF($A165="","",IF(N(H165)=0,"No target",IF(J165&gt;H165,"Over-staffed",IF(J165=H165,"Fully staffed",IF(J165=0,"Unstaffed","Short")))))</f>
        <v/>
      </c>
      <c r="N165" s="24" t="str">
        <f aca="true">IF(OR($A165="",C165=""),"",IF(C165&lt;TODAY(),"Past",IF(C165-TODAY()&lt;=Setup!$H$3,"Upcoming","Later")))</f>
        <v/>
      </c>
      <c r="O165" s="32" t="str">
        <f aca="false">IF($A165="","",IF(C165="",100000,C165)+ROW()/100000)</f>
        <v/>
      </c>
    </row>
    <row r="166" customFormat="false" ht="15" hidden="false" customHeight="false" outlineLevel="0" collapsed="false">
      <c r="C166" s="33"/>
      <c r="D166" s="34"/>
      <c r="E166" s="34"/>
      <c r="I166" s="25" t="str">
        <f aca="false">IF(OR(D166="",E166=""),"",ROUND(MOD(E166-D166,1)*24,2))</f>
        <v/>
      </c>
      <c r="J166" s="30" t="str">
        <f aca="false">IF($A166="","",COUNTIFS(Deployments!$A$2:$A$1001,$A166,Deployments!$D$2:$D$1001,"&lt;&gt;Withdrawn"))</f>
        <v/>
      </c>
      <c r="K166" s="30" t="str">
        <f aca="false">IF($A166="","",MAX(0,N(H166)-J166))</f>
        <v/>
      </c>
      <c r="L166" s="31" t="str">
        <f aca="false">IF(OR($A166="",N(H166)=0),"",J166/H166)</f>
        <v/>
      </c>
      <c r="M166" s="24" t="str">
        <f aca="false">IF($A166="","",IF(N(H166)=0,"No target",IF(J166&gt;H166,"Over-staffed",IF(J166=H166,"Fully staffed",IF(J166=0,"Unstaffed","Short")))))</f>
        <v/>
      </c>
      <c r="N166" s="24" t="str">
        <f aca="true">IF(OR($A166="",C166=""),"",IF(C166&lt;TODAY(),"Past",IF(C166-TODAY()&lt;=Setup!$H$3,"Upcoming","Later")))</f>
        <v/>
      </c>
      <c r="O166" s="32" t="str">
        <f aca="false">IF($A166="","",IF(C166="",100000,C166)+ROW()/100000)</f>
        <v/>
      </c>
    </row>
    <row r="167" customFormat="false" ht="15" hidden="false" customHeight="false" outlineLevel="0" collapsed="false">
      <c r="C167" s="33"/>
      <c r="D167" s="34"/>
      <c r="E167" s="34"/>
      <c r="I167" s="25" t="str">
        <f aca="false">IF(OR(D167="",E167=""),"",ROUND(MOD(E167-D167,1)*24,2))</f>
        <v/>
      </c>
      <c r="J167" s="30" t="str">
        <f aca="false">IF($A167="","",COUNTIFS(Deployments!$A$2:$A$1001,$A167,Deployments!$D$2:$D$1001,"&lt;&gt;Withdrawn"))</f>
        <v/>
      </c>
      <c r="K167" s="30" t="str">
        <f aca="false">IF($A167="","",MAX(0,N(H167)-J167))</f>
        <v/>
      </c>
      <c r="L167" s="31" t="str">
        <f aca="false">IF(OR($A167="",N(H167)=0),"",J167/H167)</f>
        <v/>
      </c>
      <c r="M167" s="24" t="str">
        <f aca="false">IF($A167="","",IF(N(H167)=0,"No target",IF(J167&gt;H167,"Over-staffed",IF(J167=H167,"Fully staffed",IF(J167=0,"Unstaffed","Short")))))</f>
        <v/>
      </c>
      <c r="N167" s="24" t="str">
        <f aca="true">IF(OR($A167="",C167=""),"",IF(C167&lt;TODAY(),"Past",IF(C167-TODAY()&lt;=Setup!$H$3,"Upcoming","Later")))</f>
        <v/>
      </c>
      <c r="O167" s="32" t="str">
        <f aca="false">IF($A167="","",IF(C167="",100000,C167)+ROW()/100000)</f>
        <v/>
      </c>
    </row>
    <row r="168" customFormat="false" ht="15" hidden="false" customHeight="false" outlineLevel="0" collapsed="false">
      <c r="C168" s="33"/>
      <c r="D168" s="34"/>
      <c r="E168" s="34"/>
      <c r="I168" s="25" t="str">
        <f aca="false">IF(OR(D168="",E168=""),"",ROUND(MOD(E168-D168,1)*24,2))</f>
        <v/>
      </c>
      <c r="J168" s="30" t="str">
        <f aca="false">IF($A168="","",COUNTIFS(Deployments!$A$2:$A$1001,$A168,Deployments!$D$2:$D$1001,"&lt;&gt;Withdrawn"))</f>
        <v/>
      </c>
      <c r="K168" s="30" t="str">
        <f aca="false">IF($A168="","",MAX(0,N(H168)-J168))</f>
        <v/>
      </c>
      <c r="L168" s="31" t="str">
        <f aca="false">IF(OR($A168="",N(H168)=0),"",J168/H168)</f>
        <v/>
      </c>
      <c r="M168" s="24" t="str">
        <f aca="false">IF($A168="","",IF(N(H168)=0,"No target",IF(J168&gt;H168,"Over-staffed",IF(J168=H168,"Fully staffed",IF(J168=0,"Unstaffed","Short")))))</f>
        <v/>
      </c>
      <c r="N168" s="24" t="str">
        <f aca="true">IF(OR($A168="",C168=""),"",IF(C168&lt;TODAY(),"Past",IF(C168-TODAY()&lt;=Setup!$H$3,"Upcoming","Later")))</f>
        <v/>
      </c>
      <c r="O168" s="32" t="str">
        <f aca="false">IF($A168="","",IF(C168="",100000,C168)+ROW()/100000)</f>
        <v/>
      </c>
    </row>
    <row r="169" customFormat="false" ht="15" hidden="false" customHeight="false" outlineLevel="0" collapsed="false">
      <c r="C169" s="33"/>
      <c r="D169" s="34"/>
      <c r="E169" s="34"/>
      <c r="I169" s="25" t="str">
        <f aca="false">IF(OR(D169="",E169=""),"",ROUND(MOD(E169-D169,1)*24,2))</f>
        <v/>
      </c>
      <c r="J169" s="30" t="str">
        <f aca="false">IF($A169="","",COUNTIFS(Deployments!$A$2:$A$1001,$A169,Deployments!$D$2:$D$1001,"&lt;&gt;Withdrawn"))</f>
        <v/>
      </c>
      <c r="K169" s="30" t="str">
        <f aca="false">IF($A169="","",MAX(0,N(H169)-J169))</f>
        <v/>
      </c>
      <c r="L169" s="31" t="str">
        <f aca="false">IF(OR($A169="",N(H169)=0),"",J169/H169)</f>
        <v/>
      </c>
      <c r="M169" s="24" t="str">
        <f aca="false">IF($A169="","",IF(N(H169)=0,"No target",IF(J169&gt;H169,"Over-staffed",IF(J169=H169,"Fully staffed",IF(J169=0,"Unstaffed","Short")))))</f>
        <v/>
      </c>
      <c r="N169" s="24" t="str">
        <f aca="true">IF(OR($A169="",C169=""),"",IF(C169&lt;TODAY(),"Past",IF(C169-TODAY()&lt;=Setup!$H$3,"Upcoming","Later")))</f>
        <v/>
      </c>
      <c r="O169" s="32" t="str">
        <f aca="false">IF($A169="","",IF(C169="",100000,C169)+ROW()/100000)</f>
        <v/>
      </c>
    </row>
    <row r="170" customFormat="false" ht="15" hidden="false" customHeight="false" outlineLevel="0" collapsed="false">
      <c r="C170" s="33"/>
      <c r="D170" s="34"/>
      <c r="E170" s="34"/>
      <c r="I170" s="25" t="str">
        <f aca="false">IF(OR(D170="",E170=""),"",ROUND(MOD(E170-D170,1)*24,2))</f>
        <v/>
      </c>
      <c r="J170" s="30" t="str">
        <f aca="false">IF($A170="","",COUNTIFS(Deployments!$A$2:$A$1001,$A170,Deployments!$D$2:$D$1001,"&lt;&gt;Withdrawn"))</f>
        <v/>
      </c>
      <c r="K170" s="30" t="str">
        <f aca="false">IF($A170="","",MAX(0,N(H170)-J170))</f>
        <v/>
      </c>
      <c r="L170" s="31" t="str">
        <f aca="false">IF(OR($A170="",N(H170)=0),"",J170/H170)</f>
        <v/>
      </c>
      <c r="M170" s="24" t="str">
        <f aca="false">IF($A170="","",IF(N(H170)=0,"No target",IF(J170&gt;H170,"Over-staffed",IF(J170=H170,"Fully staffed",IF(J170=0,"Unstaffed","Short")))))</f>
        <v/>
      </c>
      <c r="N170" s="24" t="str">
        <f aca="true">IF(OR($A170="",C170=""),"",IF(C170&lt;TODAY(),"Past",IF(C170-TODAY()&lt;=Setup!$H$3,"Upcoming","Later")))</f>
        <v/>
      </c>
      <c r="O170" s="32" t="str">
        <f aca="false">IF($A170="","",IF(C170="",100000,C170)+ROW()/100000)</f>
        <v/>
      </c>
    </row>
    <row r="171" customFormat="false" ht="15" hidden="false" customHeight="false" outlineLevel="0" collapsed="false">
      <c r="C171" s="33"/>
      <c r="D171" s="34"/>
      <c r="E171" s="34"/>
      <c r="I171" s="25" t="str">
        <f aca="false">IF(OR(D171="",E171=""),"",ROUND(MOD(E171-D171,1)*24,2))</f>
        <v/>
      </c>
      <c r="J171" s="30" t="str">
        <f aca="false">IF($A171="","",COUNTIFS(Deployments!$A$2:$A$1001,$A171,Deployments!$D$2:$D$1001,"&lt;&gt;Withdrawn"))</f>
        <v/>
      </c>
      <c r="K171" s="30" t="str">
        <f aca="false">IF($A171="","",MAX(0,N(H171)-J171))</f>
        <v/>
      </c>
      <c r="L171" s="31" t="str">
        <f aca="false">IF(OR($A171="",N(H171)=0),"",J171/H171)</f>
        <v/>
      </c>
      <c r="M171" s="24" t="str">
        <f aca="false">IF($A171="","",IF(N(H171)=0,"No target",IF(J171&gt;H171,"Over-staffed",IF(J171=H171,"Fully staffed",IF(J171=0,"Unstaffed","Short")))))</f>
        <v/>
      </c>
      <c r="N171" s="24" t="str">
        <f aca="true">IF(OR($A171="",C171=""),"",IF(C171&lt;TODAY(),"Past",IF(C171-TODAY()&lt;=Setup!$H$3,"Upcoming","Later")))</f>
        <v/>
      </c>
      <c r="O171" s="32" t="str">
        <f aca="false">IF($A171="","",IF(C171="",100000,C171)+ROW()/100000)</f>
        <v/>
      </c>
    </row>
    <row r="172" customFormat="false" ht="15" hidden="false" customHeight="false" outlineLevel="0" collapsed="false">
      <c r="C172" s="33"/>
      <c r="D172" s="34"/>
      <c r="E172" s="34"/>
      <c r="I172" s="25" t="str">
        <f aca="false">IF(OR(D172="",E172=""),"",ROUND(MOD(E172-D172,1)*24,2))</f>
        <v/>
      </c>
      <c r="J172" s="30" t="str">
        <f aca="false">IF($A172="","",COUNTIFS(Deployments!$A$2:$A$1001,$A172,Deployments!$D$2:$D$1001,"&lt;&gt;Withdrawn"))</f>
        <v/>
      </c>
      <c r="K172" s="30" t="str">
        <f aca="false">IF($A172="","",MAX(0,N(H172)-J172))</f>
        <v/>
      </c>
      <c r="L172" s="31" t="str">
        <f aca="false">IF(OR($A172="",N(H172)=0),"",J172/H172)</f>
        <v/>
      </c>
      <c r="M172" s="24" t="str">
        <f aca="false">IF($A172="","",IF(N(H172)=0,"No target",IF(J172&gt;H172,"Over-staffed",IF(J172=H172,"Fully staffed",IF(J172=0,"Unstaffed","Short")))))</f>
        <v/>
      </c>
      <c r="N172" s="24" t="str">
        <f aca="true">IF(OR($A172="",C172=""),"",IF(C172&lt;TODAY(),"Past",IF(C172-TODAY()&lt;=Setup!$H$3,"Upcoming","Later")))</f>
        <v/>
      </c>
      <c r="O172" s="32" t="str">
        <f aca="false">IF($A172="","",IF(C172="",100000,C172)+ROW()/100000)</f>
        <v/>
      </c>
    </row>
    <row r="173" customFormat="false" ht="15" hidden="false" customHeight="false" outlineLevel="0" collapsed="false">
      <c r="C173" s="33"/>
      <c r="D173" s="34"/>
      <c r="E173" s="34"/>
      <c r="I173" s="25" t="str">
        <f aca="false">IF(OR(D173="",E173=""),"",ROUND(MOD(E173-D173,1)*24,2))</f>
        <v/>
      </c>
      <c r="J173" s="30" t="str">
        <f aca="false">IF($A173="","",COUNTIFS(Deployments!$A$2:$A$1001,$A173,Deployments!$D$2:$D$1001,"&lt;&gt;Withdrawn"))</f>
        <v/>
      </c>
      <c r="K173" s="30" t="str">
        <f aca="false">IF($A173="","",MAX(0,N(H173)-J173))</f>
        <v/>
      </c>
      <c r="L173" s="31" t="str">
        <f aca="false">IF(OR($A173="",N(H173)=0),"",J173/H173)</f>
        <v/>
      </c>
      <c r="M173" s="24" t="str">
        <f aca="false">IF($A173="","",IF(N(H173)=0,"No target",IF(J173&gt;H173,"Over-staffed",IF(J173=H173,"Fully staffed",IF(J173=0,"Unstaffed","Short")))))</f>
        <v/>
      </c>
      <c r="N173" s="24" t="str">
        <f aca="true">IF(OR($A173="",C173=""),"",IF(C173&lt;TODAY(),"Past",IF(C173-TODAY()&lt;=Setup!$H$3,"Upcoming","Later")))</f>
        <v/>
      </c>
      <c r="O173" s="32" t="str">
        <f aca="false">IF($A173="","",IF(C173="",100000,C173)+ROW()/100000)</f>
        <v/>
      </c>
    </row>
    <row r="174" customFormat="false" ht="15" hidden="false" customHeight="false" outlineLevel="0" collapsed="false">
      <c r="C174" s="33"/>
      <c r="D174" s="34"/>
      <c r="E174" s="34"/>
      <c r="I174" s="25" t="str">
        <f aca="false">IF(OR(D174="",E174=""),"",ROUND(MOD(E174-D174,1)*24,2))</f>
        <v/>
      </c>
      <c r="J174" s="30" t="str">
        <f aca="false">IF($A174="","",COUNTIFS(Deployments!$A$2:$A$1001,$A174,Deployments!$D$2:$D$1001,"&lt;&gt;Withdrawn"))</f>
        <v/>
      </c>
      <c r="K174" s="30" t="str">
        <f aca="false">IF($A174="","",MAX(0,N(H174)-J174))</f>
        <v/>
      </c>
      <c r="L174" s="31" t="str">
        <f aca="false">IF(OR($A174="",N(H174)=0),"",J174/H174)</f>
        <v/>
      </c>
      <c r="M174" s="24" t="str">
        <f aca="false">IF($A174="","",IF(N(H174)=0,"No target",IF(J174&gt;H174,"Over-staffed",IF(J174=H174,"Fully staffed",IF(J174=0,"Unstaffed","Short")))))</f>
        <v/>
      </c>
      <c r="N174" s="24" t="str">
        <f aca="true">IF(OR($A174="",C174=""),"",IF(C174&lt;TODAY(),"Past",IF(C174-TODAY()&lt;=Setup!$H$3,"Upcoming","Later")))</f>
        <v/>
      </c>
      <c r="O174" s="32" t="str">
        <f aca="false">IF($A174="","",IF(C174="",100000,C174)+ROW()/100000)</f>
        <v/>
      </c>
    </row>
    <row r="175" customFormat="false" ht="15" hidden="false" customHeight="false" outlineLevel="0" collapsed="false">
      <c r="C175" s="33"/>
      <c r="D175" s="34"/>
      <c r="E175" s="34"/>
      <c r="I175" s="25" t="str">
        <f aca="false">IF(OR(D175="",E175=""),"",ROUND(MOD(E175-D175,1)*24,2))</f>
        <v/>
      </c>
      <c r="J175" s="30" t="str">
        <f aca="false">IF($A175="","",COUNTIFS(Deployments!$A$2:$A$1001,$A175,Deployments!$D$2:$D$1001,"&lt;&gt;Withdrawn"))</f>
        <v/>
      </c>
      <c r="K175" s="30" t="str">
        <f aca="false">IF($A175="","",MAX(0,N(H175)-J175))</f>
        <v/>
      </c>
      <c r="L175" s="31" t="str">
        <f aca="false">IF(OR($A175="",N(H175)=0),"",J175/H175)</f>
        <v/>
      </c>
      <c r="M175" s="24" t="str">
        <f aca="false">IF($A175="","",IF(N(H175)=0,"No target",IF(J175&gt;H175,"Over-staffed",IF(J175=H175,"Fully staffed",IF(J175=0,"Unstaffed","Short")))))</f>
        <v/>
      </c>
      <c r="N175" s="24" t="str">
        <f aca="true">IF(OR($A175="",C175=""),"",IF(C175&lt;TODAY(),"Past",IF(C175-TODAY()&lt;=Setup!$H$3,"Upcoming","Later")))</f>
        <v/>
      </c>
      <c r="O175" s="32" t="str">
        <f aca="false">IF($A175="","",IF(C175="",100000,C175)+ROW()/100000)</f>
        <v/>
      </c>
    </row>
    <row r="176" customFormat="false" ht="15" hidden="false" customHeight="false" outlineLevel="0" collapsed="false">
      <c r="C176" s="33"/>
      <c r="D176" s="34"/>
      <c r="E176" s="34"/>
      <c r="I176" s="25" t="str">
        <f aca="false">IF(OR(D176="",E176=""),"",ROUND(MOD(E176-D176,1)*24,2))</f>
        <v/>
      </c>
      <c r="J176" s="30" t="str">
        <f aca="false">IF($A176="","",COUNTIFS(Deployments!$A$2:$A$1001,$A176,Deployments!$D$2:$D$1001,"&lt;&gt;Withdrawn"))</f>
        <v/>
      </c>
      <c r="K176" s="30" t="str">
        <f aca="false">IF($A176="","",MAX(0,N(H176)-J176))</f>
        <v/>
      </c>
      <c r="L176" s="31" t="str">
        <f aca="false">IF(OR($A176="",N(H176)=0),"",J176/H176)</f>
        <v/>
      </c>
      <c r="M176" s="24" t="str">
        <f aca="false">IF($A176="","",IF(N(H176)=0,"No target",IF(J176&gt;H176,"Over-staffed",IF(J176=H176,"Fully staffed",IF(J176=0,"Unstaffed","Short")))))</f>
        <v/>
      </c>
      <c r="N176" s="24" t="str">
        <f aca="true">IF(OR($A176="",C176=""),"",IF(C176&lt;TODAY(),"Past",IF(C176-TODAY()&lt;=Setup!$H$3,"Upcoming","Later")))</f>
        <v/>
      </c>
      <c r="O176" s="32" t="str">
        <f aca="false">IF($A176="","",IF(C176="",100000,C176)+ROW()/100000)</f>
        <v/>
      </c>
    </row>
    <row r="177" customFormat="false" ht="15" hidden="false" customHeight="false" outlineLevel="0" collapsed="false">
      <c r="C177" s="33"/>
      <c r="D177" s="34"/>
      <c r="E177" s="34"/>
      <c r="I177" s="25" t="str">
        <f aca="false">IF(OR(D177="",E177=""),"",ROUND(MOD(E177-D177,1)*24,2))</f>
        <v/>
      </c>
      <c r="J177" s="30" t="str">
        <f aca="false">IF($A177="","",COUNTIFS(Deployments!$A$2:$A$1001,$A177,Deployments!$D$2:$D$1001,"&lt;&gt;Withdrawn"))</f>
        <v/>
      </c>
      <c r="K177" s="30" t="str">
        <f aca="false">IF($A177="","",MAX(0,N(H177)-J177))</f>
        <v/>
      </c>
      <c r="L177" s="31" t="str">
        <f aca="false">IF(OR($A177="",N(H177)=0),"",J177/H177)</f>
        <v/>
      </c>
      <c r="M177" s="24" t="str">
        <f aca="false">IF($A177="","",IF(N(H177)=0,"No target",IF(J177&gt;H177,"Over-staffed",IF(J177=H177,"Fully staffed",IF(J177=0,"Unstaffed","Short")))))</f>
        <v/>
      </c>
      <c r="N177" s="24" t="str">
        <f aca="true">IF(OR($A177="",C177=""),"",IF(C177&lt;TODAY(),"Past",IF(C177-TODAY()&lt;=Setup!$H$3,"Upcoming","Later")))</f>
        <v/>
      </c>
      <c r="O177" s="32" t="str">
        <f aca="false">IF($A177="","",IF(C177="",100000,C177)+ROW()/100000)</f>
        <v/>
      </c>
    </row>
    <row r="178" customFormat="false" ht="15" hidden="false" customHeight="false" outlineLevel="0" collapsed="false">
      <c r="C178" s="33"/>
      <c r="D178" s="34"/>
      <c r="E178" s="34"/>
      <c r="I178" s="25" t="str">
        <f aca="false">IF(OR(D178="",E178=""),"",ROUND(MOD(E178-D178,1)*24,2))</f>
        <v/>
      </c>
      <c r="J178" s="30" t="str">
        <f aca="false">IF($A178="","",COUNTIFS(Deployments!$A$2:$A$1001,$A178,Deployments!$D$2:$D$1001,"&lt;&gt;Withdrawn"))</f>
        <v/>
      </c>
      <c r="K178" s="30" t="str">
        <f aca="false">IF($A178="","",MAX(0,N(H178)-J178))</f>
        <v/>
      </c>
      <c r="L178" s="31" t="str">
        <f aca="false">IF(OR($A178="",N(H178)=0),"",J178/H178)</f>
        <v/>
      </c>
      <c r="M178" s="24" t="str">
        <f aca="false">IF($A178="","",IF(N(H178)=0,"No target",IF(J178&gt;H178,"Over-staffed",IF(J178=H178,"Fully staffed",IF(J178=0,"Unstaffed","Short")))))</f>
        <v/>
      </c>
      <c r="N178" s="24" t="str">
        <f aca="true">IF(OR($A178="",C178=""),"",IF(C178&lt;TODAY(),"Past",IF(C178-TODAY()&lt;=Setup!$H$3,"Upcoming","Later")))</f>
        <v/>
      </c>
      <c r="O178" s="32" t="str">
        <f aca="false">IF($A178="","",IF(C178="",100000,C178)+ROW()/100000)</f>
        <v/>
      </c>
    </row>
    <row r="179" customFormat="false" ht="15" hidden="false" customHeight="false" outlineLevel="0" collapsed="false">
      <c r="C179" s="33"/>
      <c r="D179" s="34"/>
      <c r="E179" s="34"/>
      <c r="I179" s="25" t="str">
        <f aca="false">IF(OR(D179="",E179=""),"",ROUND(MOD(E179-D179,1)*24,2))</f>
        <v/>
      </c>
      <c r="J179" s="30" t="str">
        <f aca="false">IF($A179="","",COUNTIFS(Deployments!$A$2:$A$1001,$A179,Deployments!$D$2:$D$1001,"&lt;&gt;Withdrawn"))</f>
        <v/>
      </c>
      <c r="K179" s="30" t="str">
        <f aca="false">IF($A179="","",MAX(0,N(H179)-J179))</f>
        <v/>
      </c>
      <c r="L179" s="31" t="str">
        <f aca="false">IF(OR($A179="",N(H179)=0),"",J179/H179)</f>
        <v/>
      </c>
      <c r="M179" s="24" t="str">
        <f aca="false">IF($A179="","",IF(N(H179)=0,"No target",IF(J179&gt;H179,"Over-staffed",IF(J179=H179,"Fully staffed",IF(J179=0,"Unstaffed","Short")))))</f>
        <v/>
      </c>
      <c r="N179" s="24" t="str">
        <f aca="true">IF(OR($A179="",C179=""),"",IF(C179&lt;TODAY(),"Past",IF(C179-TODAY()&lt;=Setup!$H$3,"Upcoming","Later")))</f>
        <v/>
      </c>
      <c r="O179" s="32" t="str">
        <f aca="false">IF($A179="","",IF(C179="",100000,C179)+ROW()/100000)</f>
        <v/>
      </c>
    </row>
    <row r="180" customFormat="false" ht="15" hidden="false" customHeight="false" outlineLevel="0" collapsed="false">
      <c r="C180" s="33"/>
      <c r="D180" s="34"/>
      <c r="E180" s="34"/>
      <c r="I180" s="25" t="str">
        <f aca="false">IF(OR(D180="",E180=""),"",ROUND(MOD(E180-D180,1)*24,2))</f>
        <v/>
      </c>
      <c r="J180" s="30" t="str">
        <f aca="false">IF($A180="","",COUNTIFS(Deployments!$A$2:$A$1001,$A180,Deployments!$D$2:$D$1001,"&lt;&gt;Withdrawn"))</f>
        <v/>
      </c>
      <c r="K180" s="30" t="str">
        <f aca="false">IF($A180="","",MAX(0,N(H180)-J180))</f>
        <v/>
      </c>
      <c r="L180" s="31" t="str">
        <f aca="false">IF(OR($A180="",N(H180)=0),"",J180/H180)</f>
        <v/>
      </c>
      <c r="M180" s="24" t="str">
        <f aca="false">IF($A180="","",IF(N(H180)=0,"No target",IF(J180&gt;H180,"Over-staffed",IF(J180=H180,"Fully staffed",IF(J180=0,"Unstaffed","Short")))))</f>
        <v/>
      </c>
      <c r="N180" s="24" t="str">
        <f aca="true">IF(OR($A180="",C180=""),"",IF(C180&lt;TODAY(),"Past",IF(C180-TODAY()&lt;=Setup!$H$3,"Upcoming","Later")))</f>
        <v/>
      </c>
      <c r="O180" s="32" t="str">
        <f aca="false">IF($A180="","",IF(C180="",100000,C180)+ROW()/100000)</f>
        <v/>
      </c>
    </row>
    <row r="181" customFormat="false" ht="15" hidden="false" customHeight="false" outlineLevel="0" collapsed="false">
      <c r="C181" s="33"/>
      <c r="D181" s="34"/>
      <c r="E181" s="34"/>
      <c r="I181" s="25" t="str">
        <f aca="false">IF(OR(D181="",E181=""),"",ROUND(MOD(E181-D181,1)*24,2))</f>
        <v/>
      </c>
      <c r="J181" s="30" t="str">
        <f aca="false">IF($A181="","",COUNTIFS(Deployments!$A$2:$A$1001,$A181,Deployments!$D$2:$D$1001,"&lt;&gt;Withdrawn"))</f>
        <v/>
      </c>
      <c r="K181" s="30" t="str">
        <f aca="false">IF($A181="","",MAX(0,N(H181)-J181))</f>
        <v/>
      </c>
      <c r="L181" s="31" t="str">
        <f aca="false">IF(OR($A181="",N(H181)=0),"",J181/H181)</f>
        <v/>
      </c>
      <c r="M181" s="24" t="str">
        <f aca="false">IF($A181="","",IF(N(H181)=0,"No target",IF(J181&gt;H181,"Over-staffed",IF(J181=H181,"Fully staffed",IF(J181=0,"Unstaffed","Short")))))</f>
        <v/>
      </c>
      <c r="N181" s="24" t="str">
        <f aca="true">IF(OR($A181="",C181=""),"",IF(C181&lt;TODAY(),"Past",IF(C181-TODAY()&lt;=Setup!$H$3,"Upcoming","Later")))</f>
        <v/>
      </c>
      <c r="O181" s="32" t="str">
        <f aca="false">IF($A181="","",IF(C181="",100000,C181)+ROW()/100000)</f>
        <v/>
      </c>
    </row>
    <row r="182" customFormat="false" ht="15" hidden="false" customHeight="false" outlineLevel="0" collapsed="false">
      <c r="C182" s="33"/>
      <c r="D182" s="34"/>
      <c r="E182" s="34"/>
      <c r="I182" s="25" t="str">
        <f aca="false">IF(OR(D182="",E182=""),"",ROUND(MOD(E182-D182,1)*24,2))</f>
        <v/>
      </c>
      <c r="J182" s="30" t="str">
        <f aca="false">IF($A182="","",COUNTIFS(Deployments!$A$2:$A$1001,$A182,Deployments!$D$2:$D$1001,"&lt;&gt;Withdrawn"))</f>
        <v/>
      </c>
      <c r="K182" s="30" t="str">
        <f aca="false">IF($A182="","",MAX(0,N(H182)-J182))</f>
        <v/>
      </c>
      <c r="L182" s="31" t="str">
        <f aca="false">IF(OR($A182="",N(H182)=0),"",J182/H182)</f>
        <v/>
      </c>
      <c r="M182" s="24" t="str">
        <f aca="false">IF($A182="","",IF(N(H182)=0,"No target",IF(J182&gt;H182,"Over-staffed",IF(J182=H182,"Fully staffed",IF(J182=0,"Unstaffed","Short")))))</f>
        <v/>
      </c>
      <c r="N182" s="24" t="str">
        <f aca="true">IF(OR($A182="",C182=""),"",IF(C182&lt;TODAY(),"Past",IF(C182-TODAY()&lt;=Setup!$H$3,"Upcoming","Later")))</f>
        <v/>
      </c>
      <c r="O182" s="32" t="str">
        <f aca="false">IF($A182="","",IF(C182="",100000,C182)+ROW()/100000)</f>
        <v/>
      </c>
    </row>
    <row r="183" customFormat="false" ht="15" hidden="false" customHeight="false" outlineLevel="0" collapsed="false">
      <c r="C183" s="33"/>
      <c r="D183" s="34"/>
      <c r="E183" s="34"/>
      <c r="I183" s="25" t="str">
        <f aca="false">IF(OR(D183="",E183=""),"",ROUND(MOD(E183-D183,1)*24,2))</f>
        <v/>
      </c>
      <c r="J183" s="30" t="str">
        <f aca="false">IF($A183="","",COUNTIFS(Deployments!$A$2:$A$1001,$A183,Deployments!$D$2:$D$1001,"&lt;&gt;Withdrawn"))</f>
        <v/>
      </c>
      <c r="K183" s="30" t="str">
        <f aca="false">IF($A183="","",MAX(0,N(H183)-J183))</f>
        <v/>
      </c>
      <c r="L183" s="31" t="str">
        <f aca="false">IF(OR($A183="",N(H183)=0),"",J183/H183)</f>
        <v/>
      </c>
      <c r="M183" s="24" t="str">
        <f aca="false">IF($A183="","",IF(N(H183)=0,"No target",IF(J183&gt;H183,"Over-staffed",IF(J183=H183,"Fully staffed",IF(J183=0,"Unstaffed","Short")))))</f>
        <v/>
      </c>
      <c r="N183" s="24" t="str">
        <f aca="true">IF(OR($A183="",C183=""),"",IF(C183&lt;TODAY(),"Past",IF(C183-TODAY()&lt;=Setup!$H$3,"Upcoming","Later")))</f>
        <v/>
      </c>
      <c r="O183" s="32" t="str">
        <f aca="false">IF($A183="","",IF(C183="",100000,C183)+ROW()/100000)</f>
        <v/>
      </c>
    </row>
    <row r="184" customFormat="false" ht="15" hidden="false" customHeight="false" outlineLevel="0" collapsed="false">
      <c r="C184" s="33"/>
      <c r="D184" s="34"/>
      <c r="E184" s="34"/>
      <c r="I184" s="25" t="str">
        <f aca="false">IF(OR(D184="",E184=""),"",ROUND(MOD(E184-D184,1)*24,2))</f>
        <v/>
      </c>
      <c r="J184" s="30" t="str">
        <f aca="false">IF($A184="","",COUNTIFS(Deployments!$A$2:$A$1001,$A184,Deployments!$D$2:$D$1001,"&lt;&gt;Withdrawn"))</f>
        <v/>
      </c>
      <c r="K184" s="30" t="str">
        <f aca="false">IF($A184="","",MAX(0,N(H184)-J184))</f>
        <v/>
      </c>
      <c r="L184" s="31" t="str">
        <f aca="false">IF(OR($A184="",N(H184)=0),"",J184/H184)</f>
        <v/>
      </c>
      <c r="M184" s="24" t="str">
        <f aca="false">IF($A184="","",IF(N(H184)=0,"No target",IF(J184&gt;H184,"Over-staffed",IF(J184=H184,"Fully staffed",IF(J184=0,"Unstaffed","Short")))))</f>
        <v/>
      </c>
      <c r="N184" s="24" t="str">
        <f aca="true">IF(OR($A184="",C184=""),"",IF(C184&lt;TODAY(),"Past",IF(C184-TODAY()&lt;=Setup!$H$3,"Upcoming","Later")))</f>
        <v/>
      </c>
      <c r="O184" s="32" t="str">
        <f aca="false">IF($A184="","",IF(C184="",100000,C184)+ROW()/100000)</f>
        <v/>
      </c>
    </row>
    <row r="185" customFormat="false" ht="15" hidden="false" customHeight="false" outlineLevel="0" collapsed="false">
      <c r="C185" s="33"/>
      <c r="D185" s="34"/>
      <c r="E185" s="34"/>
      <c r="I185" s="25" t="str">
        <f aca="false">IF(OR(D185="",E185=""),"",ROUND(MOD(E185-D185,1)*24,2))</f>
        <v/>
      </c>
      <c r="J185" s="30" t="str">
        <f aca="false">IF($A185="","",COUNTIFS(Deployments!$A$2:$A$1001,$A185,Deployments!$D$2:$D$1001,"&lt;&gt;Withdrawn"))</f>
        <v/>
      </c>
      <c r="K185" s="30" t="str">
        <f aca="false">IF($A185="","",MAX(0,N(H185)-J185))</f>
        <v/>
      </c>
      <c r="L185" s="31" t="str">
        <f aca="false">IF(OR($A185="",N(H185)=0),"",J185/H185)</f>
        <v/>
      </c>
      <c r="M185" s="24" t="str">
        <f aca="false">IF($A185="","",IF(N(H185)=0,"No target",IF(J185&gt;H185,"Over-staffed",IF(J185=H185,"Fully staffed",IF(J185=0,"Unstaffed","Short")))))</f>
        <v/>
      </c>
      <c r="N185" s="24" t="str">
        <f aca="true">IF(OR($A185="",C185=""),"",IF(C185&lt;TODAY(),"Past",IF(C185-TODAY()&lt;=Setup!$H$3,"Upcoming","Later")))</f>
        <v/>
      </c>
      <c r="O185" s="32" t="str">
        <f aca="false">IF($A185="","",IF(C185="",100000,C185)+ROW()/100000)</f>
        <v/>
      </c>
    </row>
    <row r="186" customFormat="false" ht="15" hidden="false" customHeight="false" outlineLevel="0" collapsed="false">
      <c r="C186" s="33"/>
      <c r="D186" s="34"/>
      <c r="E186" s="34"/>
      <c r="I186" s="25" t="str">
        <f aca="false">IF(OR(D186="",E186=""),"",ROUND(MOD(E186-D186,1)*24,2))</f>
        <v/>
      </c>
      <c r="J186" s="30" t="str">
        <f aca="false">IF($A186="","",COUNTIFS(Deployments!$A$2:$A$1001,$A186,Deployments!$D$2:$D$1001,"&lt;&gt;Withdrawn"))</f>
        <v/>
      </c>
      <c r="K186" s="30" t="str">
        <f aca="false">IF($A186="","",MAX(0,N(H186)-J186))</f>
        <v/>
      </c>
      <c r="L186" s="31" t="str">
        <f aca="false">IF(OR($A186="",N(H186)=0),"",J186/H186)</f>
        <v/>
      </c>
      <c r="M186" s="24" t="str">
        <f aca="false">IF($A186="","",IF(N(H186)=0,"No target",IF(J186&gt;H186,"Over-staffed",IF(J186=H186,"Fully staffed",IF(J186=0,"Unstaffed","Short")))))</f>
        <v/>
      </c>
      <c r="N186" s="24" t="str">
        <f aca="true">IF(OR($A186="",C186=""),"",IF(C186&lt;TODAY(),"Past",IF(C186-TODAY()&lt;=Setup!$H$3,"Upcoming","Later")))</f>
        <v/>
      </c>
      <c r="O186" s="32" t="str">
        <f aca="false">IF($A186="","",IF(C186="",100000,C186)+ROW()/100000)</f>
        <v/>
      </c>
    </row>
    <row r="187" customFormat="false" ht="15" hidden="false" customHeight="false" outlineLevel="0" collapsed="false">
      <c r="C187" s="33"/>
      <c r="D187" s="34"/>
      <c r="E187" s="34"/>
      <c r="I187" s="25" t="str">
        <f aca="false">IF(OR(D187="",E187=""),"",ROUND(MOD(E187-D187,1)*24,2))</f>
        <v/>
      </c>
      <c r="J187" s="30" t="str">
        <f aca="false">IF($A187="","",COUNTIFS(Deployments!$A$2:$A$1001,$A187,Deployments!$D$2:$D$1001,"&lt;&gt;Withdrawn"))</f>
        <v/>
      </c>
      <c r="K187" s="30" t="str">
        <f aca="false">IF($A187="","",MAX(0,N(H187)-J187))</f>
        <v/>
      </c>
      <c r="L187" s="31" t="str">
        <f aca="false">IF(OR($A187="",N(H187)=0),"",J187/H187)</f>
        <v/>
      </c>
      <c r="M187" s="24" t="str">
        <f aca="false">IF($A187="","",IF(N(H187)=0,"No target",IF(J187&gt;H187,"Over-staffed",IF(J187=H187,"Fully staffed",IF(J187=0,"Unstaffed","Short")))))</f>
        <v/>
      </c>
      <c r="N187" s="24" t="str">
        <f aca="true">IF(OR($A187="",C187=""),"",IF(C187&lt;TODAY(),"Past",IF(C187-TODAY()&lt;=Setup!$H$3,"Upcoming","Later")))</f>
        <v/>
      </c>
      <c r="O187" s="32" t="str">
        <f aca="false">IF($A187="","",IF(C187="",100000,C187)+ROW()/100000)</f>
        <v/>
      </c>
    </row>
    <row r="188" customFormat="false" ht="15" hidden="false" customHeight="false" outlineLevel="0" collapsed="false">
      <c r="C188" s="33"/>
      <c r="D188" s="34"/>
      <c r="E188" s="34"/>
      <c r="I188" s="25" t="str">
        <f aca="false">IF(OR(D188="",E188=""),"",ROUND(MOD(E188-D188,1)*24,2))</f>
        <v/>
      </c>
      <c r="J188" s="30" t="str">
        <f aca="false">IF($A188="","",COUNTIFS(Deployments!$A$2:$A$1001,$A188,Deployments!$D$2:$D$1001,"&lt;&gt;Withdrawn"))</f>
        <v/>
      </c>
      <c r="K188" s="30" t="str">
        <f aca="false">IF($A188="","",MAX(0,N(H188)-J188))</f>
        <v/>
      </c>
      <c r="L188" s="31" t="str">
        <f aca="false">IF(OR($A188="",N(H188)=0),"",J188/H188)</f>
        <v/>
      </c>
      <c r="M188" s="24" t="str">
        <f aca="false">IF($A188="","",IF(N(H188)=0,"No target",IF(J188&gt;H188,"Over-staffed",IF(J188=H188,"Fully staffed",IF(J188=0,"Unstaffed","Short")))))</f>
        <v/>
      </c>
      <c r="N188" s="24" t="str">
        <f aca="true">IF(OR($A188="",C188=""),"",IF(C188&lt;TODAY(),"Past",IF(C188-TODAY()&lt;=Setup!$H$3,"Upcoming","Later")))</f>
        <v/>
      </c>
      <c r="O188" s="32" t="str">
        <f aca="false">IF($A188="","",IF(C188="",100000,C188)+ROW()/100000)</f>
        <v/>
      </c>
    </row>
    <row r="189" customFormat="false" ht="15" hidden="false" customHeight="false" outlineLevel="0" collapsed="false">
      <c r="C189" s="33"/>
      <c r="D189" s="34"/>
      <c r="E189" s="34"/>
      <c r="I189" s="25" t="str">
        <f aca="false">IF(OR(D189="",E189=""),"",ROUND(MOD(E189-D189,1)*24,2))</f>
        <v/>
      </c>
      <c r="J189" s="30" t="str">
        <f aca="false">IF($A189="","",COUNTIFS(Deployments!$A$2:$A$1001,$A189,Deployments!$D$2:$D$1001,"&lt;&gt;Withdrawn"))</f>
        <v/>
      </c>
      <c r="K189" s="30" t="str">
        <f aca="false">IF($A189="","",MAX(0,N(H189)-J189))</f>
        <v/>
      </c>
      <c r="L189" s="31" t="str">
        <f aca="false">IF(OR($A189="",N(H189)=0),"",J189/H189)</f>
        <v/>
      </c>
      <c r="M189" s="24" t="str">
        <f aca="false">IF($A189="","",IF(N(H189)=0,"No target",IF(J189&gt;H189,"Over-staffed",IF(J189=H189,"Fully staffed",IF(J189=0,"Unstaffed","Short")))))</f>
        <v/>
      </c>
      <c r="N189" s="24" t="str">
        <f aca="true">IF(OR($A189="",C189=""),"",IF(C189&lt;TODAY(),"Past",IF(C189-TODAY()&lt;=Setup!$H$3,"Upcoming","Later")))</f>
        <v/>
      </c>
      <c r="O189" s="32" t="str">
        <f aca="false">IF($A189="","",IF(C189="",100000,C189)+ROW()/100000)</f>
        <v/>
      </c>
    </row>
    <row r="190" customFormat="false" ht="15" hidden="false" customHeight="false" outlineLevel="0" collapsed="false">
      <c r="C190" s="33"/>
      <c r="D190" s="34"/>
      <c r="E190" s="34"/>
      <c r="I190" s="25" t="str">
        <f aca="false">IF(OR(D190="",E190=""),"",ROUND(MOD(E190-D190,1)*24,2))</f>
        <v/>
      </c>
      <c r="J190" s="30" t="str">
        <f aca="false">IF($A190="","",COUNTIFS(Deployments!$A$2:$A$1001,$A190,Deployments!$D$2:$D$1001,"&lt;&gt;Withdrawn"))</f>
        <v/>
      </c>
      <c r="K190" s="30" t="str">
        <f aca="false">IF($A190="","",MAX(0,N(H190)-J190))</f>
        <v/>
      </c>
      <c r="L190" s="31" t="str">
        <f aca="false">IF(OR($A190="",N(H190)=0),"",J190/H190)</f>
        <v/>
      </c>
      <c r="M190" s="24" t="str">
        <f aca="false">IF($A190="","",IF(N(H190)=0,"No target",IF(J190&gt;H190,"Over-staffed",IF(J190=H190,"Fully staffed",IF(J190=0,"Unstaffed","Short")))))</f>
        <v/>
      </c>
      <c r="N190" s="24" t="str">
        <f aca="true">IF(OR($A190="",C190=""),"",IF(C190&lt;TODAY(),"Past",IF(C190-TODAY()&lt;=Setup!$H$3,"Upcoming","Later")))</f>
        <v/>
      </c>
      <c r="O190" s="32" t="str">
        <f aca="false">IF($A190="","",IF(C190="",100000,C190)+ROW()/100000)</f>
        <v/>
      </c>
    </row>
    <row r="191" customFormat="false" ht="15" hidden="false" customHeight="false" outlineLevel="0" collapsed="false">
      <c r="C191" s="33"/>
      <c r="D191" s="34"/>
      <c r="E191" s="34"/>
      <c r="I191" s="25" t="str">
        <f aca="false">IF(OR(D191="",E191=""),"",ROUND(MOD(E191-D191,1)*24,2))</f>
        <v/>
      </c>
      <c r="J191" s="30" t="str">
        <f aca="false">IF($A191="","",COUNTIFS(Deployments!$A$2:$A$1001,$A191,Deployments!$D$2:$D$1001,"&lt;&gt;Withdrawn"))</f>
        <v/>
      </c>
      <c r="K191" s="30" t="str">
        <f aca="false">IF($A191="","",MAX(0,N(H191)-J191))</f>
        <v/>
      </c>
      <c r="L191" s="31" t="str">
        <f aca="false">IF(OR($A191="",N(H191)=0),"",J191/H191)</f>
        <v/>
      </c>
      <c r="M191" s="24" t="str">
        <f aca="false">IF($A191="","",IF(N(H191)=0,"No target",IF(J191&gt;H191,"Over-staffed",IF(J191=H191,"Fully staffed",IF(J191=0,"Unstaffed","Short")))))</f>
        <v/>
      </c>
      <c r="N191" s="24" t="str">
        <f aca="true">IF(OR($A191="",C191=""),"",IF(C191&lt;TODAY(),"Past",IF(C191-TODAY()&lt;=Setup!$H$3,"Upcoming","Later")))</f>
        <v/>
      </c>
      <c r="O191" s="32" t="str">
        <f aca="false">IF($A191="","",IF(C191="",100000,C191)+ROW()/100000)</f>
        <v/>
      </c>
    </row>
    <row r="192" customFormat="false" ht="15" hidden="false" customHeight="false" outlineLevel="0" collapsed="false">
      <c r="C192" s="33"/>
      <c r="D192" s="34"/>
      <c r="E192" s="34"/>
      <c r="I192" s="25" t="str">
        <f aca="false">IF(OR(D192="",E192=""),"",ROUND(MOD(E192-D192,1)*24,2))</f>
        <v/>
      </c>
      <c r="J192" s="30" t="str">
        <f aca="false">IF($A192="","",COUNTIFS(Deployments!$A$2:$A$1001,$A192,Deployments!$D$2:$D$1001,"&lt;&gt;Withdrawn"))</f>
        <v/>
      </c>
      <c r="K192" s="30" t="str">
        <f aca="false">IF($A192="","",MAX(0,N(H192)-J192))</f>
        <v/>
      </c>
      <c r="L192" s="31" t="str">
        <f aca="false">IF(OR($A192="",N(H192)=0),"",J192/H192)</f>
        <v/>
      </c>
      <c r="M192" s="24" t="str">
        <f aca="false">IF($A192="","",IF(N(H192)=0,"No target",IF(J192&gt;H192,"Over-staffed",IF(J192=H192,"Fully staffed",IF(J192=0,"Unstaffed","Short")))))</f>
        <v/>
      </c>
      <c r="N192" s="24" t="str">
        <f aca="true">IF(OR($A192="",C192=""),"",IF(C192&lt;TODAY(),"Past",IF(C192-TODAY()&lt;=Setup!$H$3,"Upcoming","Later")))</f>
        <v/>
      </c>
      <c r="O192" s="32" t="str">
        <f aca="false">IF($A192="","",IF(C192="",100000,C192)+ROW()/100000)</f>
        <v/>
      </c>
    </row>
    <row r="193" customFormat="false" ht="15" hidden="false" customHeight="false" outlineLevel="0" collapsed="false">
      <c r="C193" s="33"/>
      <c r="D193" s="34"/>
      <c r="E193" s="34"/>
      <c r="I193" s="25" t="str">
        <f aca="false">IF(OR(D193="",E193=""),"",ROUND(MOD(E193-D193,1)*24,2))</f>
        <v/>
      </c>
      <c r="J193" s="30" t="str">
        <f aca="false">IF($A193="","",COUNTIFS(Deployments!$A$2:$A$1001,$A193,Deployments!$D$2:$D$1001,"&lt;&gt;Withdrawn"))</f>
        <v/>
      </c>
      <c r="K193" s="30" t="str">
        <f aca="false">IF($A193="","",MAX(0,N(H193)-J193))</f>
        <v/>
      </c>
      <c r="L193" s="31" t="str">
        <f aca="false">IF(OR($A193="",N(H193)=0),"",J193/H193)</f>
        <v/>
      </c>
      <c r="M193" s="24" t="str">
        <f aca="false">IF($A193="","",IF(N(H193)=0,"No target",IF(J193&gt;H193,"Over-staffed",IF(J193=H193,"Fully staffed",IF(J193=0,"Unstaffed","Short")))))</f>
        <v/>
      </c>
      <c r="N193" s="24" t="str">
        <f aca="true">IF(OR($A193="",C193=""),"",IF(C193&lt;TODAY(),"Past",IF(C193-TODAY()&lt;=Setup!$H$3,"Upcoming","Later")))</f>
        <v/>
      </c>
      <c r="O193" s="32" t="str">
        <f aca="false">IF($A193="","",IF(C193="",100000,C193)+ROW()/100000)</f>
        <v/>
      </c>
    </row>
    <row r="194" customFormat="false" ht="15" hidden="false" customHeight="false" outlineLevel="0" collapsed="false">
      <c r="C194" s="33"/>
      <c r="D194" s="34"/>
      <c r="E194" s="34"/>
      <c r="I194" s="25" t="str">
        <f aca="false">IF(OR(D194="",E194=""),"",ROUND(MOD(E194-D194,1)*24,2))</f>
        <v/>
      </c>
      <c r="J194" s="30" t="str">
        <f aca="false">IF($A194="","",COUNTIFS(Deployments!$A$2:$A$1001,$A194,Deployments!$D$2:$D$1001,"&lt;&gt;Withdrawn"))</f>
        <v/>
      </c>
      <c r="K194" s="30" t="str">
        <f aca="false">IF($A194="","",MAX(0,N(H194)-J194))</f>
        <v/>
      </c>
      <c r="L194" s="31" t="str">
        <f aca="false">IF(OR($A194="",N(H194)=0),"",J194/H194)</f>
        <v/>
      </c>
      <c r="M194" s="24" t="str">
        <f aca="false">IF($A194="","",IF(N(H194)=0,"No target",IF(J194&gt;H194,"Over-staffed",IF(J194=H194,"Fully staffed",IF(J194=0,"Unstaffed","Short")))))</f>
        <v/>
      </c>
      <c r="N194" s="24" t="str">
        <f aca="true">IF(OR($A194="",C194=""),"",IF(C194&lt;TODAY(),"Past",IF(C194-TODAY()&lt;=Setup!$H$3,"Upcoming","Later")))</f>
        <v/>
      </c>
      <c r="O194" s="32" t="str">
        <f aca="false">IF($A194="","",IF(C194="",100000,C194)+ROW()/100000)</f>
        <v/>
      </c>
    </row>
    <row r="195" customFormat="false" ht="15" hidden="false" customHeight="false" outlineLevel="0" collapsed="false">
      <c r="C195" s="33"/>
      <c r="D195" s="34"/>
      <c r="E195" s="34"/>
      <c r="I195" s="25" t="str">
        <f aca="false">IF(OR(D195="",E195=""),"",ROUND(MOD(E195-D195,1)*24,2))</f>
        <v/>
      </c>
      <c r="J195" s="30" t="str">
        <f aca="false">IF($A195="","",COUNTIFS(Deployments!$A$2:$A$1001,$A195,Deployments!$D$2:$D$1001,"&lt;&gt;Withdrawn"))</f>
        <v/>
      </c>
      <c r="K195" s="30" t="str">
        <f aca="false">IF($A195="","",MAX(0,N(H195)-J195))</f>
        <v/>
      </c>
      <c r="L195" s="31" t="str">
        <f aca="false">IF(OR($A195="",N(H195)=0),"",J195/H195)</f>
        <v/>
      </c>
      <c r="M195" s="24" t="str">
        <f aca="false">IF($A195="","",IF(N(H195)=0,"No target",IF(J195&gt;H195,"Over-staffed",IF(J195=H195,"Fully staffed",IF(J195=0,"Unstaffed","Short")))))</f>
        <v/>
      </c>
      <c r="N195" s="24" t="str">
        <f aca="true">IF(OR($A195="",C195=""),"",IF(C195&lt;TODAY(),"Past",IF(C195-TODAY()&lt;=Setup!$H$3,"Upcoming","Later")))</f>
        <v/>
      </c>
      <c r="O195" s="32" t="str">
        <f aca="false">IF($A195="","",IF(C195="",100000,C195)+ROW()/100000)</f>
        <v/>
      </c>
    </row>
    <row r="196" customFormat="false" ht="15" hidden="false" customHeight="false" outlineLevel="0" collapsed="false">
      <c r="C196" s="33"/>
      <c r="D196" s="34"/>
      <c r="E196" s="34"/>
      <c r="I196" s="25" t="str">
        <f aca="false">IF(OR(D196="",E196=""),"",ROUND(MOD(E196-D196,1)*24,2))</f>
        <v/>
      </c>
      <c r="J196" s="30" t="str">
        <f aca="false">IF($A196="","",COUNTIFS(Deployments!$A$2:$A$1001,$A196,Deployments!$D$2:$D$1001,"&lt;&gt;Withdrawn"))</f>
        <v/>
      </c>
      <c r="K196" s="30" t="str">
        <f aca="false">IF($A196="","",MAX(0,N(H196)-J196))</f>
        <v/>
      </c>
      <c r="L196" s="31" t="str">
        <f aca="false">IF(OR($A196="",N(H196)=0),"",J196/H196)</f>
        <v/>
      </c>
      <c r="M196" s="24" t="str">
        <f aca="false">IF($A196="","",IF(N(H196)=0,"No target",IF(J196&gt;H196,"Over-staffed",IF(J196=H196,"Fully staffed",IF(J196=0,"Unstaffed","Short")))))</f>
        <v/>
      </c>
      <c r="N196" s="24" t="str">
        <f aca="true">IF(OR($A196="",C196=""),"",IF(C196&lt;TODAY(),"Past",IF(C196-TODAY()&lt;=Setup!$H$3,"Upcoming","Later")))</f>
        <v/>
      </c>
      <c r="O196" s="32" t="str">
        <f aca="false">IF($A196="","",IF(C196="",100000,C196)+ROW()/100000)</f>
        <v/>
      </c>
    </row>
    <row r="197" customFormat="false" ht="15" hidden="false" customHeight="false" outlineLevel="0" collapsed="false">
      <c r="C197" s="33"/>
      <c r="D197" s="34"/>
      <c r="E197" s="34"/>
      <c r="I197" s="25" t="str">
        <f aca="false">IF(OR(D197="",E197=""),"",ROUND(MOD(E197-D197,1)*24,2))</f>
        <v/>
      </c>
      <c r="J197" s="30" t="str">
        <f aca="false">IF($A197="","",COUNTIFS(Deployments!$A$2:$A$1001,$A197,Deployments!$D$2:$D$1001,"&lt;&gt;Withdrawn"))</f>
        <v/>
      </c>
      <c r="K197" s="30" t="str">
        <f aca="false">IF($A197="","",MAX(0,N(H197)-J197))</f>
        <v/>
      </c>
      <c r="L197" s="31" t="str">
        <f aca="false">IF(OR($A197="",N(H197)=0),"",J197/H197)</f>
        <v/>
      </c>
      <c r="M197" s="24" t="str">
        <f aca="false">IF($A197="","",IF(N(H197)=0,"No target",IF(J197&gt;H197,"Over-staffed",IF(J197=H197,"Fully staffed",IF(J197=0,"Unstaffed","Short")))))</f>
        <v/>
      </c>
      <c r="N197" s="24" t="str">
        <f aca="true">IF(OR($A197="",C197=""),"",IF(C197&lt;TODAY(),"Past",IF(C197-TODAY()&lt;=Setup!$H$3,"Upcoming","Later")))</f>
        <v/>
      </c>
      <c r="O197" s="32" t="str">
        <f aca="false">IF($A197="","",IF(C197="",100000,C197)+ROW()/100000)</f>
        <v/>
      </c>
    </row>
    <row r="198" customFormat="false" ht="15" hidden="false" customHeight="false" outlineLevel="0" collapsed="false">
      <c r="C198" s="33"/>
      <c r="D198" s="34"/>
      <c r="E198" s="34"/>
      <c r="I198" s="25" t="str">
        <f aca="false">IF(OR(D198="",E198=""),"",ROUND(MOD(E198-D198,1)*24,2))</f>
        <v/>
      </c>
      <c r="J198" s="30" t="str">
        <f aca="false">IF($A198="","",COUNTIFS(Deployments!$A$2:$A$1001,$A198,Deployments!$D$2:$D$1001,"&lt;&gt;Withdrawn"))</f>
        <v/>
      </c>
      <c r="K198" s="30" t="str">
        <f aca="false">IF($A198="","",MAX(0,N(H198)-J198))</f>
        <v/>
      </c>
      <c r="L198" s="31" t="str">
        <f aca="false">IF(OR($A198="",N(H198)=0),"",J198/H198)</f>
        <v/>
      </c>
      <c r="M198" s="24" t="str">
        <f aca="false">IF($A198="","",IF(N(H198)=0,"No target",IF(J198&gt;H198,"Over-staffed",IF(J198=H198,"Fully staffed",IF(J198=0,"Unstaffed","Short")))))</f>
        <v/>
      </c>
      <c r="N198" s="24" t="str">
        <f aca="true">IF(OR($A198="",C198=""),"",IF(C198&lt;TODAY(),"Past",IF(C198-TODAY()&lt;=Setup!$H$3,"Upcoming","Later")))</f>
        <v/>
      </c>
      <c r="O198" s="32" t="str">
        <f aca="false">IF($A198="","",IF(C198="",100000,C198)+ROW()/100000)</f>
        <v/>
      </c>
    </row>
    <row r="199" customFormat="false" ht="15" hidden="false" customHeight="false" outlineLevel="0" collapsed="false">
      <c r="C199" s="33"/>
      <c r="D199" s="34"/>
      <c r="E199" s="34"/>
      <c r="I199" s="25" t="str">
        <f aca="false">IF(OR(D199="",E199=""),"",ROUND(MOD(E199-D199,1)*24,2))</f>
        <v/>
      </c>
      <c r="J199" s="30" t="str">
        <f aca="false">IF($A199="","",COUNTIFS(Deployments!$A$2:$A$1001,$A199,Deployments!$D$2:$D$1001,"&lt;&gt;Withdrawn"))</f>
        <v/>
      </c>
      <c r="K199" s="30" t="str">
        <f aca="false">IF($A199="","",MAX(0,N(H199)-J199))</f>
        <v/>
      </c>
      <c r="L199" s="31" t="str">
        <f aca="false">IF(OR($A199="",N(H199)=0),"",J199/H199)</f>
        <v/>
      </c>
      <c r="M199" s="24" t="str">
        <f aca="false">IF($A199="","",IF(N(H199)=0,"No target",IF(J199&gt;H199,"Over-staffed",IF(J199=H199,"Fully staffed",IF(J199=0,"Unstaffed","Short")))))</f>
        <v/>
      </c>
      <c r="N199" s="24" t="str">
        <f aca="true">IF(OR($A199="",C199=""),"",IF(C199&lt;TODAY(),"Past",IF(C199-TODAY()&lt;=Setup!$H$3,"Upcoming","Later")))</f>
        <v/>
      </c>
      <c r="O199" s="32" t="str">
        <f aca="false">IF($A199="","",IF(C199="",100000,C199)+ROW()/100000)</f>
        <v/>
      </c>
    </row>
    <row r="200" customFormat="false" ht="15" hidden="false" customHeight="false" outlineLevel="0" collapsed="false">
      <c r="C200" s="33"/>
      <c r="D200" s="34"/>
      <c r="E200" s="34"/>
      <c r="I200" s="25" t="str">
        <f aca="false">IF(OR(D200="",E200=""),"",ROUND(MOD(E200-D200,1)*24,2))</f>
        <v/>
      </c>
      <c r="J200" s="30" t="str">
        <f aca="false">IF($A200="","",COUNTIFS(Deployments!$A$2:$A$1001,$A200,Deployments!$D$2:$D$1001,"&lt;&gt;Withdrawn"))</f>
        <v/>
      </c>
      <c r="K200" s="30" t="str">
        <f aca="false">IF($A200="","",MAX(0,N(H200)-J200))</f>
        <v/>
      </c>
      <c r="L200" s="31" t="str">
        <f aca="false">IF(OR($A200="",N(H200)=0),"",J200/H200)</f>
        <v/>
      </c>
      <c r="M200" s="24" t="str">
        <f aca="false">IF($A200="","",IF(N(H200)=0,"No target",IF(J200&gt;H200,"Over-staffed",IF(J200=H200,"Fully staffed",IF(J200=0,"Unstaffed","Short")))))</f>
        <v/>
      </c>
      <c r="N200" s="24" t="str">
        <f aca="true">IF(OR($A200="",C200=""),"",IF(C200&lt;TODAY(),"Past",IF(C200-TODAY()&lt;=Setup!$H$3,"Upcoming","Later")))</f>
        <v/>
      </c>
      <c r="O200" s="32" t="str">
        <f aca="false">IF($A200="","",IF(C200="",100000,C200)+ROW()/100000)</f>
        <v/>
      </c>
    </row>
    <row r="201" customFormat="false" ht="15" hidden="false" customHeight="false" outlineLevel="0" collapsed="false">
      <c r="C201" s="33"/>
      <c r="D201" s="34"/>
      <c r="E201" s="34"/>
      <c r="I201" s="25" t="str">
        <f aca="false">IF(OR(D201="",E201=""),"",ROUND(MOD(E201-D201,1)*24,2))</f>
        <v/>
      </c>
      <c r="J201" s="30" t="str">
        <f aca="false">IF($A201="","",COUNTIFS(Deployments!$A$2:$A$1001,$A201,Deployments!$D$2:$D$1001,"&lt;&gt;Withdrawn"))</f>
        <v/>
      </c>
      <c r="K201" s="30" t="str">
        <f aca="false">IF($A201="","",MAX(0,N(H201)-J201))</f>
        <v/>
      </c>
      <c r="L201" s="31" t="str">
        <f aca="false">IF(OR($A201="",N(H201)=0),"",J201/H201)</f>
        <v/>
      </c>
      <c r="M201" s="24" t="str">
        <f aca="false">IF($A201="","",IF(N(H201)=0,"No target",IF(J201&gt;H201,"Over-staffed",IF(J201=H201,"Fully staffed",IF(J201=0,"Unstaffed","Short")))))</f>
        <v/>
      </c>
      <c r="N201" s="24" t="str">
        <f aca="true">IF(OR($A201="",C201=""),"",IF(C201&lt;TODAY(),"Past",IF(C201-TODAY()&lt;=Setup!$H$3,"Upcoming","Later")))</f>
        <v/>
      </c>
      <c r="O201" s="32" t="str">
        <f aca="false">IF($A201="","",IF(C201="",100000,C201)+ROW()/100000)</f>
        <v/>
      </c>
    </row>
  </sheetData>
  <autoFilter ref="A1:N201"/>
  <conditionalFormatting sqref="M2:M201">
    <cfRule type="cellIs" priority="2" operator="equal" aboveAverage="0" equalAverage="0" bottom="0" percent="0" rank="0" text="" dxfId="4">
      <formula>"Fully staffed"</formula>
    </cfRule>
    <cfRule type="cellIs" priority="3" operator="equal" aboveAverage="0" equalAverage="0" bottom="0" percent="0" rank="0" text="" dxfId="2">
      <formula>"Short"</formula>
    </cfRule>
    <cfRule type="cellIs" priority="4" operator="equal" aboveAverage="0" equalAverage="0" bottom="0" percent="0" rank="0" text="" dxfId="5">
      <formula>"Unstaffed"</formula>
    </cfRule>
    <cfRule type="cellIs" priority="5" operator="equal" aboveAverage="0" equalAverage="0" bottom="0" percent="0" rank="0" text="" dxfId="6">
      <formula>"Over-staffed"</formula>
    </cfRule>
  </conditionalFormatting>
  <conditionalFormatting sqref="L2:L201">
    <cfRule type="dataBar" priority="6">
      <dataBar showValue="1" minLength="10" maxLength="90">
        <cfvo type="num" val="0"/>
        <cfvo type="num" val="1"/>
        <color rgb="FF5B8DEF"/>
      </dataBar>
      <extLst>
        <ext xmlns:x14="http://schemas.microsoft.com/office/spreadsheetml/2009/9/main" uri="{B025F937-C7B1-47D3-B67F-A62EFF666E3E}">
          <x14:id>{DDB01D50-E01F-4CCB-8B22-A3A765F8684A}</x14:id>
        </ext>
      </extLst>
    </cfRule>
  </conditionalFormatting>
  <conditionalFormatting sqref="A2:A201">
    <cfRule type="expression" priority="7" aboveAverage="0" equalAverage="0" bottom="0" percent="0" rank="0" text="" dxfId="5">
      <formula>AND($A2&lt;&gt;"",COUNTIF($A$2:$A$201,$A2)&gt;1)</formula>
    </cfRule>
  </conditionalFormatting>
  <dataValidations count="3">
    <dataValidation allowBlank="true" error="Choose a value from the dropdown." errorStyle="stop" errorTitle="Pick from the list" operator="between" showDropDown="false" showErrorMessage="true" showInputMessage="false" sqref="B2:B201" type="list">
      <formula1>Setup!$A$2:$A$60</formula1>
      <formula2>0</formula2>
    </dataValidation>
    <dataValidation allowBlank="true" error="Enter a date, e.g. 16/10/2026." errorStyle="stop" operator="greaterThan" showDropDown="false" showErrorMessage="true" showInputMessage="false" sqref="C2:C201" type="date">
      <formula1>36526</formula1>
      <formula2>0</formula2>
    </dataValidation>
    <dataValidation allowBlank="true" error="Enter a whole number of leaders." errorStyle="stop" operator="between" showDropDown="false" showErrorMessage="true" showInputMessage="false" sqref="H2:H201" type="whole">
      <formula1>0</formula1>
      <formula2>500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DDB01D50-E01F-4CCB-8B22-A3A765F8684A}">
            <x14:dataBar minLength="10" maxLength="90" axisPosition="none" gradient="true">
              <x14:cfvo type="num">
                <xm:f>0</xm:f>
              </x14:cfvo>
              <x14:cfvo type="num">
                <xm:f>1</xm:f>
              </x14:cfvo>
              <x14:negativeFillColor rgb="FF5B8DEF"/>
              <x14:axisColor rgb="FF000000"/>
            </x14:dataBar>
          </x14:cfRule>
          <xm:sqref>L2:L201</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5BDB"/>
    <pageSetUpPr fitToPage="false"/>
  </sheetPr>
  <dimension ref="A1:K3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13"/>
    <col collapsed="false" customWidth="true" hidden="false" outlineLevel="0" max="4" min="4" style="0" width="20"/>
    <col collapsed="false" customWidth="true" hidden="false" outlineLevel="0" max="5" min="5" style="0" width="26"/>
    <col collapsed="false" customWidth="true" hidden="false" outlineLevel="0" max="7" min="6" style="0" width="13"/>
    <col collapsed="false" customWidth="true" hidden="false" outlineLevel="0" max="8" min="8" style="0" width="15"/>
    <col collapsed="false" customWidth="true" hidden="false" outlineLevel="0" max="9" min="9" style="0" width="14"/>
    <col collapsed="false" customWidth="true" hidden="false" outlineLevel="0" max="11" min="10" style="0" width="11"/>
  </cols>
  <sheetData>
    <row r="1" customFormat="false" ht="30" hidden="false" customHeight="true" outlineLevel="0" collapsed="false">
      <c r="A1" s="19" t="s">
        <v>68</v>
      </c>
      <c r="B1" s="19" t="s">
        <v>69</v>
      </c>
      <c r="C1" s="19" t="s">
        <v>47</v>
      </c>
      <c r="D1" s="19" t="s">
        <v>70</v>
      </c>
      <c r="E1" s="19" t="s">
        <v>71</v>
      </c>
      <c r="F1" s="20" t="s">
        <v>17</v>
      </c>
      <c r="G1" s="20" t="s">
        <v>72</v>
      </c>
      <c r="H1" s="20" t="s">
        <v>73</v>
      </c>
      <c r="I1" s="20" t="s">
        <v>74</v>
      </c>
      <c r="J1" s="20" t="s">
        <v>75</v>
      </c>
      <c r="K1" s="20" t="s">
        <v>76</v>
      </c>
    </row>
    <row r="2" customFormat="false" ht="15" hidden="false" customHeight="false" outlineLevel="0" collapsed="false">
      <c r="A2" s="21" t="s">
        <v>52</v>
      </c>
      <c r="B2" s="21" t="s">
        <v>77</v>
      </c>
      <c r="C2" s="21" t="s">
        <v>78</v>
      </c>
      <c r="D2" s="21" t="s">
        <v>79</v>
      </c>
      <c r="E2" s="21"/>
      <c r="F2" s="30" t="n">
        <f aca="false">IF($A2="","",COUNTIFS(Deployments!$B$2:$B$1001,$A2,Deployments!$D$2:$D$1001,"&lt;&gt;Withdrawn"))</f>
        <v>1</v>
      </c>
      <c r="G2" s="25" t="n">
        <f aca="false">IF($A2="","",SUMIFS(Deployments!$K$2:$K$1001,Deployments!$B$2:$B$1001,$A2))</f>
        <v>3.5</v>
      </c>
      <c r="H2" s="23" t="n">
        <f aca="false">IF(N(F2)=0,"",IF(_xlfn.MAXIFS(Deployments!$G$2:$G$1001,Deployments!$B$2:$B$1001,$A2,Deployments!$D$2:$D$1001,"&lt;&gt;Withdrawn")=0,"",_xlfn.MAXIFS(Deployments!$G$2:$G$1001,Deployments!$B$2:$B$1001,$A2,Deployments!$D$2:$D$1001,"&lt;&gt;Withdrawn")))</f>
        <v>46311</v>
      </c>
      <c r="I2" s="24" t="str">
        <f aca="false">IF($A2="","",IF(F2=0,"Not deployed",IF(F2&gt;=Setup!$H$2,"High load","Deployed")))</f>
        <v>Deployed</v>
      </c>
      <c r="J2" s="35" t="n">
        <f aca="false">IF(N(F2)=0,"",F2+MIN(G2,999)/1000+(1000-ROW())/10000000)</f>
        <v>1.0035998</v>
      </c>
      <c r="K2" s="30" t="str">
        <f aca="false">IF(I2="Not deployed",COUNTIF($I$2:I2,"Not deployed"),"")</f>
        <v/>
      </c>
    </row>
    <row r="3" customFormat="false" ht="15" hidden="false" customHeight="false" outlineLevel="0" collapsed="false">
      <c r="F3" s="30" t="str">
        <f aca="false">IF($A3="","",COUNTIFS(Deployments!$B$2:$B$1001,$A3,Deployments!$D$2:$D$1001,"&lt;&gt;Withdrawn"))</f>
        <v/>
      </c>
      <c r="G3" s="25" t="str">
        <f aca="false">IF($A3="","",SUMIFS(Deployments!$K$2:$K$1001,Deployments!$B$2:$B$1001,$A3))</f>
        <v/>
      </c>
      <c r="H3" s="23" t="str">
        <f aca="false">IF(N(F3)=0,"",IF(_xlfn.MAXIFS(Deployments!$G$2:$G$1001,Deployments!$B$2:$B$1001,$A3,Deployments!$D$2:$D$1001,"&lt;&gt;Withdrawn")=0,"",_xlfn.MAXIFS(Deployments!$G$2:$G$1001,Deployments!$B$2:$B$1001,$A3,Deployments!$D$2:$D$1001,"&lt;&gt;Withdrawn")))</f>
        <v/>
      </c>
      <c r="I3" s="24" t="str">
        <f aca="false">IF($A3="","",IF(F3=0,"Not deployed",IF(F3&gt;=Setup!$H$2,"High load","Deployed")))</f>
        <v/>
      </c>
      <c r="J3" s="35" t="str">
        <f aca="false">IF(N(F3)=0,"",F3+MIN(G3,999)/1000+(1000-ROW())/10000000)</f>
        <v/>
      </c>
      <c r="K3" s="30" t="str">
        <f aca="false">IF(I3="Not deployed",COUNTIF($I$2:I3,"Not deployed"),"")</f>
        <v/>
      </c>
    </row>
    <row r="4" customFormat="false" ht="15" hidden="false" customHeight="false" outlineLevel="0" collapsed="false">
      <c r="F4" s="30" t="str">
        <f aca="false">IF($A4="","",COUNTIFS(Deployments!$B$2:$B$1001,$A4,Deployments!$D$2:$D$1001,"&lt;&gt;Withdrawn"))</f>
        <v/>
      </c>
      <c r="G4" s="25" t="str">
        <f aca="false">IF($A4="","",SUMIFS(Deployments!$K$2:$K$1001,Deployments!$B$2:$B$1001,$A4))</f>
        <v/>
      </c>
      <c r="H4" s="23" t="str">
        <f aca="false">IF(N(F4)=0,"",IF(_xlfn.MAXIFS(Deployments!$G$2:$G$1001,Deployments!$B$2:$B$1001,$A4,Deployments!$D$2:$D$1001,"&lt;&gt;Withdrawn")=0,"",_xlfn.MAXIFS(Deployments!$G$2:$G$1001,Deployments!$B$2:$B$1001,$A4,Deployments!$D$2:$D$1001,"&lt;&gt;Withdrawn")))</f>
        <v/>
      </c>
      <c r="I4" s="24" t="str">
        <f aca="false">IF($A4="","",IF(F4=0,"Not deployed",IF(F4&gt;=Setup!$H$2,"High load","Deployed")))</f>
        <v/>
      </c>
      <c r="J4" s="35" t="str">
        <f aca="false">IF(N(F4)=0,"",F4+MIN(G4,999)/1000+(1000-ROW())/10000000)</f>
        <v/>
      </c>
      <c r="K4" s="30" t="str">
        <f aca="false">IF(I4="Not deployed",COUNTIF($I$2:I4,"Not deployed"),"")</f>
        <v/>
      </c>
    </row>
    <row r="5" customFormat="false" ht="15" hidden="false" customHeight="false" outlineLevel="0" collapsed="false">
      <c r="F5" s="30" t="str">
        <f aca="false">IF($A5="","",COUNTIFS(Deployments!$B$2:$B$1001,$A5,Deployments!$D$2:$D$1001,"&lt;&gt;Withdrawn"))</f>
        <v/>
      </c>
      <c r="G5" s="25" t="str">
        <f aca="false">IF($A5="","",SUMIFS(Deployments!$K$2:$K$1001,Deployments!$B$2:$B$1001,$A5))</f>
        <v/>
      </c>
      <c r="H5" s="23" t="str">
        <f aca="false">IF(N(F5)=0,"",IF(_xlfn.MAXIFS(Deployments!$G$2:$G$1001,Deployments!$B$2:$B$1001,$A5,Deployments!$D$2:$D$1001,"&lt;&gt;Withdrawn")=0,"",_xlfn.MAXIFS(Deployments!$G$2:$G$1001,Deployments!$B$2:$B$1001,$A5,Deployments!$D$2:$D$1001,"&lt;&gt;Withdrawn")))</f>
        <v/>
      </c>
      <c r="I5" s="24" t="str">
        <f aca="false">IF($A5="","",IF(F5=0,"Not deployed",IF(F5&gt;=Setup!$H$2,"High load","Deployed")))</f>
        <v/>
      </c>
      <c r="J5" s="35" t="str">
        <f aca="false">IF(N(F5)=0,"",F5+MIN(G5,999)/1000+(1000-ROW())/10000000)</f>
        <v/>
      </c>
      <c r="K5" s="30" t="str">
        <f aca="false">IF(I5="Not deployed",COUNTIF($I$2:I5,"Not deployed"),"")</f>
        <v/>
      </c>
    </row>
    <row r="6" customFormat="false" ht="15" hidden="false" customHeight="false" outlineLevel="0" collapsed="false">
      <c r="F6" s="30" t="str">
        <f aca="false">IF($A6="","",COUNTIFS(Deployments!$B$2:$B$1001,$A6,Deployments!$D$2:$D$1001,"&lt;&gt;Withdrawn"))</f>
        <v/>
      </c>
      <c r="G6" s="25" t="str">
        <f aca="false">IF($A6="","",SUMIFS(Deployments!$K$2:$K$1001,Deployments!$B$2:$B$1001,$A6))</f>
        <v/>
      </c>
      <c r="H6" s="23" t="str">
        <f aca="false">IF(N(F6)=0,"",IF(_xlfn.MAXIFS(Deployments!$G$2:$G$1001,Deployments!$B$2:$B$1001,$A6,Deployments!$D$2:$D$1001,"&lt;&gt;Withdrawn")=0,"",_xlfn.MAXIFS(Deployments!$G$2:$G$1001,Deployments!$B$2:$B$1001,$A6,Deployments!$D$2:$D$1001,"&lt;&gt;Withdrawn")))</f>
        <v/>
      </c>
      <c r="I6" s="24" t="str">
        <f aca="false">IF($A6="","",IF(F6=0,"Not deployed",IF(F6&gt;=Setup!$H$2,"High load","Deployed")))</f>
        <v/>
      </c>
      <c r="J6" s="35" t="str">
        <f aca="false">IF(N(F6)=0,"",F6+MIN(G6,999)/1000+(1000-ROW())/10000000)</f>
        <v/>
      </c>
      <c r="K6" s="30" t="str">
        <f aca="false">IF(I6="Not deployed",COUNTIF($I$2:I6,"Not deployed"),"")</f>
        <v/>
      </c>
    </row>
    <row r="7" customFormat="false" ht="15" hidden="false" customHeight="false" outlineLevel="0" collapsed="false">
      <c r="F7" s="30" t="str">
        <f aca="false">IF($A7="","",COUNTIFS(Deployments!$B$2:$B$1001,$A7,Deployments!$D$2:$D$1001,"&lt;&gt;Withdrawn"))</f>
        <v/>
      </c>
      <c r="G7" s="25" t="str">
        <f aca="false">IF($A7="","",SUMIFS(Deployments!$K$2:$K$1001,Deployments!$B$2:$B$1001,$A7))</f>
        <v/>
      </c>
      <c r="H7" s="23" t="str">
        <f aca="false">IF(N(F7)=0,"",IF(_xlfn.MAXIFS(Deployments!$G$2:$G$1001,Deployments!$B$2:$B$1001,$A7,Deployments!$D$2:$D$1001,"&lt;&gt;Withdrawn")=0,"",_xlfn.MAXIFS(Deployments!$G$2:$G$1001,Deployments!$B$2:$B$1001,$A7,Deployments!$D$2:$D$1001,"&lt;&gt;Withdrawn")))</f>
        <v/>
      </c>
      <c r="I7" s="24" t="str">
        <f aca="false">IF($A7="","",IF(F7=0,"Not deployed",IF(F7&gt;=Setup!$H$2,"High load","Deployed")))</f>
        <v/>
      </c>
      <c r="J7" s="35" t="str">
        <f aca="false">IF(N(F7)=0,"",F7+MIN(G7,999)/1000+(1000-ROW())/10000000)</f>
        <v/>
      </c>
      <c r="K7" s="30" t="str">
        <f aca="false">IF(I7="Not deployed",COUNTIF($I$2:I7,"Not deployed"),"")</f>
        <v/>
      </c>
    </row>
    <row r="8" customFormat="false" ht="15" hidden="false" customHeight="false" outlineLevel="0" collapsed="false">
      <c r="F8" s="30" t="str">
        <f aca="false">IF($A8="","",COUNTIFS(Deployments!$B$2:$B$1001,$A8,Deployments!$D$2:$D$1001,"&lt;&gt;Withdrawn"))</f>
        <v/>
      </c>
      <c r="G8" s="25" t="str">
        <f aca="false">IF($A8="","",SUMIFS(Deployments!$K$2:$K$1001,Deployments!$B$2:$B$1001,$A8))</f>
        <v/>
      </c>
      <c r="H8" s="23" t="str">
        <f aca="false">IF(N(F8)=0,"",IF(_xlfn.MAXIFS(Deployments!$G$2:$G$1001,Deployments!$B$2:$B$1001,$A8,Deployments!$D$2:$D$1001,"&lt;&gt;Withdrawn")=0,"",_xlfn.MAXIFS(Deployments!$G$2:$G$1001,Deployments!$B$2:$B$1001,$A8,Deployments!$D$2:$D$1001,"&lt;&gt;Withdrawn")))</f>
        <v/>
      </c>
      <c r="I8" s="24" t="str">
        <f aca="false">IF($A8="","",IF(F8=0,"Not deployed",IF(F8&gt;=Setup!$H$2,"High load","Deployed")))</f>
        <v/>
      </c>
      <c r="J8" s="35" t="str">
        <f aca="false">IF(N(F8)=0,"",F8+MIN(G8,999)/1000+(1000-ROW())/10000000)</f>
        <v/>
      </c>
      <c r="K8" s="30" t="str">
        <f aca="false">IF(I8="Not deployed",COUNTIF($I$2:I8,"Not deployed"),"")</f>
        <v/>
      </c>
    </row>
    <row r="9" customFormat="false" ht="15" hidden="false" customHeight="false" outlineLevel="0" collapsed="false">
      <c r="F9" s="30" t="str">
        <f aca="false">IF($A9="","",COUNTIFS(Deployments!$B$2:$B$1001,$A9,Deployments!$D$2:$D$1001,"&lt;&gt;Withdrawn"))</f>
        <v/>
      </c>
      <c r="G9" s="25" t="str">
        <f aca="false">IF($A9="","",SUMIFS(Deployments!$K$2:$K$1001,Deployments!$B$2:$B$1001,$A9))</f>
        <v/>
      </c>
      <c r="H9" s="23" t="str">
        <f aca="false">IF(N(F9)=0,"",IF(_xlfn.MAXIFS(Deployments!$G$2:$G$1001,Deployments!$B$2:$B$1001,$A9,Deployments!$D$2:$D$1001,"&lt;&gt;Withdrawn")=0,"",_xlfn.MAXIFS(Deployments!$G$2:$G$1001,Deployments!$B$2:$B$1001,$A9,Deployments!$D$2:$D$1001,"&lt;&gt;Withdrawn")))</f>
        <v/>
      </c>
      <c r="I9" s="24" t="str">
        <f aca="false">IF($A9="","",IF(F9=0,"Not deployed",IF(F9&gt;=Setup!$H$2,"High load","Deployed")))</f>
        <v/>
      </c>
      <c r="J9" s="35" t="str">
        <f aca="false">IF(N(F9)=0,"",F9+MIN(G9,999)/1000+(1000-ROW())/10000000)</f>
        <v/>
      </c>
      <c r="K9" s="30" t="str">
        <f aca="false">IF(I9="Not deployed",COUNTIF($I$2:I9,"Not deployed"),"")</f>
        <v/>
      </c>
    </row>
    <row r="10" customFormat="false" ht="15" hidden="false" customHeight="false" outlineLevel="0" collapsed="false">
      <c r="F10" s="30" t="str">
        <f aca="false">IF($A10="","",COUNTIFS(Deployments!$B$2:$B$1001,$A10,Deployments!$D$2:$D$1001,"&lt;&gt;Withdrawn"))</f>
        <v/>
      </c>
      <c r="G10" s="25" t="str">
        <f aca="false">IF($A10="","",SUMIFS(Deployments!$K$2:$K$1001,Deployments!$B$2:$B$1001,$A10))</f>
        <v/>
      </c>
      <c r="H10" s="23" t="str">
        <f aca="false">IF(N(F10)=0,"",IF(_xlfn.MAXIFS(Deployments!$G$2:$G$1001,Deployments!$B$2:$B$1001,$A10,Deployments!$D$2:$D$1001,"&lt;&gt;Withdrawn")=0,"",_xlfn.MAXIFS(Deployments!$G$2:$G$1001,Deployments!$B$2:$B$1001,$A10,Deployments!$D$2:$D$1001,"&lt;&gt;Withdrawn")))</f>
        <v/>
      </c>
      <c r="I10" s="24" t="str">
        <f aca="false">IF($A10="","",IF(F10=0,"Not deployed",IF(F10&gt;=Setup!$H$2,"High load","Deployed")))</f>
        <v/>
      </c>
      <c r="J10" s="35" t="str">
        <f aca="false">IF(N(F10)=0,"",F10+MIN(G10,999)/1000+(1000-ROW())/10000000)</f>
        <v/>
      </c>
      <c r="K10" s="30" t="str">
        <f aca="false">IF(I10="Not deployed",COUNTIF($I$2:I10,"Not deployed"),"")</f>
        <v/>
      </c>
    </row>
    <row r="11" customFormat="false" ht="15" hidden="false" customHeight="false" outlineLevel="0" collapsed="false">
      <c r="F11" s="30" t="str">
        <f aca="false">IF($A11="","",COUNTIFS(Deployments!$B$2:$B$1001,$A11,Deployments!$D$2:$D$1001,"&lt;&gt;Withdrawn"))</f>
        <v/>
      </c>
      <c r="G11" s="25" t="str">
        <f aca="false">IF($A11="","",SUMIFS(Deployments!$K$2:$K$1001,Deployments!$B$2:$B$1001,$A11))</f>
        <v/>
      </c>
      <c r="H11" s="23" t="str">
        <f aca="false">IF(N(F11)=0,"",IF(_xlfn.MAXIFS(Deployments!$G$2:$G$1001,Deployments!$B$2:$B$1001,$A11,Deployments!$D$2:$D$1001,"&lt;&gt;Withdrawn")=0,"",_xlfn.MAXIFS(Deployments!$G$2:$G$1001,Deployments!$B$2:$B$1001,$A11,Deployments!$D$2:$D$1001,"&lt;&gt;Withdrawn")))</f>
        <v/>
      </c>
      <c r="I11" s="24" t="str">
        <f aca="false">IF($A11="","",IF(F11=0,"Not deployed",IF(F11&gt;=Setup!$H$2,"High load","Deployed")))</f>
        <v/>
      </c>
      <c r="J11" s="35" t="str">
        <f aca="false">IF(N(F11)=0,"",F11+MIN(G11,999)/1000+(1000-ROW())/10000000)</f>
        <v/>
      </c>
      <c r="K11" s="30" t="str">
        <f aca="false">IF(I11="Not deployed",COUNTIF($I$2:I11,"Not deployed"),"")</f>
        <v/>
      </c>
    </row>
    <row r="12" customFormat="false" ht="15" hidden="false" customHeight="false" outlineLevel="0" collapsed="false">
      <c r="F12" s="30" t="str">
        <f aca="false">IF($A12="","",COUNTIFS(Deployments!$B$2:$B$1001,$A12,Deployments!$D$2:$D$1001,"&lt;&gt;Withdrawn"))</f>
        <v/>
      </c>
      <c r="G12" s="25" t="str">
        <f aca="false">IF($A12="","",SUMIFS(Deployments!$K$2:$K$1001,Deployments!$B$2:$B$1001,$A12))</f>
        <v/>
      </c>
      <c r="H12" s="23" t="str">
        <f aca="false">IF(N(F12)=0,"",IF(_xlfn.MAXIFS(Deployments!$G$2:$G$1001,Deployments!$B$2:$B$1001,$A12,Deployments!$D$2:$D$1001,"&lt;&gt;Withdrawn")=0,"",_xlfn.MAXIFS(Deployments!$G$2:$G$1001,Deployments!$B$2:$B$1001,$A12,Deployments!$D$2:$D$1001,"&lt;&gt;Withdrawn")))</f>
        <v/>
      </c>
      <c r="I12" s="24" t="str">
        <f aca="false">IF($A12="","",IF(F12=0,"Not deployed",IF(F12&gt;=Setup!$H$2,"High load","Deployed")))</f>
        <v/>
      </c>
      <c r="J12" s="35" t="str">
        <f aca="false">IF(N(F12)=0,"",F12+MIN(G12,999)/1000+(1000-ROW())/10000000)</f>
        <v/>
      </c>
      <c r="K12" s="30" t="str">
        <f aca="false">IF(I12="Not deployed",COUNTIF($I$2:I12,"Not deployed"),"")</f>
        <v/>
      </c>
    </row>
    <row r="13" customFormat="false" ht="15" hidden="false" customHeight="false" outlineLevel="0" collapsed="false">
      <c r="F13" s="30" t="str">
        <f aca="false">IF($A13="","",COUNTIFS(Deployments!$B$2:$B$1001,$A13,Deployments!$D$2:$D$1001,"&lt;&gt;Withdrawn"))</f>
        <v/>
      </c>
      <c r="G13" s="25" t="str">
        <f aca="false">IF($A13="","",SUMIFS(Deployments!$K$2:$K$1001,Deployments!$B$2:$B$1001,$A13))</f>
        <v/>
      </c>
      <c r="H13" s="23" t="str">
        <f aca="false">IF(N(F13)=0,"",IF(_xlfn.MAXIFS(Deployments!$G$2:$G$1001,Deployments!$B$2:$B$1001,$A13,Deployments!$D$2:$D$1001,"&lt;&gt;Withdrawn")=0,"",_xlfn.MAXIFS(Deployments!$G$2:$G$1001,Deployments!$B$2:$B$1001,$A13,Deployments!$D$2:$D$1001,"&lt;&gt;Withdrawn")))</f>
        <v/>
      </c>
      <c r="I13" s="24" t="str">
        <f aca="false">IF($A13="","",IF(F13=0,"Not deployed",IF(F13&gt;=Setup!$H$2,"High load","Deployed")))</f>
        <v/>
      </c>
      <c r="J13" s="35" t="str">
        <f aca="false">IF(N(F13)=0,"",F13+MIN(G13,999)/1000+(1000-ROW())/10000000)</f>
        <v/>
      </c>
      <c r="K13" s="30" t="str">
        <f aca="false">IF(I13="Not deployed",COUNTIF($I$2:I13,"Not deployed"),"")</f>
        <v/>
      </c>
    </row>
    <row r="14" customFormat="false" ht="15" hidden="false" customHeight="false" outlineLevel="0" collapsed="false">
      <c r="F14" s="30" t="str">
        <f aca="false">IF($A14="","",COUNTIFS(Deployments!$B$2:$B$1001,$A14,Deployments!$D$2:$D$1001,"&lt;&gt;Withdrawn"))</f>
        <v/>
      </c>
      <c r="G14" s="25" t="str">
        <f aca="false">IF($A14="","",SUMIFS(Deployments!$K$2:$K$1001,Deployments!$B$2:$B$1001,$A14))</f>
        <v/>
      </c>
      <c r="H14" s="23" t="str">
        <f aca="false">IF(N(F14)=0,"",IF(_xlfn.MAXIFS(Deployments!$G$2:$G$1001,Deployments!$B$2:$B$1001,$A14,Deployments!$D$2:$D$1001,"&lt;&gt;Withdrawn")=0,"",_xlfn.MAXIFS(Deployments!$G$2:$G$1001,Deployments!$B$2:$B$1001,$A14,Deployments!$D$2:$D$1001,"&lt;&gt;Withdrawn")))</f>
        <v/>
      </c>
      <c r="I14" s="24" t="str">
        <f aca="false">IF($A14="","",IF(F14=0,"Not deployed",IF(F14&gt;=Setup!$H$2,"High load","Deployed")))</f>
        <v/>
      </c>
      <c r="J14" s="35" t="str">
        <f aca="false">IF(N(F14)=0,"",F14+MIN(G14,999)/1000+(1000-ROW())/10000000)</f>
        <v/>
      </c>
      <c r="K14" s="30" t="str">
        <f aca="false">IF(I14="Not deployed",COUNTIF($I$2:I14,"Not deployed"),"")</f>
        <v/>
      </c>
    </row>
    <row r="15" customFormat="false" ht="15" hidden="false" customHeight="false" outlineLevel="0" collapsed="false">
      <c r="F15" s="30" t="str">
        <f aca="false">IF($A15="","",COUNTIFS(Deployments!$B$2:$B$1001,$A15,Deployments!$D$2:$D$1001,"&lt;&gt;Withdrawn"))</f>
        <v/>
      </c>
      <c r="G15" s="25" t="str">
        <f aca="false">IF($A15="","",SUMIFS(Deployments!$K$2:$K$1001,Deployments!$B$2:$B$1001,$A15))</f>
        <v/>
      </c>
      <c r="H15" s="23" t="str">
        <f aca="false">IF(N(F15)=0,"",IF(_xlfn.MAXIFS(Deployments!$G$2:$G$1001,Deployments!$B$2:$B$1001,$A15,Deployments!$D$2:$D$1001,"&lt;&gt;Withdrawn")=0,"",_xlfn.MAXIFS(Deployments!$G$2:$G$1001,Deployments!$B$2:$B$1001,$A15,Deployments!$D$2:$D$1001,"&lt;&gt;Withdrawn")))</f>
        <v/>
      </c>
      <c r="I15" s="24" t="str">
        <f aca="false">IF($A15="","",IF(F15=0,"Not deployed",IF(F15&gt;=Setup!$H$2,"High load","Deployed")))</f>
        <v/>
      </c>
      <c r="J15" s="35" t="str">
        <f aca="false">IF(N(F15)=0,"",F15+MIN(G15,999)/1000+(1000-ROW())/10000000)</f>
        <v/>
      </c>
      <c r="K15" s="30" t="str">
        <f aca="false">IF(I15="Not deployed",COUNTIF($I$2:I15,"Not deployed"),"")</f>
        <v/>
      </c>
    </row>
    <row r="16" customFormat="false" ht="15" hidden="false" customHeight="false" outlineLevel="0" collapsed="false">
      <c r="F16" s="30" t="str">
        <f aca="false">IF($A16="","",COUNTIFS(Deployments!$B$2:$B$1001,$A16,Deployments!$D$2:$D$1001,"&lt;&gt;Withdrawn"))</f>
        <v/>
      </c>
      <c r="G16" s="25" t="str">
        <f aca="false">IF($A16="","",SUMIFS(Deployments!$K$2:$K$1001,Deployments!$B$2:$B$1001,$A16))</f>
        <v/>
      </c>
      <c r="H16" s="23" t="str">
        <f aca="false">IF(N(F16)=0,"",IF(_xlfn.MAXIFS(Deployments!$G$2:$G$1001,Deployments!$B$2:$B$1001,$A16,Deployments!$D$2:$D$1001,"&lt;&gt;Withdrawn")=0,"",_xlfn.MAXIFS(Deployments!$G$2:$G$1001,Deployments!$B$2:$B$1001,$A16,Deployments!$D$2:$D$1001,"&lt;&gt;Withdrawn")))</f>
        <v/>
      </c>
      <c r="I16" s="24" t="str">
        <f aca="false">IF($A16="","",IF(F16=0,"Not deployed",IF(F16&gt;=Setup!$H$2,"High load","Deployed")))</f>
        <v/>
      </c>
      <c r="J16" s="35" t="str">
        <f aca="false">IF(N(F16)=0,"",F16+MIN(G16,999)/1000+(1000-ROW())/10000000)</f>
        <v/>
      </c>
      <c r="K16" s="30" t="str">
        <f aca="false">IF(I16="Not deployed",COUNTIF($I$2:I16,"Not deployed"),"")</f>
        <v/>
      </c>
    </row>
    <row r="17" customFormat="false" ht="15" hidden="false" customHeight="false" outlineLevel="0" collapsed="false">
      <c r="F17" s="30" t="str">
        <f aca="false">IF($A17="","",COUNTIFS(Deployments!$B$2:$B$1001,$A17,Deployments!$D$2:$D$1001,"&lt;&gt;Withdrawn"))</f>
        <v/>
      </c>
      <c r="G17" s="25" t="str">
        <f aca="false">IF($A17="","",SUMIFS(Deployments!$K$2:$K$1001,Deployments!$B$2:$B$1001,$A17))</f>
        <v/>
      </c>
      <c r="H17" s="23" t="str">
        <f aca="false">IF(N(F17)=0,"",IF(_xlfn.MAXIFS(Deployments!$G$2:$G$1001,Deployments!$B$2:$B$1001,$A17,Deployments!$D$2:$D$1001,"&lt;&gt;Withdrawn")=0,"",_xlfn.MAXIFS(Deployments!$G$2:$G$1001,Deployments!$B$2:$B$1001,$A17,Deployments!$D$2:$D$1001,"&lt;&gt;Withdrawn")))</f>
        <v/>
      </c>
      <c r="I17" s="24" t="str">
        <f aca="false">IF($A17="","",IF(F17=0,"Not deployed",IF(F17&gt;=Setup!$H$2,"High load","Deployed")))</f>
        <v/>
      </c>
      <c r="J17" s="35" t="str">
        <f aca="false">IF(N(F17)=0,"",F17+MIN(G17,999)/1000+(1000-ROW())/10000000)</f>
        <v/>
      </c>
      <c r="K17" s="30" t="str">
        <f aca="false">IF(I17="Not deployed",COUNTIF($I$2:I17,"Not deployed"),"")</f>
        <v/>
      </c>
    </row>
    <row r="18" customFormat="false" ht="15" hidden="false" customHeight="false" outlineLevel="0" collapsed="false">
      <c r="F18" s="30" t="str">
        <f aca="false">IF($A18="","",COUNTIFS(Deployments!$B$2:$B$1001,$A18,Deployments!$D$2:$D$1001,"&lt;&gt;Withdrawn"))</f>
        <v/>
      </c>
      <c r="G18" s="25" t="str">
        <f aca="false">IF($A18="","",SUMIFS(Deployments!$K$2:$K$1001,Deployments!$B$2:$B$1001,$A18))</f>
        <v/>
      </c>
      <c r="H18" s="23" t="str">
        <f aca="false">IF(N(F18)=0,"",IF(_xlfn.MAXIFS(Deployments!$G$2:$G$1001,Deployments!$B$2:$B$1001,$A18,Deployments!$D$2:$D$1001,"&lt;&gt;Withdrawn")=0,"",_xlfn.MAXIFS(Deployments!$G$2:$G$1001,Deployments!$B$2:$B$1001,$A18,Deployments!$D$2:$D$1001,"&lt;&gt;Withdrawn")))</f>
        <v/>
      </c>
      <c r="I18" s="24" t="str">
        <f aca="false">IF($A18="","",IF(F18=0,"Not deployed",IF(F18&gt;=Setup!$H$2,"High load","Deployed")))</f>
        <v/>
      </c>
      <c r="J18" s="35" t="str">
        <f aca="false">IF(N(F18)=0,"",F18+MIN(G18,999)/1000+(1000-ROW())/10000000)</f>
        <v/>
      </c>
      <c r="K18" s="30" t="str">
        <f aca="false">IF(I18="Not deployed",COUNTIF($I$2:I18,"Not deployed"),"")</f>
        <v/>
      </c>
    </row>
    <row r="19" customFormat="false" ht="15" hidden="false" customHeight="false" outlineLevel="0" collapsed="false">
      <c r="F19" s="30" t="str">
        <f aca="false">IF($A19="","",COUNTIFS(Deployments!$B$2:$B$1001,$A19,Deployments!$D$2:$D$1001,"&lt;&gt;Withdrawn"))</f>
        <v/>
      </c>
      <c r="G19" s="25" t="str">
        <f aca="false">IF($A19="","",SUMIFS(Deployments!$K$2:$K$1001,Deployments!$B$2:$B$1001,$A19))</f>
        <v/>
      </c>
      <c r="H19" s="23" t="str">
        <f aca="false">IF(N(F19)=0,"",IF(_xlfn.MAXIFS(Deployments!$G$2:$G$1001,Deployments!$B$2:$B$1001,$A19,Deployments!$D$2:$D$1001,"&lt;&gt;Withdrawn")=0,"",_xlfn.MAXIFS(Deployments!$G$2:$G$1001,Deployments!$B$2:$B$1001,$A19,Deployments!$D$2:$D$1001,"&lt;&gt;Withdrawn")))</f>
        <v/>
      </c>
      <c r="I19" s="24" t="str">
        <f aca="false">IF($A19="","",IF(F19=0,"Not deployed",IF(F19&gt;=Setup!$H$2,"High load","Deployed")))</f>
        <v/>
      </c>
      <c r="J19" s="35" t="str">
        <f aca="false">IF(N(F19)=0,"",F19+MIN(G19,999)/1000+(1000-ROW())/10000000)</f>
        <v/>
      </c>
      <c r="K19" s="30" t="str">
        <f aca="false">IF(I19="Not deployed",COUNTIF($I$2:I19,"Not deployed"),"")</f>
        <v/>
      </c>
    </row>
    <row r="20" customFormat="false" ht="15" hidden="false" customHeight="false" outlineLevel="0" collapsed="false">
      <c r="F20" s="30" t="str">
        <f aca="false">IF($A20="","",COUNTIFS(Deployments!$B$2:$B$1001,$A20,Deployments!$D$2:$D$1001,"&lt;&gt;Withdrawn"))</f>
        <v/>
      </c>
      <c r="G20" s="25" t="str">
        <f aca="false">IF($A20="","",SUMIFS(Deployments!$K$2:$K$1001,Deployments!$B$2:$B$1001,$A20))</f>
        <v/>
      </c>
      <c r="H20" s="23" t="str">
        <f aca="false">IF(N(F20)=0,"",IF(_xlfn.MAXIFS(Deployments!$G$2:$G$1001,Deployments!$B$2:$B$1001,$A20,Deployments!$D$2:$D$1001,"&lt;&gt;Withdrawn")=0,"",_xlfn.MAXIFS(Deployments!$G$2:$G$1001,Deployments!$B$2:$B$1001,$A20,Deployments!$D$2:$D$1001,"&lt;&gt;Withdrawn")))</f>
        <v/>
      </c>
      <c r="I20" s="24" t="str">
        <f aca="false">IF($A20="","",IF(F20=0,"Not deployed",IF(F20&gt;=Setup!$H$2,"High load","Deployed")))</f>
        <v/>
      </c>
      <c r="J20" s="35" t="str">
        <f aca="false">IF(N(F20)=0,"",F20+MIN(G20,999)/1000+(1000-ROW())/10000000)</f>
        <v/>
      </c>
      <c r="K20" s="30" t="str">
        <f aca="false">IF(I20="Not deployed",COUNTIF($I$2:I20,"Not deployed"),"")</f>
        <v/>
      </c>
    </row>
    <row r="21" customFormat="false" ht="15" hidden="false" customHeight="false" outlineLevel="0" collapsed="false">
      <c r="F21" s="30" t="str">
        <f aca="false">IF($A21="","",COUNTIFS(Deployments!$B$2:$B$1001,$A21,Deployments!$D$2:$D$1001,"&lt;&gt;Withdrawn"))</f>
        <v/>
      </c>
      <c r="G21" s="25" t="str">
        <f aca="false">IF($A21="","",SUMIFS(Deployments!$K$2:$K$1001,Deployments!$B$2:$B$1001,$A21))</f>
        <v/>
      </c>
      <c r="H21" s="23" t="str">
        <f aca="false">IF(N(F21)=0,"",IF(_xlfn.MAXIFS(Deployments!$G$2:$G$1001,Deployments!$B$2:$B$1001,$A21,Deployments!$D$2:$D$1001,"&lt;&gt;Withdrawn")=0,"",_xlfn.MAXIFS(Deployments!$G$2:$G$1001,Deployments!$B$2:$B$1001,$A21,Deployments!$D$2:$D$1001,"&lt;&gt;Withdrawn")))</f>
        <v/>
      </c>
      <c r="I21" s="24" t="str">
        <f aca="false">IF($A21="","",IF(F21=0,"Not deployed",IF(F21&gt;=Setup!$H$2,"High load","Deployed")))</f>
        <v/>
      </c>
      <c r="J21" s="35" t="str">
        <f aca="false">IF(N(F21)=0,"",F21+MIN(G21,999)/1000+(1000-ROW())/10000000)</f>
        <v/>
      </c>
      <c r="K21" s="30" t="str">
        <f aca="false">IF(I21="Not deployed",COUNTIF($I$2:I21,"Not deployed"),"")</f>
        <v/>
      </c>
    </row>
    <row r="22" customFormat="false" ht="15" hidden="false" customHeight="false" outlineLevel="0" collapsed="false">
      <c r="F22" s="30" t="str">
        <f aca="false">IF($A22="","",COUNTIFS(Deployments!$B$2:$B$1001,$A22,Deployments!$D$2:$D$1001,"&lt;&gt;Withdrawn"))</f>
        <v/>
      </c>
      <c r="G22" s="25" t="str">
        <f aca="false">IF($A22="","",SUMIFS(Deployments!$K$2:$K$1001,Deployments!$B$2:$B$1001,$A22))</f>
        <v/>
      </c>
      <c r="H22" s="23" t="str">
        <f aca="false">IF(N(F22)=0,"",IF(_xlfn.MAXIFS(Deployments!$G$2:$G$1001,Deployments!$B$2:$B$1001,$A22,Deployments!$D$2:$D$1001,"&lt;&gt;Withdrawn")=0,"",_xlfn.MAXIFS(Deployments!$G$2:$G$1001,Deployments!$B$2:$B$1001,$A22,Deployments!$D$2:$D$1001,"&lt;&gt;Withdrawn")))</f>
        <v/>
      </c>
      <c r="I22" s="24" t="str">
        <f aca="false">IF($A22="","",IF(F22=0,"Not deployed",IF(F22&gt;=Setup!$H$2,"High load","Deployed")))</f>
        <v/>
      </c>
      <c r="J22" s="35" t="str">
        <f aca="false">IF(N(F22)=0,"",F22+MIN(G22,999)/1000+(1000-ROW())/10000000)</f>
        <v/>
      </c>
      <c r="K22" s="30" t="str">
        <f aca="false">IF(I22="Not deployed",COUNTIF($I$2:I22,"Not deployed"),"")</f>
        <v/>
      </c>
    </row>
    <row r="23" customFormat="false" ht="15" hidden="false" customHeight="false" outlineLevel="0" collapsed="false">
      <c r="F23" s="30" t="str">
        <f aca="false">IF($A23="","",COUNTIFS(Deployments!$B$2:$B$1001,$A23,Deployments!$D$2:$D$1001,"&lt;&gt;Withdrawn"))</f>
        <v/>
      </c>
      <c r="G23" s="25" t="str">
        <f aca="false">IF($A23="","",SUMIFS(Deployments!$K$2:$K$1001,Deployments!$B$2:$B$1001,$A23))</f>
        <v/>
      </c>
      <c r="H23" s="23" t="str">
        <f aca="false">IF(N(F23)=0,"",IF(_xlfn.MAXIFS(Deployments!$G$2:$G$1001,Deployments!$B$2:$B$1001,$A23,Deployments!$D$2:$D$1001,"&lt;&gt;Withdrawn")=0,"",_xlfn.MAXIFS(Deployments!$G$2:$G$1001,Deployments!$B$2:$B$1001,$A23,Deployments!$D$2:$D$1001,"&lt;&gt;Withdrawn")))</f>
        <v/>
      </c>
      <c r="I23" s="24" t="str">
        <f aca="false">IF($A23="","",IF(F23=0,"Not deployed",IF(F23&gt;=Setup!$H$2,"High load","Deployed")))</f>
        <v/>
      </c>
      <c r="J23" s="35" t="str">
        <f aca="false">IF(N(F23)=0,"",F23+MIN(G23,999)/1000+(1000-ROW())/10000000)</f>
        <v/>
      </c>
      <c r="K23" s="30" t="str">
        <f aca="false">IF(I23="Not deployed",COUNTIF($I$2:I23,"Not deployed"),"")</f>
        <v/>
      </c>
    </row>
    <row r="24" customFormat="false" ht="15" hidden="false" customHeight="false" outlineLevel="0" collapsed="false">
      <c r="F24" s="30" t="str">
        <f aca="false">IF($A24="","",COUNTIFS(Deployments!$B$2:$B$1001,$A24,Deployments!$D$2:$D$1001,"&lt;&gt;Withdrawn"))</f>
        <v/>
      </c>
      <c r="G24" s="25" t="str">
        <f aca="false">IF($A24="","",SUMIFS(Deployments!$K$2:$K$1001,Deployments!$B$2:$B$1001,$A24))</f>
        <v/>
      </c>
      <c r="H24" s="23" t="str">
        <f aca="false">IF(N(F24)=0,"",IF(_xlfn.MAXIFS(Deployments!$G$2:$G$1001,Deployments!$B$2:$B$1001,$A24,Deployments!$D$2:$D$1001,"&lt;&gt;Withdrawn")=0,"",_xlfn.MAXIFS(Deployments!$G$2:$G$1001,Deployments!$B$2:$B$1001,$A24,Deployments!$D$2:$D$1001,"&lt;&gt;Withdrawn")))</f>
        <v/>
      </c>
      <c r="I24" s="24" t="str">
        <f aca="false">IF($A24="","",IF(F24=0,"Not deployed",IF(F24&gt;=Setup!$H$2,"High load","Deployed")))</f>
        <v/>
      </c>
      <c r="J24" s="35" t="str">
        <f aca="false">IF(N(F24)=0,"",F24+MIN(G24,999)/1000+(1000-ROW())/10000000)</f>
        <v/>
      </c>
      <c r="K24" s="30" t="str">
        <f aca="false">IF(I24="Not deployed",COUNTIF($I$2:I24,"Not deployed"),"")</f>
        <v/>
      </c>
    </row>
    <row r="25" customFormat="false" ht="15" hidden="false" customHeight="false" outlineLevel="0" collapsed="false">
      <c r="F25" s="30" t="str">
        <f aca="false">IF($A25="","",COUNTIFS(Deployments!$B$2:$B$1001,$A25,Deployments!$D$2:$D$1001,"&lt;&gt;Withdrawn"))</f>
        <v/>
      </c>
      <c r="G25" s="25" t="str">
        <f aca="false">IF($A25="","",SUMIFS(Deployments!$K$2:$K$1001,Deployments!$B$2:$B$1001,$A25))</f>
        <v/>
      </c>
      <c r="H25" s="23" t="str">
        <f aca="false">IF(N(F25)=0,"",IF(_xlfn.MAXIFS(Deployments!$G$2:$G$1001,Deployments!$B$2:$B$1001,$A25,Deployments!$D$2:$D$1001,"&lt;&gt;Withdrawn")=0,"",_xlfn.MAXIFS(Deployments!$G$2:$G$1001,Deployments!$B$2:$B$1001,$A25,Deployments!$D$2:$D$1001,"&lt;&gt;Withdrawn")))</f>
        <v/>
      </c>
      <c r="I25" s="24" t="str">
        <f aca="false">IF($A25="","",IF(F25=0,"Not deployed",IF(F25&gt;=Setup!$H$2,"High load","Deployed")))</f>
        <v/>
      </c>
      <c r="J25" s="35" t="str">
        <f aca="false">IF(N(F25)=0,"",F25+MIN(G25,999)/1000+(1000-ROW())/10000000)</f>
        <v/>
      </c>
      <c r="K25" s="30" t="str">
        <f aca="false">IF(I25="Not deployed",COUNTIF($I$2:I25,"Not deployed"),"")</f>
        <v/>
      </c>
    </row>
    <row r="26" customFormat="false" ht="15" hidden="false" customHeight="false" outlineLevel="0" collapsed="false">
      <c r="F26" s="30" t="str">
        <f aca="false">IF($A26="","",COUNTIFS(Deployments!$B$2:$B$1001,$A26,Deployments!$D$2:$D$1001,"&lt;&gt;Withdrawn"))</f>
        <v/>
      </c>
      <c r="G26" s="25" t="str">
        <f aca="false">IF($A26="","",SUMIFS(Deployments!$K$2:$K$1001,Deployments!$B$2:$B$1001,$A26))</f>
        <v/>
      </c>
      <c r="H26" s="23" t="str">
        <f aca="false">IF(N(F26)=0,"",IF(_xlfn.MAXIFS(Deployments!$G$2:$G$1001,Deployments!$B$2:$B$1001,$A26,Deployments!$D$2:$D$1001,"&lt;&gt;Withdrawn")=0,"",_xlfn.MAXIFS(Deployments!$G$2:$G$1001,Deployments!$B$2:$B$1001,$A26,Deployments!$D$2:$D$1001,"&lt;&gt;Withdrawn")))</f>
        <v/>
      </c>
      <c r="I26" s="24" t="str">
        <f aca="false">IF($A26="","",IF(F26=0,"Not deployed",IF(F26&gt;=Setup!$H$2,"High load","Deployed")))</f>
        <v/>
      </c>
      <c r="J26" s="35" t="str">
        <f aca="false">IF(N(F26)=0,"",F26+MIN(G26,999)/1000+(1000-ROW())/10000000)</f>
        <v/>
      </c>
      <c r="K26" s="30" t="str">
        <f aca="false">IF(I26="Not deployed",COUNTIF($I$2:I26,"Not deployed"),"")</f>
        <v/>
      </c>
    </row>
    <row r="27" customFormat="false" ht="15" hidden="false" customHeight="false" outlineLevel="0" collapsed="false">
      <c r="F27" s="30" t="str">
        <f aca="false">IF($A27="","",COUNTIFS(Deployments!$B$2:$B$1001,$A27,Deployments!$D$2:$D$1001,"&lt;&gt;Withdrawn"))</f>
        <v/>
      </c>
      <c r="G27" s="25" t="str">
        <f aca="false">IF($A27="","",SUMIFS(Deployments!$K$2:$K$1001,Deployments!$B$2:$B$1001,$A27))</f>
        <v/>
      </c>
      <c r="H27" s="23" t="str">
        <f aca="false">IF(N(F27)=0,"",IF(_xlfn.MAXIFS(Deployments!$G$2:$G$1001,Deployments!$B$2:$B$1001,$A27,Deployments!$D$2:$D$1001,"&lt;&gt;Withdrawn")=0,"",_xlfn.MAXIFS(Deployments!$G$2:$G$1001,Deployments!$B$2:$B$1001,$A27,Deployments!$D$2:$D$1001,"&lt;&gt;Withdrawn")))</f>
        <v/>
      </c>
      <c r="I27" s="24" t="str">
        <f aca="false">IF($A27="","",IF(F27=0,"Not deployed",IF(F27&gt;=Setup!$H$2,"High load","Deployed")))</f>
        <v/>
      </c>
      <c r="J27" s="35" t="str">
        <f aca="false">IF(N(F27)=0,"",F27+MIN(G27,999)/1000+(1000-ROW())/10000000)</f>
        <v/>
      </c>
      <c r="K27" s="30" t="str">
        <f aca="false">IF(I27="Not deployed",COUNTIF($I$2:I27,"Not deployed"),"")</f>
        <v/>
      </c>
    </row>
    <row r="28" customFormat="false" ht="15" hidden="false" customHeight="false" outlineLevel="0" collapsed="false">
      <c r="F28" s="30" t="str">
        <f aca="false">IF($A28="","",COUNTIFS(Deployments!$B$2:$B$1001,$A28,Deployments!$D$2:$D$1001,"&lt;&gt;Withdrawn"))</f>
        <v/>
      </c>
      <c r="G28" s="25" t="str">
        <f aca="false">IF($A28="","",SUMIFS(Deployments!$K$2:$K$1001,Deployments!$B$2:$B$1001,$A28))</f>
        <v/>
      </c>
      <c r="H28" s="23" t="str">
        <f aca="false">IF(N(F28)=0,"",IF(_xlfn.MAXIFS(Deployments!$G$2:$G$1001,Deployments!$B$2:$B$1001,$A28,Deployments!$D$2:$D$1001,"&lt;&gt;Withdrawn")=0,"",_xlfn.MAXIFS(Deployments!$G$2:$G$1001,Deployments!$B$2:$B$1001,$A28,Deployments!$D$2:$D$1001,"&lt;&gt;Withdrawn")))</f>
        <v/>
      </c>
      <c r="I28" s="24" t="str">
        <f aca="false">IF($A28="","",IF(F28=0,"Not deployed",IF(F28&gt;=Setup!$H$2,"High load","Deployed")))</f>
        <v/>
      </c>
      <c r="J28" s="35" t="str">
        <f aca="false">IF(N(F28)=0,"",F28+MIN(G28,999)/1000+(1000-ROW())/10000000)</f>
        <v/>
      </c>
      <c r="K28" s="30" t="str">
        <f aca="false">IF(I28="Not deployed",COUNTIF($I$2:I28,"Not deployed"),"")</f>
        <v/>
      </c>
    </row>
    <row r="29" customFormat="false" ht="15" hidden="false" customHeight="false" outlineLevel="0" collapsed="false">
      <c r="F29" s="30" t="str">
        <f aca="false">IF($A29="","",COUNTIFS(Deployments!$B$2:$B$1001,$A29,Deployments!$D$2:$D$1001,"&lt;&gt;Withdrawn"))</f>
        <v/>
      </c>
      <c r="G29" s="25" t="str">
        <f aca="false">IF($A29="","",SUMIFS(Deployments!$K$2:$K$1001,Deployments!$B$2:$B$1001,$A29))</f>
        <v/>
      </c>
      <c r="H29" s="23" t="str">
        <f aca="false">IF(N(F29)=0,"",IF(_xlfn.MAXIFS(Deployments!$G$2:$G$1001,Deployments!$B$2:$B$1001,$A29,Deployments!$D$2:$D$1001,"&lt;&gt;Withdrawn")=0,"",_xlfn.MAXIFS(Deployments!$G$2:$G$1001,Deployments!$B$2:$B$1001,$A29,Deployments!$D$2:$D$1001,"&lt;&gt;Withdrawn")))</f>
        <v/>
      </c>
      <c r="I29" s="24" t="str">
        <f aca="false">IF($A29="","",IF(F29=0,"Not deployed",IF(F29&gt;=Setup!$H$2,"High load","Deployed")))</f>
        <v/>
      </c>
      <c r="J29" s="35" t="str">
        <f aca="false">IF(N(F29)=0,"",F29+MIN(G29,999)/1000+(1000-ROW())/10000000)</f>
        <v/>
      </c>
      <c r="K29" s="30" t="str">
        <f aca="false">IF(I29="Not deployed",COUNTIF($I$2:I29,"Not deployed"),"")</f>
        <v/>
      </c>
    </row>
    <row r="30" customFormat="false" ht="15" hidden="false" customHeight="false" outlineLevel="0" collapsed="false">
      <c r="F30" s="30" t="str">
        <f aca="false">IF($A30="","",COUNTIFS(Deployments!$B$2:$B$1001,$A30,Deployments!$D$2:$D$1001,"&lt;&gt;Withdrawn"))</f>
        <v/>
      </c>
      <c r="G30" s="25" t="str">
        <f aca="false">IF($A30="","",SUMIFS(Deployments!$K$2:$K$1001,Deployments!$B$2:$B$1001,$A30))</f>
        <v/>
      </c>
      <c r="H30" s="23" t="str">
        <f aca="false">IF(N(F30)=0,"",IF(_xlfn.MAXIFS(Deployments!$G$2:$G$1001,Deployments!$B$2:$B$1001,$A30,Deployments!$D$2:$D$1001,"&lt;&gt;Withdrawn")=0,"",_xlfn.MAXIFS(Deployments!$G$2:$G$1001,Deployments!$B$2:$B$1001,$A30,Deployments!$D$2:$D$1001,"&lt;&gt;Withdrawn")))</f>
        <v/>
      </c>
      <c r="I30" s="24" t="str">
        <f aca="false">IF($A30="","",IF(F30=0,"Not deployed",IF(F30&gt;=Setup!$H$2,"High load","Deployed")))</f>
        <v/>
      </c>
      <c r="J30" s="35" t="str">
        <f aca="false">IF(N(F30)=0,"",F30+MIN(G30,999)/1000+(1000-ROW())/10000000)</f>
        <v/>
      </c>
      <c r="K30" s="30" t="str">
        <f aca="false">IF(I30="Not deployed",COUNTIF($I$2:I30,"Not deployed"),"")</f>
        <v/>
      </c>
    </row>
    <row r="31" customFormat="false" ht="15" hidden="false" customHeight="false" outlineLevel="0" collapsed="false">
      <c r="F31" s="30" t="str">
        <f aca="false">IF($A31="","",COUNTIFS(Deployments!$B$2:$B$1001,$A31,Deployments!$D$2:$D$1001,"&lt;&gt;Withdrawn"))</f>
        <v/>
      </c>
      <c r="G31" s="25" t="str">
        <f aca="false">IF($A31="","",SUMIFS(Deployments!$K$2:$K$1001,Deployments!$B$2:$B$1001,$A31))</f>
        <v/>
      </c>
      <c r="H31" s="23" t="str">
        <f aca="false">IF(N(F31)=0,"",IF(_xlfn.MAXIFS(Deployments!$G$2:$G$1001,Deployments!$B$2:$B$1001,$A31,Deployments!$D$2:$D$1001,"&lt;&gt;Withdrawn")=0,"",_xlfn.MAXIFS(Deployments!$G$2:$G$1001,Deployments!$B$2:$B$1001,$A31,Deployments!$D$2:$D$1001,"&lt;&gt;Withdrawn")))</f>
        <v/>
      </c>
      <c r="I31" s="24" t="str">
        <f aca="false">IF($A31="","",IF(F31=0,"Not deployed",IF(F31&gt;=Setup!$H$2,"High load","Deployed")))</f>
        <v/>
      </c>
      <c r="J31" s="35" t="str">
        <f aca="false">IF(N(F31)=0,"",F31+MIN(G31,999)/1000+(1000-ROW())/10000000)</f>
        <v/>
      </c>
      <c r="K31" s="30" t="str">
        <f aca="false">IF(I31="Not deployed",COUNTIF($I$2:I31,"Not deployed"),"")</f>
        <v/>
      </c>
    </row>
    <row r="32" customFormat="false" ht="15" hidden="false" customHeight="false" outlineLevel="0" collapsed="false">
      <c r="F32" s="30" t="str">
        <f aca="false">IF($A32="","",COUNTIFS(Deployments!$B$2:$B$1001,$A32,Deployments!$D$2:$D$1001,"&lt;&gt;Withdrawn"))</f>
        <v/>
      </c>
      <c r="G32" s="25" t="str">
        <f aca="false">IF($A32="","",SUMIFS(Deployments!$K$2:$K$1001,Deployments!$B$2:$B$1001,$A32))</f>
        <v/>
      </c>
      <c r="H32" s="23" t="str">
        <f aca="false">IF(N(F32)=0,"",IF(_xlfn.MAXIFS(Deployments!$G$2:$G$1001,Deployments!$B$2:$B$1001,$A32,Deployments!$D$2:$D$1001,"&lt;&gt;Withdrawn")=0,"",_xlfn.MAXIFS(Deployments!$G$2:$G$1001,Deployments!$B$2:$B$1001,$A32,Deployments!$D$2:$D$1001,"&lt;&gt;Withdrawn")))</f>
        <v/>
      </c>
      <c r="I32" s="24" t="str">
        <f aca="false">IF($A32="","",IF(F32=0,"Not deployed",IF(F32&gt;=Setup!$H$2,"High load","Deployed")))</f>
        <v/>
      </c>
      <c r="J32" s="35" t="str">
        <f aca="false">IF(N(F32)=0,"",F32+MIN(G32,999)/1000+(1000-ROW())/10000000)</f>
        <v/>
      </c>
      <c r="K32" s="30" t="str">
        <f aca="false">IF(I32="Not deployed",COUNTIF($I$2:I32,"Not deployed"),"")</f>
        <v/>
      </c>
    </row>
    <row r="33" customFormat="false" ht="15" hidden="false" customHeight="false" outlineLevel="0" collapsed="false">
      <c r="F33" s="30" t="str">
        <f aca="false">IF($A33="","",COUNTIFS(Deployments!$B$2:$B$1001,$A33,Deployments!$D$2:$D$1001,"&lt;&gt;Withdrawn"))</f>
        <v/>
      </c>
      <c r="G33" s="25" t="str">
        <f aca="false">IF($A33="","",SUMIFS(Deployments!$K$2:$K$1001,Deployments!$B$2:$B$1001,$A33))</f>
        <v/>
      </c>
      <c r="H33" s="23" t="str">
        <f aca="false">IF(N(F33)=0,"",IF(_xlfn.MAXIFS(Deployments!$G$2:$G$1001,Deployments!$B$2:$B$1001,$A33,Deployments!$D$2:$D$1001,"&lt;&gt;Withdrawn")=0,"",_xlfn.MAXIFS(Deployments!$G$2:$G$1001,Deployments!$B$2:$B$1001,$A33,Deployments!$D$2:$D$1001,"&lt;&gt;Withdrawn")))</f>
        <v/>
      </c>
      <c r="I33" s="24" t="str">
        <f aca="false">IF($A33="","",IF(F33=0,"Not deployed",IF(F33&gt;=Setup!$H$2,"High load","Deployed")))</f>
        <v/>
      </c>
      <c r="J33" s="35" t="str">
        <f aca="false">IF(N(F33)=0,"",F33+MIN(G33,999)/1000+(1000-ROW())/10000000)</f>
        <v/>
      </c>
      <c r="K33" s="30" t="str">
        <f aca="false">IF(I33="Not deployed",COUNTIF($I$2:I33,"Not deployed"),"")</f>
        <v/>
      </c>
    </row>
    <row r="34" customFormat="false" ht="15" hidden="false" customHeight="false" outlineLevel="0" collapsed="false">
      <c r="F34" s="30" t="str">
        <f aca="false">IF($A34="","",COUNTIFS(Deployments!$B$2:$B$1001,$A34,Deployments!$D$2:$D$1001,"&lt;&gt;Withdrawn"))</f>
        <v/>
      </c>
      <c r="G34" s="25" t="str">
        <f aca="false">IF($A34="","",SUMIFS(Deployments!$K$2:$K$1001,Deployments!$B$2:$B$1001,$A34))</f>
        <v/>
      </c>
      <c r="H34" s="23" t="str">
        <f aca="false">IF(N(F34)=0,"",IF(_xlfn.MAXIFS(Deployments!$G$2:$G$1001,Deployments!$B$2:$B$1001,$A34,Deployments!$D$2:$D$1001,"&lt;&gt;Withdrawn")=0,"",_xlfn.MAXIFS(Deployments!$G$2:$G$1001,Deployments!$B$2:$B$1001,$A34,Deployments!$D$2:$D$1001,"&lt;&gt;Withdrawn")))</f>
        <v/>
      </c>
      <c r="I34" s="24" t="str">
        <f aca="false">IF($A34="","",IF(F34=0,"Not deployed",IF(F34&gt;=Setup!$H$2,"High load","Deployed")))</f>
        <v/>
      </c>
      <c r="J34" s="35" t="str">
        <f aca="false">IF(N(F34)=0,"",F34+MIN(G34,999)/1000+(1000-ROW())/10000000)</f>
        <v/>
      </c>
      <c r="K34" s="30" t="str">
        <f aca="false">IF(I34="Not deployed",COUNTIF($I$2:I34,"Not deployed"),"")</f>
        <v/>
      </c>
    </row>
    <row r="35" customFormat="false" ht="15" hidden="false" customHeight="false" outlineLevel="0" collapsed="false">
      <c r="F35" s="30" t="str">
        <f aca="false">IF($A35="","",COUNTIFS(Deployments!$B$2:$B$1001,$A35,Deployments!$D$2:$D$1001,"&lt;&gt;Withdrawn"))</f>
        <v/>
      </c>
      <c r="G35" s="25" t="str">
        <f aca="false">IF($A35="","",SUMIFS(Deployments!$K$2:$K$1001,Deployments!$B$2:$B$1001,$A35))</f>
        <v/>
      </c>
      <c r="H35" s="23" t="str">
        <f aca="false">IF(N(F35)=0,"",IF(_xlfn.MAXIFS(Deployments!$G$2:$G$1001,Deployments!$B$2:$B$1001,$A35,Deployments!$D$2:$D$1001,"&lt;&gt;Withdrawn")=0,"",_xlfn.MAXIFS(Deployments!$G$2:$G$1001,Deployments!$B$2:$B$1001,$A35,Deployments!$D$2:$D$1001,"&lt;&gt;Withdrawn")))</f>
        <v/>
      </c>
      <c r="I35" s="24" t="str">
        <f aca="false">IF($A35="","",IF(F35=0,"Not deployed",IF(F35&gt;=Setup!$H$2,"High load","Deployed")))</f>
        <v/>
      </c>
      <c r="J35" s="35" t="str">
        <f aca="false">IF(N(F35)=0,"",F35+MIN(G35,999)/1000+(1000-ROW())/10000000)</f>
        <v/>
      </c>
      <c r="K35" s="30" t="str">
        <f aca="false">IF(I35="Not deployed",COUNTIF($I$2:I35,"Not deployed"),"")</f>
        <v/>
      </c>
    </row>
    <row r="36" customFormat="false" ht="15" hidden="false" customHeight="false" outlineLevel="0" collapsed="false">
      <c r="F36" s="30" t="str">
        <f aca="false">IF($A36="","",COUNTIFS(Deployments!$B$2:$B$1001,$A36,Deployments!$D$2:$D$1001,"&lt;&gt;Withdrawn"))</f>
        <v/>
      </c>
      <c r="G36" s="25" t="str">
        <f aca="false">IF($A36="","",SUMIFS(Deployments!$K$2:$K$1001,Deployments!$B$2:$B$1001,$A36))</f>
        <v/>
      </c>
      <c r="H36" s="23" t="str">
        <f aca="false">IF(N(F36)=0,"",IF(_xlfn.MAXIFS(Deployments!$G$2:$G$1001,Deployments!$B$2:$B$1001,$A36,Deployments!$D$2:$D$1001,"&lt;&gt;Withdrawn")=0,"",_xlfn.MAXIFS(Deployments!$G$2:$G$1001,Deployments!$B$2:$B$1001,$A36,Deployments!$D$2:$D$1001,"&lt;&gt;Withdrawn")))</f>
        <v/>
      </c>
      <c r="I36" s="24" t="str">
        <f aca="false">IF($A36="","",IF(F36=0,"Not deployed",IF(F36&gt;=Setup!$H$2,"High load","Deployed")))</f>
        <v/>
      </c>
      <c r="J36" s="35" t="str">
        <f aca="false">IF(N(F36)=0,"",F36+MIN(G36,999)/1000+(1000-ROW())/10000000)</f>
        <v/>
      </c>
      <c r="K36" s="30" t="str">
        <f aca="false">IF(I36="Not deployed",COUNTIF($I$2:I36,"Not deployed"),"")</f>
        <v/>
      </c>
    </row>
    <row r="37" customFormat="false" ht="15" hidden="false" customHeight="false" outlineLevel="0" collapsed="false">
      <c r="F37" s="30" t="str">
        <f aca="false">IF($A37="","",COUNTIFS(Deployments!$B$2:$B$1001,$A37,Deployments!$D$2:$D$1001,"&lt;&gt;Withdrawn"))</f>
        <v/>
      </c>
      <c r="G37" s="25" t="str">
        <f aca="false">IF($A37="","",SUMIFS(Deployments!$K$2:$K$1001,Deployments!$B$2:$B$1001,$A37))</f>
        <v/>
      </c>
      <c r="H37" s="23" t="str">
        <f aca="false">IF(N(F37)=0,"",IF(_xlfn.MAXIFS(Deployments!$G$2:$G$1001,Deployments!$B$2:$B$1001,$A37,Deployments!$D$2:$D$1001,"&lt;&gt;Withdrawn")=0,"",_xlfn.MAXIFS(Deployments!$G$2:$G$1001,Deployments!$B$2:$B$1001,$A37,Deployments!$D$2:$D$1001,"&lt;&gt;Withdrawn")))</f>
        <v/>
      </c>
      <c r="I37" s="24" t="str">
        <f aca="false">IF($A37="","",IF(F37=0,"Not deployed",IF(F37&gt;=Setup!$H$2,"High load","Deployed")))</f>
        <v/>
      </c>
      <c r="J37" s="35" t="str">
        <f aca="false">IF(N(F37)=0,"",F37+MIN(G37,999)/1000+(1000-ROW())/10000000)</f>
        <v/>
      </c>
      <c r="K37" s="30" t="str">
        <f aca="false">IF(I37="Not deployed",COUNTIF($I$2:I37,"Not deployed"),"")</f>
        <v/>
      </c>
    </row>
    <row r="38" customFormat="false" ht="15" hidden="false" customHeight="false" outlineLevel="0" collapsed="false">
      <c r="F38" s="30" t="str">
        <f aca="false">IF($A38="","",COUNTIFS(Deployments!$B$2:$B$1001,$A38,Deployments!$D$2:$D$1001,"&lt;&gt;Withdrawn"))</f>
        <v/>
      </c>
      <c r="G38" s="25" t="str">
        <f aca="false">IF($A38="","",SUMIFS(Deployments!$K$2:$K$1001,Deployments!$B$2:$B$1001,$A38))</f>
        <v/>
      </c>
      <c r="H38" s="23" t="str">
        <f aca="false">IF(N(F38)=0,"",IF(_xlfn.MAXIFS(Deployments!$G$2:$G$1001,Deployments!$B$2:$B$1001,$A38,Deployments!$D$2:$D$1001,"&lt;&gt;Withdrawn")=0,"",_xlfn.MAXIFS(Deployments!$G$2:$G$1001,Deployments!$B$2:$B$1001,$A38,Deployments!$D$2:$D$1001,"&lt;&gt;Withdrawn")))</f>
        <v/>
      </c>
      <c r="I38" s="24" t="str">
        <f aca="false">IF($A38="","",IF(F38=0,"Not deployed",IF(F38&gt;=Setup!$H$2,"High load","Deployed")))</f>
        <v/>
      </c>
      <c r="J38" s="35" t="str">
        <f aca="false">IF(N(F38)=0,"",F38+MIN(G38,999)/1000+(1000-ROW())/10000000)</f>
        <v/>
      </c>
      <c r="K38" s="30" t="str">
        <f aca="false">IF(I38="Not deployed",COUNTIF($I$2:I38,"Not deployed"),"")</f>
        <v/>
      </c>
    </row>
    <row r="39" customFormat="false" ht="15" hidden="false" customHeight="false" outlineLevel="0" collapsed="false">
      <c r="F39" s="30" t="str">
        <f aca="false">IF($A39="","",COUNTIFS(Deployments!$B$2:$B$1001,$A39,Deployments!$D$2:$D$1001,"&lt;&gt;Withdrawn"))</f>
        <v/>
      </c>
      <c r="G39" s="25" t="str">
        <f aca="false">IF($A39="","",SUMIFS(Deployments!$K$2:$K$1001,Deployments!$B$2:$B$1001,$A39))</f>
        <v/>
      </c>
      <c r="H39" s="23" t="str">
        <f aca="false">IF(N(F39)=0,"",IF(_xlfn.MAXIFS(Deployments!$G$2:$G$1001,Deployments!$B$2:$B$1001,$A39,Deployments!$D$2:$D$1001,"&lt;&gt;Withdrawn")=0,"",_xlfn.MAXIFS(Deployments!$G$2:$G$1001,Deployments!$B$2:$B$1001,$A39,Deployments!$D$2:$D$1001,"&lt;&gt;Withdrawn")))</f>
        <v/>
      </c>
      <c r="I39" s="24" t="str">
        <f aca="false">IF($A39="","",IF(F39=0,"Not deployed",IF(F39&gt;=Setup!$H$2,"High load","Deployed")))</f>
        <v/>
      </c>
      <c r="J39" s="35" t="str">
        <f aca="false">IF(N(F39)=0,"",F39+MIN(G39,999)/1000+(1000-ROW())/10000000)</f>
        <v/>
      </c>
      <c r="K39" s="30" t="str">
        <f aca="false">IF(I39="Not deployed",COUNTIF($I$2:I39,"Not deployed"),"")</f>
        <v/>
      </c>
    </row>
    <row r="40" customFormat="false" ht="15" hidden="false" customHeight="false" outlineLevel="0" collapsed="false">
      <c r="F40" s="30" t="str">
        <f aca="false">IF($A40="","",COUNTIFS(Deployments!$B$2:$B$1001,$A40,Deployments!$D$2:$D$1001,"&lt;&gt;Withdrawn"))</f>
        <v/>
      </c>
      <c r="G40" s="25" t="str">
        <f aca="false">IF($A40="","",SUMIFS(Deployments!$K$2:$K$1001,Deployments!$B$2:$B$1001,$A40))</f>
        <v/>
      </c>
      <c r="H40" s="23" t="str">
        <f aca="false">IF(N(F40)=0,"",IF(_xlfn.MAXIFS(Deployments!$G$2:$G$1001,Deployments!$B$2:$B$1001,$A40,Deployments!$D$2:$D$1001,"&lt;&gt;Withdrawn")=0,"",_xlfn.MAXIFS(Deployments!$G$2:$G$1001,Deployments!$B$2:$B$1001,$A40,Deployments!$D$2:$D$1001,"&lt;&gt;Withdrawn")))</f>
        <v/>
      </c>
      <c r="I40" s="24" t="str">
        <f aca="false">IF($A40="","",IF(F40=0,"Not deployed",IF(F40&gt;=Setup!$H$2,"High load","Deployed")))</f>
        <v/>
      </c>
      <c r="J40" s="35" t="str">
        <f aca="false">IF(N(F40)=0,"",F40+MIN(G40,999)/1000+(1000-ROW())/10000000)</f>
        <v/>
      </c>
      <c r="K40" s="30" t="str">
        <f aca="false">IF(I40="Not deployed",COUNTIF($I$2:I40,"Not deployed"),"")</f>
        <v/>
      </c>
    </row>
    <row r="41" customFormat="false" ht="15" hidden="false" customHeight="false" outlineLevel="0" collapsed="false">
      <c r="F41" s="30" t="str">
        <f aca="false">IF($A41="","",COUNTIFS(Deployments!$B$2:$B$1001,$A41,Deployments!$D$2:$D$1001,"&lt;&gt;Withdrawn"))</f>
        <v/>
      </c>
      <c r="G41" s="25" t="str">
        <f aca="false">IF($A41="","",SUMIFS(Deployments!$K$2:$K$1001,Deployments!$B$2:$B$1001,$A41))</f>
        <v/>
      </c>
      <c r="H41" s="23" t="str">
        <f aca="false">IF(N(F41)=0,"",IF(_xlfn.MAXIFS(Deployments!$G$2:$G$1001,Deployments!$B$2:$B$1001,$A41,Deployments!$D$2:$D$1001,"&lt;&gt;Withdrawn")=0,"",_xlfn.MAXIFS(Deployments!$G$2:$G$1001,Deployments!$B$2:$B$1001,$A41,Deployments!$D$2:$D$1001,"&lt;&gt;Withdrawn")))</f>
        <v/>
      </c>
      <c r="I41" s="24" t="str">
        <f aca="false">IF($A41="","",IF(F41=0,"Not deployed",IF(F41&gt;=Setup!$H$2,"High load","Deployed")))</f>
        <v/>
      </c>
      <c r="J41" s="35" t="str">
        <f aca="false">IF(N(F41)=0,"",F41+MIN(G41,999)/1000+(1000-ROW())/10000000)</f>
        <v/>
      </c>
      <c r="K41" s="30" t="str">
        <f aca="false">IF(I41="Not deployed",COUNTIF($I$2:I41,"Not deployed"),"")</f>
        <v/>
      </c>
    </row>
    <row r="42" customFormat="false" ht="15" hidden="false" customHeight="false" outlineLevel="0" collapsed="false">
      <c r="F42" s="30" t="str">
        <f aca="false">IF($A42="","",COUNTIFS(Deployments!$B$2:$B$1001,$A42,Deployments!$D$2:$D$1001,"&lt;&gt;Withdrawn"))</f>
        <v/>
      </c>
      <c r="G42" s="25" t="str">
        <f aca="false">IF($A42="","",SUMIFS(Deployments!$K$2:$K$1001,Deployments!$B$2:$B$1001,$A42))</f>
        <v/>
      </c>
      <c r="H42" s="23" t="str">
        <f aca="false">IF(N(F42)=0,"",IF(_xlfn.MAXIFS(Deployments!$G$2:$G$1001,Deployments!$B$2:$B$1001,$A42,Deployments!$D$2:$D$1001,"&lt;&gt;Withdrawn")=0,"",_xlfn.MAXIFS(Deployments!$G$2:$G$1001,Deployments!$B$2:$B$1001,$A42,Deployments!$D$2:$D$1001,"&lt;&gt;Withdrawn")))</f>
        <v/>
      </c>
      <c r="I42" s="24" t="str">
        <f aca="false">IF($A42="","",IF(F42=0,"Not deployed",IF(F42&gt;=Setup!$H$2,"High load","Deployed")))</f>
        <v/>
      </c>
      <c r="J42" s="35" t="str">
        <f aca="false">IF(N(F42)=0,"",F42+MIN(G42,999)/1000+(1000-ROW())/10000000)</f>
        <v/>
      </c>
      <c r="K42" s="30" t="str">
        <f aca="false">IF(I42="Not deployed",COUNTIF($I$2:I42,"Not deployed"),"")</f>
        <v/>
      </c>
    </row>
    <row r="43" customFormat="false" ht="15" hidden="false" customHeight="false" outlineLevel="0" collapsed="false">
      <c r="F43" s="30" t="str">
        <f aca="false">IF($A43="","",COUNTIFS(Deployments!$B$2:$B$1001,$A43,Deployments!$D$2:$D$1001,"&lt;&gt;Withdrawn"))</f>
        <v/>
      </c>
      <c r="G43" s="25" t="str">
        <f aca="false">IF($A43="","",SUMIFS(Deployments!$K$2:$K$1001,Deployments!$B$2:$B$1001,$A43))</f>
        <v/>
      </c>
      <c r="H43" s="23" t="str">
        <f aca="false">IF(N(F43)=0,"",IF(_xlfn.MAXIFS(Deployments!$G$2:$G$1001,Deployments!$B$2:$B$1001,$A43,Deployments!$D$2:$D$1001,"&lt;&gt;Withdrawn")=0,"",_xlfn.MAXIFS(Deployments!$G$2:$G$1001,Deployments!$B$2:$B$1001,$A43,Deployments!$D$2:$D$1001,"&lt;&gt;Withdrawn")))</f>
        <v/>
      </c>
      <c r="I43" s="24" t="str">
        <f aca="false">IF($A43="","",IF(F43=0,"Not deployed",IF(F43&gt;=Setup!$H$2,"High load","Deployed")))</f>
        <v/>
      </c>
      <c r="J43" s="35" t="str">
        <f aca="false">IF(N(F43)=0,"",F43+MIN(G43,999)/1000+(1000-ROW())/10000000)</f>
        <v/>
      </c>
      <c r="K43" s="30" t="str">
        <f aca="false">IF(I43="Not deployed",COUNTIF($I$2:I43,"Not deployed"),"")</f>
        <v/>
      </c>
    </row>
    <row r="44" customFormat="false" ht="15" hidden="false" customHeight="false" outlineLevel="0" collapsed="false">
      <c r="F44" s="30" t="str">
        <f aca="false">IF($A44="","",COUNTIFS(Deployments!$B$2:$B$1001,$A44,Deployments!$D$2:$D$1001,"&lt;&gt;Withdrawn"))</f>
        <v/>
      </c>
      <c r="G44" s="25" t="str">
        <f aca="false">IF($A44="","",SUMIFS(Deployments!$K$2:$K$1001,Deployments!$B$2:$B$1001,$A44))</f>
        <v/>
      </c>
      <c r="H44" s="23" t="str">
        <f aca="false">IF(N(F44)=0,"",IF(_xlfn.MAXIFS(Deployments!$G$2:$G$1001,Deployments!$B$2:$B$1001,$A44,Deployments!$D$2:$D$1001,"&lt;&gt;Withdrawn")=0,"",_xlfn.MAXIFS(Deployments!$G$2:$G$1001,Deployments!$B$2:$B$1001,$A44,Deployments!$D$2:$D$1001,"&lt;&gt;Withdrawn")))</f>
        <v/>
      </c>
      <c r="I44" s="24" t="str">
        <f aca="false">IF($A44="","",IF(F44=0,"Not deployed",IF(F44&gt;=Setup!$H$2,"High load","Deployed")))</f>
        <v/>
      </c>
      <c r="J44" s="35" t="str">
        <f aca="false">IF(N(F44)=0,"",F44+MIN(G44,999)/1000+(1000-ROW())/10000000)</f>
        <v/>
      </c>
      <c r="K44" s="30" t="str">
        <f aca="false">IF(I44="Not deployed",COUNTIF($I$2:I44,"Not deployed"),"")</f>
        <v/>
      </c>
    </row>
    <row r="45" customFormat="false" ht="15" hidden="false" customHeight="false" outlineLevel="0" collapsed="false">
      <c r="F45" s="30" t="str">
        <f aca="false">IF($A45="","",COUNTIFS(Deployments!$B$2:$B$1001,$A45,Deployments!$D$2:$D$1001,"&lt;&gt;Withdrawn"))</f>
        <v/>
      </c>
      <c r="G45" s="25" t="str">
        <f aca="false">IF($A45="","",SUMIFS(Deployments!$K$2:$K$1001,Deployments!$B$2:$B$1001,$A45))</f>
        <v/>
      </c>
      <c r="H45" s="23" t="str">
        <f aca="false">IF(N(F45)=0,"",IF(_xlfn.MAXIFS(Deployments!$G$2:$G$1001,Deployments!$B$2:$B$1001,$A45,Deployments!$D$2:$D$1001,"&lt;&gt;Withdrawn")=0,"",_xlfn.MAXIFS(Deployments!$G$2:$G$1001,Deployments!$B$2:$B$1001,$A45,Deployments!$D$2:$D$1001,"&lt;&gt;Withdrawn")))</f>
        <v/>
      </c>
      <c r="I45" s="24" t="str">
        <f aca="false">IF($A45="","",IF(F45=0,"Not deployed",IF(F45&gt;=Setup!$H$2,"High load","Deployed")))</f>
        <v/>
      </c>
      <c r="J45" s="35" t="str">
        <f aca="false">IF(N(F45)=0,"",F45+MIN(G45,999)/1000+(1000-ROW())/10000000)</f>
        <v/>
      </c>
      <c r="K45" s="30" t="str">
        <f aca="false">IF(I45="Not deployed",COUNTIF($I$2:I45,"Not deployed"),"")</f>
        <v/>
      </c>
    </row>
    <row r="46" customFormat="false" ht="15" hidden="false" customHeight="false" outlineLevel="0" collapsed="false">
      <c r="F46" s="30" t="str">
        <f aca="false">IF($A46="","",COUNTIFS(Deployments!$B$2:$B$1001,$A46,Deployments!$D$2:$D$1001,"&lt;&gt;Withdrawn"))</f>
        <v/>
      </c>
      <c r="G46" s="25" t="str">
        <f aca="false">IF($A46="","",SUMIFS(Deployments!$K$2:$K$1001,Deployments!$B$2:$B$1001,$A46))</f>
        <v/>
      </c>
      <c r="H46" s="23" t="str">
        <f aca="false">IF(N(F46)=0,"",IF(_xlfn.MAXIFS(Deployments!$G$2:$G$1001,Deployments!$B$2:$B$1001,$A46,Deployments!$D$2:$D$1001,"&lt;&gt;Withdrawn")=0,"",_xlfn.MAXIFS(Deployments!$G$2:$G$1001,Deployments!$B$2:$B$1001,$A46,Deployments!$D$2:$D$1001,"&lt;&gt;Withdrawn")))</f>
        <v/>
      </c>
      <c r="I46" s="24" t="str">
        <f aca="false">IF($A46="","",IF(F46=0,"Not deployed",IF(F46&gt;=Setup!$H$2,"High load","Deployed")))</f>
        <v/>
      </c>
      <c r="J46" s="35" t="str">
        <f aca="false">IF(N(F46)=0,"",F46+MIN(G46,999)/1000+(1000-ROW())/10000000)</f>
        <v/>
      </c>
      <c r="K46" s="30" t="str">
        <f aca="false">IF(I46="Not deployed",COUNTIF($I$2:I46,"Not deployed"),"")</f>
        <v/>
      </c>
    </row>
    <row r="47" customFormat="false" ht="15" hidden="false" customHeight="false" outlineLevel="0" collapsed="false">
      <c r="F47" s="30" t="str">
        <f aca="false">IF($A47="","",COUNTIFS(Deployments!$B$2:$B$1001,$A47,Deployments!$D$2:$D$1001,"&lt;&gt;Withdrawn"))</f>
        <v/>
      </c>
      <c r="G47" s="25" t="str">
        <f aca="false">IF($A47="","",SUMIFS(Deployments!$K$2:$K$1001,Deployments!$B$2:$B$1001,$A47))</f>
        <v/>
      </c>
      <c r="H47" s="23" t="str">
        <f aca="false">IF(N(F47)=0,"",IF(_xlfn.MAXIFS(Deployments!$G$2:$G$1001,Deployments!$B$2:$B$1001,$A47,Deployments!$D$2:$D$1001,"&lt;&gt;Withdrawn")=0,"",_xlfn.MAXIFS(Deployments!$G$2:$G$1001,Deployments!$B$2:$B$1001,$A47,Deployments!$D$2:$D$1001,"&lt;&gt;Withdrawn")))</f>
        <v/>
      </c>
      <c r="I47" s="24" t="str">
        <f aca="false">IF($A47="","",IF(F47=0,"Not deployed",IF(F47&gt;=Setup!$H$2,"High load","Deployed")))</f>
        <v/>
      </c>
      <c r="J47" s="35" t="str">
        <f aca="false">IF(N(F47)=0,"",F47+MIN(G47,999)/1000+(1000-ROW())/10000000)</f>
        <v/>
      </c>
      <c r="K47" s="30" t="str">
        <f aca="false">IF(I47="Not deployed",COUNTIF($I$2:I47,"Not deployed"),"")</f>
        <v/>
      </c>
    </row>
    <row r="48" customFormat="false" ht="15" hidden="false" customHeight="false" outlineLevel="0" collapsed="false">
      <c r="F48" s="30" t="str">
        <f aca="false">IF($A48="","",COUNTIFS(Deployments!$B$2:$B$1001,$A48,Deployments!$D$2:$D$1001,"&lt;&gt;Withdrawn"))</f>
        <v/>
      </c>
      <c r="G48" s="25" t="str">
        <f aca="false">IF($A48="","",SUMIFS(Deployments!$K$2:$K$1001,Deployments!$B$2:$B$1001,$A48))</f>
        <v/>
      </c>
      <c r="H48" s="23" t="str">
        <f aca="false">IF(N(F48)=0,"",IF(_xlfn.MAXIFS(Deployments!$G$2:$G$1001,Deployments!$B$2:$B$1001,$A48,Deployments!$D$2:$D$1001,"&lt;&gt;Withdrawn")=0,"",_xlfn.MAXIFS(Deployments!$G$2:$G$1001,Deployments!$B$2:$B$1001,$A48,Deployments!$D$2:$D$1001,"&lt;&gt;Withdrawn")))</f>
        <v/>
      </c>
      <c r="I48" s="24" t="str">
        <f aca="false">IF($A48="","",IF(F48=0,"Not deployed",IF(F48&gt;=Setup!$H$2,"High load","Deployed")))</f>
        <v/>
      </c>
      <c r="J48" s="35" t="str">
        <f aca="false">IF(N(F48)=0,"",F48+MIN(G48,999)/1000+(1000-ROW())/10000000)</f>
        <v/>
      </c>
      <c r="K48" s="30" t="str">
        <f aca="false">IF(I48="Not deployed",COUNTIF($I$2:I48,"Not deployed"),"")</f>
        <v/>
      </c>
    </row>
    <row r="49" customFormat="false" ht="15" hidden="false" customHeight="false" outlineLevel="0" collapsed="false">
      <c r="F49" s="30" t="str">
        <f aca="false">IF($A49="","",COUNTIFS(Deployments!$B$2:$B$1001,$A49,Deployments!$D$2:$D$1001,"&lt;&gt;Withdrawn"))</f>
        <v/>
      </c>
      <c r="G49" s="25" t="str">
        <f aca="false">IF($A49="","",SUMIFS(Deployments!$K$2:$K$1001,Deployments!$B$2:$B$1001,$A49))</f>
        <v/>
      </c>
      <c r="H49" s="23" t="str">
        <f aca="false">IF(N(F49)=0,"",IF(_xlfn.MAXIFS(Deployments!$G$2:$G$1001,Deployments!$B$2:$B$1001,$A49,Deployments!$D$2:$D$1001,"&lt;&gt;Withdrawn")=0,"",_xlfn.MAXIFS(Deployments!$G$2:$G$1001,Deployments!$B$2:$B$1001,$A49,Deployments!$D$2:$D$1001,"&lt;&gt;Withdrawn")))</f>
        <v/>
      </c>
      <c r="I49" s="24" t="str">
        <f aca="false">IF($A49="","",IF(F49=0,"Not deployed",IF(F49&gt;=Setup!$H$2,"High load","Deployed")))</f>
        <v/>
      </c>
      <c r="J49" s="35" t="str">
        <f aca="false">IF(N(F49)=0,"",F49+MIN(G49,999)/1000+(1000-ROW())/10000000)</f>
        <v/>
      </c>
      <c r="K49" s="30" t="str">
        <f aca="false">IF(I49="Not deployed",COUNTIF($I$2:I49,"Not deployed"),"")</f>
        <v/>
      </c>
    </row>
    <row r="50" customFormat="false" ht="15" hidden="false" customHeight="false" outlineLevel="0" collapsed="false">
      <c r="F50" s="30" t="str">
        <f aca="false">IF($A50="","",COUNTIFS(Deployments!$B$2:$B$1001,$A50,Deployments!$D$2:$D$1001,"&lt;&gt;Withdrawn"))</f>
        <v/>
      </c>
      <c r="G50" s="25" t="str">
        <f aca="false">IF($A50="","",SUMIFS(Deployments!$K$2:$K$1001,Deployments!$B$2:$B$1001,$A50))</f>
        <v/>
      </c>
      <c r="H50" s="23" t="str">
        <f aca="false">IF(N(F50)=0,"",IF(_xlfn.MAXIFS(Deployments!$G$2:$G$1001,Deployments!$B$2:$B$1001,$A50,Deployments!$D$2:$D$1001,"&lt;&gt;Withdrawn")=0,"",_xlfn.MAXIFS(Deployments!$G$2:$G$1001,Deployments!$B$2:$B$1001,$A50,Deployments!$D$2:$D$1001,"&lt;&gt;Withdrawn")))</f>
        <v/>
      </c>
      <c r="I50" s="24" t="str">
        <f aca="false">IF($A50="","",IF(F50=0,"Not deployed",IF(F50&gt;=Setup!$H$2,"High load","Deployed")))</f>
        <v/>
      </c>
      <c r="J50" s="35" t="str">
        <f aca="false">IF(N(F50)=0,"",F50+MIN(G50,999)/1000+(1000-ROW())/10000000)</f>
        <v/>
      </c>
      <c r="K50" s="30" t="str">
        <f aca="false">IF(I50="Not deployed",COUNTIF($I$2:I50,"Not deployed"),"")</f>
        <v/>
      </c>
    </row>
    <row r="51" customFormat="false" ht="15" hidden="false" customHeight="false" outlineLevel="0" collapsed="false">
      <c r="F51" s="30" t="str">
        <f aca="false">IF($A51="","",COUNTIFS(Deployments!$B$2:$B$1001,$A51,Deployments!$D$2:$D$1001,"&lt;&gt;Withdrawn"))</f>
        <v/>
      </c>
      <c r="G51" s="25" t="str">
        <f aca="false">IF($A51="","",SUMIFS(Deployments!$K$2:$K$1001,Deployments!$B$2:$B$1001,$A51))</f>
        <v/>
      </c>
      <c r="H51" s="23" t="str">
        <f aca="false">IF(N(F51)=0,"",IF(_xlfn.MAXIFS(Deployments!$G$2:$G$1001,Deployments!$B$2:$B$1001,$A51,Deployments!$D$2:$D$1001,"&lt;&gt;Withdrawn")=0,"",_xlfn.MAXIFS(Deployments!$G$2:$G$1001,Deployments!$B$2:$B$1001,$A51,Deployments!$D$2:$D$1001,"&lt;&gt;Withdrawn")))</f>
        <v/>
      </c>
      <c r="I51" s="24" t="str">
        <f aca="false">IF($A51="","",IF(F51=0,"Not deployed",IF(F51&gt;=Setup!$H$2,"High load","Deployed")))</f>
        <v/>
      </c>
      <c r="J51" s="35" t="str">
        <f aca="false">IF(N(F51)=0,"",F51+MIN(G51,999)/1000+(1000-ROW())/10000000)</f>
        <v/>
      </c>
      <c r="K51" s="30" t="str">
        <f aca="false">IF(I51="Not deployed",COUNTIF($I$2:I51,"Not deployed"),"")</f>
        <v/>
      </c>
    </row>
    <row r="52" customFormat="false" ht="15" hidden="false" customHeight="false" outlineLevel="0" collapsed="false">
      <c r="F52" s="30" t="str">
        <f aca="false">IF($A52="","",COUNTIFS(Deployments!$B$2:$B$1001,$A52,Deployments!$D$2:$D$1001,"&lt;&gt;Withdrawn"))</f>
        <v/>
      </c>
      <c r="G52" s="25" t="str">
        <f aca="false">IF($A52="","",SUMIFS(Deployments!$K$2:$K$1001,Deployments!$B$2:$B$1001,$A52))</f>
        <v/>
      </c>
      <c r="H52" s="23" t="str">
        <f aca="false">IF(N(F52)=0,"",IF(_xlfn.MAXIFS(Deployments!$G$2:$G$1001,Deployments!$B$2:$B$1001,$A52,Deployments!$D$2:$D$1001,"&lt;&gt;Withdrawn")=0,"",_xlfn.MAXIFS(Deployments!$G$2:$G$1001,Deployments!$B$2:$B$1001,$A52,Deployments!$D$2:$D$1001,"&lt;&gt;Withdrawn")))</f>
        <v/>
      </c>
      <c r="I52" s="24" t="str">
        <f aca="false">IF($A52="","",IF(F52=0,"Not deployed",IF(F52&gt;=Setup!$H$2,"High load","Deployed")))</f>
        <v/>
      </c>
      <c r="J52" s="35" t="str">
        <f aca="false">IF(N(F52)=0,"",F52+MIN(G52,999)/1000+(1000-ROW())/10000000)</f>
        <v/>
      </c>
      <c r="K52" s="30" t="str">
        <f aca="false">IF(I52="Not deployed",COUNTIF($I$2:I52,"Not deployed"),"")</f>
        <v/>
      </c>
    </row>
    <row r="53" customFormat="false" ht="15" hidden="false" customHeight="false" outlineLevel="0" collapsed="false">
      <c r="F53" s="30" t="str">
        <f aca="false">IF($A53="","",COUNTIFS(Deployments!$B$2:$B$1001,$A53,Deployments!$D$2:$D$1001,"&lt;&gt;Withdrawn"))</f>
        <v/>
      </c>
      <c r="G53" s="25" t="str">
        <f aca="false">IF($A53="","",SUMIFS(Deployments!$K$2:$K$1001,Deployments!$B$2:$B$1001,$A53))</f>
        <v/>
      </c>
      <c r="H53" s="23" t="str">
        <f aca="false">IF(N(F53)=0,"",IF(_xlfn.MAXIFS(Deployments!$G$2:$G$1001,Deployments!$B$2:$B$1001,$A53,Deployments!$D$2:$D$1001,"&lt;&gt;Withdrawn")=0,"",_xlfn.MAXIFS(Deployments!$G$2:$G$1001,Deployments!$B$2:$B$1001,$A53,Deployments!$D$2:$D$1001,"&lt;&gt;Withdrawn")))</f>
        <v/>
      </c>
      <c r="I53" s="24" t="str">
        <f aca="false">IF($A53="","",IF(F53=0,"Not deployed",IF(F53&gt;=Setup!$H$2,"High load","Deployed")))</f>
        <v/>
      </c>
      <c r="J53" s="35" t="str">
        <f aca="false">IF(N(F53)=0,"",F53+MIN(G53,999)/1000+(1000-ROW())/10000000)</f>
        <v/>
      </c>
      <c r="K53" s="30" t="str">
        <f aca="false">IF(I53="Not deployed",COUNTIF($I$2:I53,"Not deployed"),"")</f>
        <v/>
      </c>
    </row>
    <row r="54" customFormat="false" ht="15" hidden="false" customHeight="false" outlineLevel="0" collapsed="false">
      <c r="F54" s="30" t="str">
        <f aca="false">IF($A54="","",COUNTIFS(Deployments!$B$2:$B$1001,$A54,Deployments!$D$2:$D$1001,"&lt;&gt;Withdrawn"))</f>
        <v/>
      </c>
      <c r="G54" s="25" t="str">
        <f aca="false">IF($A54="","",SUMIFS(Deployments!$K$2:$K$1001,Deployments!$B$2:$B$1001,$A54))</f>
        <v/>
      </c>
      <c r="H54" s="23" t="str">
        <f aca="false">IF(N(F54)=0,"",IF(_xlfn.MAXIFS(Deployments!$G$2:$G$1001,Deployments!$B$2:$B$1001,$A54,Deployments!$D$2:$D$1001,"&lt;&gt;Withdrawn")=0,"",_xlfn.MAXIFS(Deployments!$G$2:$G$1001,Deployments!$B$2:$B$1001,$A54,Deployments!$D$2:$D$1001,"&lt;&gt;Withdrawn")))</f>
        <v/>
      </c>
      <c r="I54" s="24" t="str">
        <f aca="false">IF($A54="","",IF(F54=0,"Not deployed",IF(F54&gt;=Setup!$H$2,"High load","Deployed")))</f>
        <v/>
      </c>
      <c r="J54" s="35" t="str">
        <f aca="false">IF(N(F54)=0,"",F54+MIN(G54,999)/1000+(1000-ROW())/10000000)</f>
        <v/>
      </c>
      <c r="K54" s="30" t="str">
        <f aca="false">IF(I54="Not deployed",COUNTIF($I$2:I54,"Not deployed"),"")</f>
        <v/>
      </c>
    </row>
    <row r="55" customFormat="false" ht="15" hidden="false" customHeight="false" outlineLevel="0" collapsed="false">
      <c r="F55" s="30" t="str">
        <f aca="false">IF($A55="","",COUNTIFS(Deployments!$B$2:$B$1001,$A55,Deployments!$D$2:$D$1001,"&lt;&gt;Withdrawn"))</f>
        <v/>
      </c>
      <c r="G55" s="25" t="str">
        <f aca="false">IF($A55="","",SUMIFS(Deployments!$K$2:$K$1001,Deployments!$B$2:$B$1001,$A55))</f>
        <v/>
      </c>
      <c r="H55" s="23" t="str">
        <f aca="false">IF(N(F55)=0,"",IF(_xlfn.MAXIFS(Deployments!$G$2:$G$1001,Deployments!$B$2:$B$1001,$A55,Deployments!$D$2:$D$1001,"&lt;&gt;Withdrawn")=0,"",_xlfn.MAXIFS(Deployments!$G$2:$G$1001,Deployments!$B$2:$B$1001,$A55,Deployments!$D$2:$D$1001,"&lt;&gt;Withdrawn")))</f>
        <v/>
      </c>
      <c r="I55" s="24" t="str">
        <f aca="false">IF($A55="","",IF(F55=0,"Not deployed",IF(F55&gt;=Setup!$H$2,"High load","Deployed")))</f>
        <v/>
      </c>
      <c r="J55" s="35" t="str">
        <f aca="false">IF(N(F55)=0,"",F55+MIN(G55,999)/1000+(1000-ROW())/10000000)</f>
        <v/>
      </c>
      <c r="K55" s="30" t="str">
        <f aca="false">IF(I55="Not deployed",COUNTIF($I$2:I55,"Not deployed"),"")</f>
        <v/>
      </c>
    </row>
    <row r="56" customFormat="false" ht="15" hidden="false" customHeight="false" outlineLevel="0" collapsed="false">
      <c r="F56" s="30" t="str">
        <f aca="false">IF($A56="","",COUNTIFS(Deployments!$B$2:$B$1001,$A56,Deployments!$D$2:$D$1001,"&lt;&gt;Withdrawn"))</f>
        <v/>
      </c>
      <c r="G56" s="25" t="str">
        <f aca="false">IF($A56="","",SUMIFS(Deployments!$K$2:$K$1001,Deployments!$B$2:$B$1001,$A56))</f>
        <v/>
      </c>
      <c r="H56" s="23" t="str">
        <f aca="false">IF(N(F56)=0,"",IF(_xlfn.MAXIFS(Deployments!$G$2:$G$1001,Deployments!$B$2:$B$1001,$A56,Deployments!$D$2:$D$1001,"&lt;&gt;Withdrawn")=0,"",_xlfn.MAXIFS(Deployments!$G$2:$G$1001,Deployments!$B$2:$B$1001,$A56,Deployments!$D$2:$D$1001,"&lt;&gt;Withdrawn")))</f>
        <v/>
      </c>
      <c r="I56" s="24" t="str">
        <f aca="false">IF($A56="","",IF(F56=0,"Not deployed",IF(F56&gt;=Setup!$H$2,"High load","Deployed")))</f>
        <v/>
      </c>
      <c r="J56" s="35" t="str">
        <f aca="false">IF(N(F56)=0,"",F56+MIN(G56,999)/1000+(1000-ROW())/10000000)</f>
        <v/>
      </c>
      <c r="K56" s="30" t="str">
        <f aca="false">IF(I56="Not deployed",COUNTIF($I$2:I56,"Not deployed"),"")</f>
        <v/>
      </c>
    </row>
    <row r="57" customFormat="false" ht="15" hidden="false" customHeight="false" outlineLevel="0" collapsed="false">
      <c r="F57" s="30" t="str">
        <f aca="false">IF($A57="","",COUNTIFS(Deployments!$B$2:$B$1001,$A57,Deployments!$D$2:$D$1001,"&lt;&gt;Withdrawn"))</f>
        <v/>
      </c>
      <c r="G57" s="25" t="str">
        <f aca="false">IF($A57="","",SUMIFS(Deployments!$K$2:$K$1001,Deployments!$B$2:$B$1001,$A57))</f>
        <v/>
      </c>
      <c r="H57" s="23" t="str">
        <f aca="false">IF(N(F57)=0,"",IF(_xlfn.MAXIFS(Deployments!$G$2:$G$1001,Deployments!$B$2:$B$1001,$A57,Deployments!$D$2:$D$1001,"&lt;&gt;Withdrawn")=0,"",_xlfn.MAXIFS(Deployments!$G$2:$G$1001,Deployments!$B$2:$B$1001,$A57,Deployments!$D$2:$D$1001,"&lt;&gt;Withdrawn")))</f>
        <v/>
      </c>
      <c r="I57" s="24" t="str">
        <f aca="false">IF($A57="","",IF(F57=0,"Not deployed",IF(F57&gt;=Setup!$H$2,"High load","Deployed")))</f>
        <v/>
      </c>
      <c r="J57" s="35" t="str">
        <f aca="false">IF(N(F57)=0,"",F57+MIN(G57,999)/1000+(1000-ROW())/10000000)</f>
        <v/>
      </c>
      <c r="K57" s="30" t="str">
        <f aca="false">IF(I57="Not deployed",COUNTIF($I$2:I57,"Not deployed"),"")</f>
        <v/>
      </c>
    </row>
    <row r="58" customFormat="false" ht="15" hidden="false" customHeight="false" outlineLevel="0" collapsed="false">
      <c r="F58" s="30" t="str">
        <f aca="false">IF($A58="","",COUNTIFS(Deployments!$B$2:$B$1001,$A58,Deployments!$D$2:$D$1001,"&lt;&gt;Withdrawn"))</f>
        <v/>
      </c>
      <c r="G58" s="25" t="str">
        <f aca="false">IF($A58="","",SUMIFS(Deployments!$K$2:$K$1001,Deployments!$B$2:$B$1001,$A58))</f>
        <v/>
      </c>
      <c r="H58" s="23" t="str">
        <f aca="false">IF(N(F58)=0,"",IF(_xlfn.MAXIFS(Deployments!$G$2:$G$1001,Deployments!$B$2:$B$1001,$A58,Deployments!$D$2:$D$1001,"&lt;&gt;Withdrawn")=0,"",_xlfn.MAXIFS(Deployments!$G$2:$G$1001,Deployments!$B$2:$B$1001,$A58,Deployments!$D$2:$D$1001,"&lt;&gt;Withdrawn")))</f>
        <v/>
      </c>
      <c r="I58" s="24" t="str">
        <f aca="false">IF($A58="","",IF(F58=0,"Not deployed",IF(F58&gt;=Setup!$H$2,"High load","Deployed")))</f>
        <v/>
      </c>
      <c r="J58" s="35" t="str">
        <f aca="false">IF(N(F58)=0,"",F58+MIN(G58,999)/1000+(1000-ROW())/10000000)</f>
        <v/>
      </c>
      <c r="K58" s="30" t="str">
        <f aca="false">IF(I58="Not deployed",COUNTIF($I$2:I58,"Not deployed"),"")</f>
        <v/>
      </c>
    </row>
    <row r="59" customFormat="false" ht="15" hidden="false" customHeight="false" outlineLevel="0" collapsed="false">
      <c r="F59" s="30" t="str">
        <f aca="false">IF($A59="","",COUNTIFS(Deployments!$B$2:$B$1001,$A59,Deployments!$D$2:$D$1001,"&lt;&gt;Withdrawn"))</f>
        <v/>
      </c>
      <c r="G59" s="25" t="str">
        <f aca="false">IF($A59="","",SUMIFS(Deployments!$K$2:$K$1001,Deployments!$B$2:$B$1001,$A59))</f>
        <v/>
      </c>
      <c r="H59" s="23" t="str">
        <f aca="false">IF(N(F59)=0,"",IF(_xlfn.MAXIFS(Deployments!$G$2:$G$1001,Deployments!$B$2:$B$1001,$A59,Deployments!$D$2:$D$1001,"&lt;&gt;Withdrawn")=0,"",_xlfn.MAXIFS(Deployments!$G$2:$G$1001,Deployments!$B$2:$B$1001,$A59,Deployments!$D$2:$D$1001,"&lt;&gt;Withdrawn")))</f>
        <v/>
      </c>
      <c r="I59" s="24" t="str">
        <f aca="false">IF($A59="","",IF(F59=0,"Not deployed",IF(F59&gt;=Setup!$H$2,"High load","Deployed")))</f>
        <v/>
      </c>
      <c r="J59" s="35" t="str">
        <f aca="false">IF(N(F59)=0,"",F59+MIN(G59,999)/1000+(1000-ROW())/10000000)</f>
        <v/>
      </c>
      <c r="K59" s="30" t="str">
        <f aca="false">IF(I59="Not deployed",COUNTIF($I$2:I59,"Not deployed"),"")</f>
        <v/>
      </c>
    </row>
    <row r="60" customFormat="false" ht="15" hidden="false" customHeight="false" outlineLevel="0" collapsed="false">
      <c r="F60" s="30" t="str">
        <f aca="false">IF($A60="","",COUNTIFS(Deployments!$B$2:$B$1001,$A60,Deployments!$D$2:$D$1001,"&lt;&gt;Withdrawn"))</f>
        <v/>
      </c>
      <c r="G60" s="25" t="str">
        <f aca="false">IF($A60="","",SUMIFS(Deployments!$K$2:$K$1001,Deployments!$B$2:$B$1001,$A60))</f>
        <v/>
      </c>
      <c r="H60" s="23" t="str">
        <f aca="false">IF(N(F60)=0,"",IF(_xlfn.MAXIFS(Deployments!$G$2:$G$1001,Deployments!$B$2:$B$1001,$A60,Deployments!$D$2:$D$1001,"&lt;&gt;Withdrawn")=0,"",_xlfn.MAXIFS(Deployments!$G$2:$G$1001,Deployments!$B$2:$B$1001,$A60,Deployments!$D$2:$D$1001,"&lt;&gt;Withdrawn")))</f>
        <v/>
      </c>
      <c r="I60" s="24" t="str">
        <f aca="false">IF($A60="","",IF(F60=0,"Not deployed",IF(F60&gt;=Setup!$H$2,"High load","Deployed")))</f>
        <v/>
      </c>
      <c r="J60" s="35" t="str">
        <f aca="false">IF(N(F60)=0,"",F60+MIN(G60,999)/1000+(1000-ROW())/10000000)</f>
        <v/>
      </c>
      <c r="K60" s="30" t="str">
        <f aca="false">IF(I60="Not deployed",COUNTIF($I$2:I60,"Not deployed"),"")</f>
        <v/>
      </c>
    </row>
    <row r="61" customFormat="false" ht="15" hidden="false" customHeight="false" outlineLevel="0" collapsed="false">
      <c r="F61" s="30" t="str">
        <f aca="false">IF($A61="","",COUNTIFS(Deployments!$B$2:$B$1001,$A61,Deployments!$D$2:$D$1001,"&lt;&gt;Withdrawn"))</f>
        <v/>
      </c>
      <c r="G61" s="25" t="str">
        <f aca="false">IF($A61="","",SUMIFS(Deployments!$K$2:$K$1001,Deployments!$B$2:$B$1001,$A61))</f>
        <v/>
      </c>
      <c r="H61" s="23" t="str">
        <f aca="false">IF(N(F61)=0,"",IF(_xlfn.MAXIFS(Deployments!$G$2:$G$1001,Deployments!$B$2:$B$1001,$A61,Deployments!$D$2:$D$1001,"&lt;&gt;Withdrawn")=0,"",_xlfn.MAXIFS(Deployments!$G$2:$G$1001,Deployments!$B$2:$B$1001,$A61,Deployments!$D$2:$D$1001,"&lt;&gt;Withdrawn")))</f>
        <v/>
      </c>
      <c r="I61" s="24" t="str">
        <f aca="false">IF($A61="","",IF(F61=0,"Not deployed",IF(F61&gt;=Setup!$H$2,"High load","Deployed")))</f>
        <v/>
      </c>
      <c r="J61" s="35" t="str">
        <f aca="false">IF(N(F61)=0,"",F61+MIN(G61,999)/1000+(1000-ROW())/10000000)</f>
        <v/>
      </c>
      <c r="K61" s="30" t="str">
        <f aca="false">IF(I61="Not deployed",COUNTIF($I$2:I61,"Not deployed"),"")</f>
        <v/>
      </c>
    </row>
    <row r="62" customFormat="false" ht="15" hidden="false" customHeight="false" outlineLevel="0" collapsed="false">
      <c r="F62" s="30" t="str">
        <f aca="false">IF($A62="","",COUNTIFS(Deployments!$B$2:$B$1001,$A62,Deployments!$D$2:$D$1001,"&lt;&gt;Withdrawn"))</f>
        <v/>
      </c>
      <c r="G62" s="25" t="str">
        <f aca="false">IF($A62="","",SUMIFS(Deployments!$K$2:$K$1001,Deployments!$B$2:$B$1001,$A62))</f>
        <v/>
      </c>
      <c r="H62" s="23" t="str">
        <f aca="false">IF(N(F62)=0,"",IF(_xlfn.MAXIFS(Deployments!$G$2:$G$1001,Deployments!$B$2:$B$1001,$A62,Deployments!$D$2:$D$1001,"&lt;&gt;Withdrawn")=0,"",_xlfn.MAXIFS(Deployments!$G$2:$G$1001,Deployments!$B$2:$B$1001,$A62,Deployments!$D$2:$D$1001,"&lt;&gt;Withdrawn")))</f>
        <v/>
      </c>
      <c r="I62" s="24" t="str">
        <f aca="false">IF($A62="","",IF(F62=0,"Not deployed",IF(F62&gt;=Setup!$H$2,"High load","Deployed")))</f>
        <v/>
      </c>
      <c r="J62" s="35" t="str">
        <f aca="false">IF(N(F62)=0,"",F62+MIN(G62,999)/1000+(1000-ROW())/10000000)</f>
        <v/>
      </c>
      <c r="K62" s="30" t="str">
        <f aca="false">IF(I62="Not deployed",COUNTIF($I$2:I62,"Not deployed"),"")</f>
        <v/>
      </c>
    </row>
    <row r="63" customFormat="false" ht="15" hidden="false" customHeight="false" outlineLevel="0" collapsed="false">
      <c r="F63" s="30" t="str">
        <f aca="false">IF($A63="","",COUNTIFS(Deployments!$B$2:$B$1001,$A63,Deployments!$D$2:$D$1001,"&lt;&gt;Withdrawn"))</f>
        <v/>
      </c>
      <c r="G63" s="25" t="str">
        <f aca="false">IF($A63="","",SUMIFS(Deployments!$K$2:$K$1001,Deployments!$B$2:$B$1001,$A63))</f>
        <v/>
      </c>
      <c r="H63" s="23" t="str">
        <f aca="false">IF(N(F63)=0,"",IF(_xlfn.MAXIFS(Deployments!$G$2:$G$1001,Deployments!$B$2:$B$1001,$A63,Deployments!$D$2:$D$1001,"&lt;&gt;Withdrawn")=0,"",_xlfn.MAXIFS(Deployments!$G$2:$G$1001,Deployments!$B$2:$B$1001,$A63,Deployments!$D$2:$D$1001,"&lt;&gt;Withdrawn")))</f>
        <v/>
      </c>
      <c r="I63" s="24" t="str">
        <f aca="false">IF($A63="","",IF(F63=0,"Not deployed",IF(F63&gt;=Setup!$H$2,"High load","Deployed")))</f>
        <v/>
      </c>
      <c r="J63" s="35" t="str">
        <f aca="false">IF(N(F63)=0,"",F63+MIN(G63,999)/1000+(1000-ROW())/10000000)</f>
        <v/>
      </c>
      <c r="K63" s="30" t="str">
        <f aca="false">IF(I63="Not deployed",COUNTIF($I$2:I63,"Not deployed"),"")</f>
        <v/>
      </c>
    </row>
    <row r="64" customFormat="false" ht="15" hidden="false" customHeight="false" outlineLevel="0" collapsed="false">
      <c r="F64" s="30" t="str">
        <f aca="false">IF($A64="","",COUNTIFS(Deployments!$B$2:$B$1001,$A64,Deployments!$D$2:$D$1001,"&lt;&gt;Withdrawn"))</f>
        <v/>
      </c>
      <c r="G64" s="25" t="str">
        <f aca="false">IF($A64="","",SUMIFS(Deployments!$K$2:$K$1001,Deployments!$B$2:$B$1001,$A64))</f>
        <v/>
      </c>
      <c r="H64" s="23" t="str">
        <f aca="false">IF(N(F64)=0,"",IF(_xlfn.MAXIFS(Deployments!$G$2:$G$1001,Deployments!$B$2:$B$1001,$A64,Deployments!$D$2:$D$1001,"&lt;&gt;Withdrawn")=0,"",_xlfn.MAXIFS(Deployments!$G$2:$G$1001,Deployments!$B$2:$B$1001,$A64,Deployments!$D$2:$D$1001,"&lt;&gt;Withdrawn")))</f>
        <v/>
      </c>
      <c r="I64" s="24" t="str">
        <f aca="false">IF($A64="","",IF(F64=0,"Not deployed",IF(F64&gt;=Setup!$H$2,"High load","Deployed")))</f>
        <v/>
      </c>
      <c r="J64" s="35" t="str">
        <f aca="false">IF(N(F64)=0,"",F64+MIN(G64,999)/1000+(1000-ROW())/10000000)</f>
        <v/>
      </c>
      <c r="K64" s="30" t="str">
        <f aca="false">IF(I64="Not deployed",COUNTIF($I$2:I64,"Not deployed"),"")</f>
        <v/>
      </c>
    </row>
    <row r="65" customFormat="false" ht="15" hidden="false" customHeight="false" outlineLevel="0" collapsed="false">
      <c r="F65" s="30" t="str">
        <f aca="false">IF($A65="","",COUNTIFS(Deployments!$B$2:$B$1001,$A65,Deployments!$D$2:$D$1001,"&lt;&gt;Withdrawn"))</f>
        <v/>
      </c>
      <c r="G65" s="25" t="str">
        <f aca="false">IF($A65="","",SUMIFS(Deployments!$K$2:$K$1001,Deployments!$B$2:$B$1001,$A65))</f>
        <v/>
      </c>
      <c r="H65" s="23" t="str">
        <f aca="false">IF(N(F65)=0,"",IF(_xlfn.MAXIFS(Deployments!$G$2:$G$1001,Deployments!$B$2:$B$1001,$A65,Deployments!$D$2:$D$1001,"&lt;&gt;Withdrawn")=0,"",_xlfn.MAXIFS(Deployments!$G$2:$G$1001,Deployments!$B$2:$B$1001,$A65,Deployments!$D$2:$D$1001,"&lt;&gt;Withdrawn")))</f>
        <v/>
      </c>
      <c r="I65" s="24" t="str">
        <f aca="false">IF($A65="","",IF(F65=0,"Not deployed",IF(F65&gt;=Setup!$H$2,"High load","Deployed")))</f>
        <v/>
      </c>
      <c r="J65" s="35" t="str">
        <f aca="false">IF(N(F65)=0,"",F65+MIN(G65,999)/1000+(1000-ROW())/10000000)</f>
        <v/>
      </c>
      <c r="K65" s="30" t="str">
        <f aca="false">IF(I65="Not deployed",COUNTIF($I$2:I65,"Not deployed"),"")</f>
        <v/>
      </c>
    </row>
    <row r="66" customFormat="false" ht="15" hidden="false" customHeight="false" outlineLevel="0" collapsed="false">
      <c r="F66" s="30" t="str">
        <f aca="false">IF($A66="","",COUNTIFS(Deployments!$B$2:$B$1001,$A66,Deployments!$D$2:$D$1001,"&lt;&gt;Withdrawn"))</f>
        <v/>
      </c>
      <c r="G66" s="25" t="str">
        <f aca="false">IF($A66="","",SUMIFS(Deployments!$K$2:$K$1001,Deployments!$B$2:$B$1001,$A66))</f>
        <v/>
      </c>
      <c r="H66" s="23" t="str">
        <f aca="false">IF(N(F66)=0,"",IF(_xlfn.MAXIFS(Deployments!$G$2:$G$1001,Deployments!$B$2:$B$1001,$A66,Deployments!$D$2:$D$1001,"&lt;&gt;Withdrawn")=0,"",_xlfn.MAXIFS(Deployments!$G$2:$G$1001,Deployments!$B$2:$B$1001,$A66,Deployments!$D$2:$D$1001,"&lt;&gt;Withdrawn")))</f>
        <v/>
      </c>
      <c r="I66" s="24" t="str">
        <f aca="false">IF($A66="","",IF(F66=0,"Not deployed",IF(F66&gt;=Setup!$H$2,"High load","Deployed")))</f>
        <v/>
      </c>
      <c r="J66" s="35" t="str">
        <f aca="false">IF(N(F66)=0,"",F66+MIN(G66,999)/1000+(1000-ROW())/10000000)</f>
        <v/>
      </c>
      <c r="K66" s="30" t="str">
        <f aca="false">IF(I66="Not deployed",COUNTIF($I$2:I66,"Not deployed"),"")</f>
        <v/>
      </c>
    </row>
    <row r="67" customFormat="false" ht="15" hidden="false" customHeight="false" outlineLevel="0" collapsed="false">
      <c r="F67" s="30" t="str">
        <f aca="false">IF($A67="","",COUNTIFS(Deployments!$B$2:$B$1001,$A67,Deployments!$D$2:$D$1001,"&lt;&gt;Withdrawn"))</f>
        <v/>
      </c>
      <c r="G67" s="25" t="str">
        <f aca="false">IF($A67="","",SUMIFS(Deployments!$K$2:$K$1001,Deployments!$B$2:$B$1001,$A67))</f>
        <v/>
      </c>
      <c r="H67" s="23" t="str">
        <f aca="false">IF(N(F67)=0,"",IF(_xlfn.MAXIFS(Deployments!$G$2:$G$1001,Deployments!$B$2:$B$1001,$A67,Deployments!$D$2:$D$1001,"&lt;&gt;Withdrawn")=0,"",_xlfn.MAXIFS(Deployments!$G$2:$G$1001,Deployments!$B$2:$B$1001,$A67,Deployments!$D$2:$D$1001,"&lt;&gt;Withdrawn")))</f>
        <v/>
      </c>
      <c r="I67" s="24" t="str">
        <f aca="false">IF($A67="","",IF(F67=0,"Not deployed",IF(F67&gt;=Setup!$H$2,"High load","Deployed")))</f>
        <v/>
      </c>
      <c r="J67" s="35" t="str">
        <f aca="false">IF(N(F67)=0,"",F67+MIN(G67,999)/1000+(1000-ROW())/10000000)</f>
        <v/>
      </c>
      <c r="K67" s="30" t="str">
        <f aca="false">IF(I67="Not deployed",COUNTIF($I$2:I67,"Not deployed"),"")</f>
        <v/>
      </c>
    </row>
    <row r="68" customFormat="false" ht="15" hidden="false" customHeight="false" outlineLevel="0" collapsed="false">
      <c r="F68" s="30" t="str">
        <f aca="false">IF($A68="","",COUNTIFS(Deployments!$B$2:$B$1001,$A68,Deployments!$D$2:$D$1001,"&lt;&gt;Withdrawn"))</f>
        <v/>
      </c>
      <c r="G68" s="25" t="str">
        <f aca="false">IF($A68="","",SUMIFS(Deployments!$K$2:$K$1001,Deployments!$B$2:$B$1001,$A68))</f>
        <v/>
      </c>
      <c r="H68" s="23" t="str">
        <f aca="false">IF(N(F68)=0,"",IF(_xlfn.MAXIFS(Deployments!$G$2:$G$1001,Deployments!$B$2:$B$1001,$A68,Deployments!$D$2:$D$1001,"&lt;&gt;Withdrawn")=0,"",_xlfn.MAXIFS(Deployments!$G$2:$G$1001,Deployments!$B$2:$B$1001,$A68,Deployments!$D$2:$D$1001,"&lt;&gt;Withdrawn")))</f>
        <v/>
      </c>
      <c r="I68" s="24" t="str">
        <f aca="false">IF($A68="","",IF(F68=0,"Not deployed",IF(F68&gt;=Setup!$H$2,"High load","Deployed")))</f>
        <v/>
      </c>
      <c r="J68" s="35" t="str">
        <f aca="false">IF(N(F68)=0,"",F68+MIN(G68,999)/1000+(1000-ROW())/10000000)</f>
        <v/>
      </c>
      <c r="K68" s="30" t="str">
        <f aca="false">IF(I68="Not deployed",COUNTIF($I$2:I68,"Not deployed"),"")</f>
        <v/>
      </c>
    </row>
    <row r="69" customFormat="false" ht="15" hidden="false" customHeight="false" outlineLevel="0" collapsed="false">
      <c r="F69" s="30" t="str">
        <f aca="false">IF($A69="","",COUNTIFS(Deployments!$B$2:$B$1001,$A69,Deployments!$D$2:$D$1001,"&lt;&gt;Withdrawn"))</f>
        <v/>
      </c>
      <c r="G69" s="25" t="str">
        <f aca="false">IF($A69="","",SUMIFS(Deployments!$K$2:$K$1001,Deployments!$B$2:$B$1001,$A69))</f>
        <v/>
      </c>
      <c r="H69" s="23" t="str">
        <f aca="false">IF(N(F69)=0,"",IF(_xlfn.MAXIFS(Deployments!$G$2:$G$1001,Deployments!$B$2:$B$1001,$A69,Deployments!$D$2:$D$1001,"&lt;&gt;Withdrawn")=0,"",_xlfn.MAXIFS(Deployments!$G$2:$G$1001,Deployments!$B$2:$B$1001,$A69,Deployments!$D$2:$D$1001,"&lt;&gt;Withdrawn")))</f>
        <v/>
      </c>
      <c r="I69" s="24" t="str">
        <f aca="false">IF($A69="","",IF(F69=0,"Not deployed",IF(F69&gt;=Setup!$H$2,"High load","Deployed")))</f>
        <v/>
      </c>
      <c r="J69" s="35" t="str">
        <f aca="false">IF(N(F69)=0,"",F69+MIN(G69,999)/1000+(1000-ROW())/10000000)</f>
        <v/>
      </c>
      <c r="K69" s="30" t="str">
        <f aca="false">IF(I69="Not deployed",COUNTIF($I$2:I69,"Not deployed"),"")</f>
        <v/>
      </c>
    </row>
    <row r="70" customFormat="false" ht="15" hidden="false" customHeight="false" outlineLevel="0" collapsed="false">
      <c r="F70" s="30" t="str">
        <f aca="false">IF($A70="","",COUNTIFS(Deployments!$B$2:$B$1001,$A70,Deployments!$D$2:$D$1001,"&lt;&gt;Withdrawn"))</f>
        <v/>
      </c>
      <c r="G70" s="25" t="str">
        <f aca="false">IF($A70="","",SUMIFS(Deployments!$K$2:$K$1001,Deployments!$B$2:$B$1001,$A70))</f>
        <v/>
      </c>
      <c r="H70" s="23" t="str">
        <f aca="false">IF(N(F70)=0,"",IF(_xlfn.MAXIFS(Deployments!$G$2:$G$1001,Deployments!$B$2:$B$1001,$A70,Deployments!$D$2:$D$1001,"&lt;&gt;Withdrawn")=0,"",_xlfn.MAXIFS(Deployments!$G$2:$G$1001,Deployments!$B$2:$B$1001,$A70,Deployments!$D$2:$D$1001,"&lt;&gt;Withdrawn")))</f>
        <v/>
      </c>
      <c r="I70" s="24" t="str">
        <f aca="false">IF($A70="","",IF(F70=0,"Not deployed",IF(F70&gt;=Setup!$H$2,"High load","Deployed")))</f>
        <v/>
      </c>
      <c r="J70" s="35" t="str">
        <f aca="false">IF(N(F70)=0,"",F70+MIN(G70,999)/1000+(1000-ROW())/10000000)</f>
        <v/>
      </c>
      <c r="K70" s="30" t="str">
        <f aca="false">IF(I70="Not deployed",COUNTIF($I$2:I70,"Not deployed"),"")</f>
        <v/>
      </c>
    </row>
    <row r="71" customFormat="false" ht="15" hidden="false" customHeight="false" outlineLevel="0" collapsed="false">
      <c r="F71" s="30" t="str">
        <f aca="false">IF($A71="","",COUNTIFS(Deployments!$B$2:$B$1001,$A71,Deployments!$D$2:$D$1001,"&lt;&gt;Withdrawn"))</f>
        <v/>
      </c>
      <c r="G71" s="25" t="str">
        <f aca="false">IF($A71="","",SUMIFS(Deployments!$K$2:$K$1001,Deployments!$B$2:$B$1001,$A71))</f>
        <v/>
      </c>
      <c r="H71" s="23" t="str">
        <f aca="false">IF(N(F71)=0,"",IF(_xlfn.MAXIFS(Deployments!$G$2:$G$1001,Deployments!$B$2:$B$1001,$A71,Deployments!$D$2:$D$1001,"&lt;&gt;Withdrawn")=0,"",_xlfn.MAXIFS(Deployments!$G$2:$G$1001,Deployments!$B$2:$B$1001,$A71,Deployments!$D$2:$D$1001,"&lt;&gt;Withdrawn")))</f>
        <v/>
      </c>
      <c r="I71" s="24" t="str">
        <f aca="false">IF($A71="","",IF(F71=0,"Not deployed",IF(F71&gt;=Setup!$H$2,"High load","Deployed")))</f>
        <v/>
      </c>
      <c r="J71" s="35" t="str">
        <f aca="false">IF(N(F71)=0,"",F71+MIN(G71,999)/1000+(1000-ROW())/10000000)</f>
        <v/>
      </c>
      <c r="K71" s="30" t="str">
        <f aca="false">IF(I71="Not deployed",COUNTIF($I$2:I71,"Not deployed"),"")</f>
        <v/>
      </c>
    </row>
    <row r="72" customFormat="false" ht="15" hidden="false" customHeight="false" outlineLevel="0" collapsed="false">
      <c r="F72" s="30" t="str">
        <f aca="false">IF($A72="","",COUNTIFS(Deployments!$B$2:$B$1001,$A72,Deployments!$D$2:$D$1001,"&lt;&gt;Withdrawn"))</f>
        <v/>
      </c>
      <c r="G72" s="25" t="str">
        <f aca="false">IF($A72="","",SUMIFS(Deployments!$K$2:$K$1001,Deployments!$B$2:$B$1001,$A72))</f>
        <v/>
      </c>
      <c r="H72" s="23" t="str">
        <f aca="false">IF(N(F72)=0,"",IF(_xlfn.MAXIFS(Deployments!$G$2:$G$1001,Deployments!$B$2:$B$1001,$A72,Deployments!$D$2:$D$1001,"&lt;&gt;Withdrawn")=0,"",_xlfn.MAXIFS(Deployments!$G$2:$G$1001,Deployments!$B$2:$B$1001,$A72,Deployments!$D$2:$D$1001,"&lt;&gt;Withdrawn")))</f>
        <v/>
      </c>
      <c r="I72" s="24" t="str">
        <f aca="false">IF($A72="","",IF(F72=0,"Not deployed",IF(F72&gt;=Setup!$H$2,"High load","Deployed")))</f>
        <v/>
      </c>
      <c r="J72" s="35" t="str">
        <f aca="false">IF(N(F72)=0,"",F72+MIN(G72,999)/1000+(1000-ROW())/10000000)</f>
        <v/>
      </c>
      <c r="K72" s="30" t="str">
        <f aca="false">IF(I72="Not deployed",COUNTIF($I$2:I72,"Not deployed"),"")</f>
        <v/>
      </c>
    </row>
    <row r="73" customFormat="false" ht="15" hidden="false" customHeight="false" outlineLevel="0" collapsed="false">
      <c r="F73" s="30" t="str">
        <f aca="false">IF($A73="","",COUNTIFS(Deployments!$B$2:$B$1001,$A73,Deployments!$D$2:$D$1001,"&lt;&gt;Withdrawn"))</f>
        <v/>
      </c>
      <c r="G73" s="25" t="str">
        <f aca="false">IF($A73="","",SUMIFS(Deployments!$K$2:$K$1001,Deployments!$B$2:$B$1001,$A73))</f>
        <v/>
      </c>
      <c r="H73" s="23" t="str">
        <f aca="false">IF(N(F73)=0,"",IF(_xlfn.MAXIFS(Deployments!$G$2:$G$1001,Deployments!$B$2:$B$1001,$A73,Deployments!$D$2:$D$1001,"&lt;&gt;Withdrawn")=0,"",_xlfn.MAXIFS(Deployments!$G$2:$G$1001,Deployments!$B$2:$B$1001,$A73,Deployments!$D$2:$D$1001,"&lt;&gt;Withdrawn")))</f>
        <v/>
      </c>
      <c r="I73" s="24" t="str">
        <f aca="false">IF($A73="","",IF(F73=0,"Not deployed",IF(F73&gt;=Setup!$H$2,"High load","Deployed")))</f>
        <v/>
      </c>
      <c r="J73" s="35" t="str">
        <f aca="false">IF(N(F73)=0,"",F73+MIN(G73,999)/1000+(1000-ROW())/10000000)</f>
        <v/>
      </c>
      <c r="K73" s="30" t="str">
        <f aca="false">IF(I73="Not deployed",COUNTIF($I$2:I73,"Not deployed"),"")</f>
        <v/>
      </c>
    </row>
    <row r="74" customFormat="false" ht="15" hidden="false" customHeight="false" outlineLevel="0" collapsed="false">
      <c r="F74" s="30" t="str">
        <f aca="false">IF($A74="","",COUNTIFS(Deployments!$B$2:$B$1001,$A74,Deployments!$D$2:$D$1001,"&lt;&gt;Withdrawn"))</f>
        <v/>
      </c>
      <c r="G74" s="25" t="str">
        <f aca="false">IF($A74="","",SUMIFS(Deployments!$K$2:$K$1001,Deployments!$B$2:$B$1001,$A74))</f>
        <v/>
      </c>
      <c r="H74" s="23" t="str">
        <f aca="false">IF(N(F74)=0,"",IF(_xlfn.MAXIFS(Deployments!$G$2:$G$1001,Deployments!$B$2:$B$1001,$A74,Deployments!$D$2:$D$1001,"&lt;&gt;Withdrawn")=0,"",_xlfn.MAXIFS(Deployments!$G$2:$G$1001,Deployments!$B$2:$B$1001,$A74,Deployments!$D$2:$D$1001,"&lt;&gt;Withdrawn")))</f>
        <v/>
      </c>
      <c r="I74" s="24" t="str">
        <f aca="false">IF($A74="","",IF(F74=0,"Not deployed",IF(F74&gt;=Setup!$H$2,"High load","Deployed")))</f>
        <v/>
      </c>
      <c r="J74" s="35" t="str">
        <f aca="false">IF(N(F74)=0,"",F74+MIN(G74,999)/1000+(1000-ROW())/10000000)</f>
        <v/>
      </c>
      <c r="K74" s="30" t="str">
        <f aca="false">IF(I74="Not deployed",COUNTIF($I$2:I74,"Not deployed"),"")</f>
        <v/>
      </c>
    </row>
    <row r="75" customFormat="false" ht="15" hidden="false" customHeight="false" outlineLevel="0" collapsed="false">
      <c r="F75" s="30" t="str">
        <f aca="false">IF($A75="","",COUNTIFS(Deployments!$B$2:$B$1001,$A75,Deployments!$D$2:$D$1001,"&lt;&gt;Withdrawn"))</f>
        <v/>
      </c>
      <c r="G75" s="25" t="str">
        <f aca="false">IF($A75="","",SUMIFS(Deployments!$K$2:$K$1001,Deployments!$B$2:$B$1001,$A75))</f>
        <v/>
      </c>
      <c r="H75" s="23" t="str">
        <f aca="false">IF(N(F75)=0,"",IF(_xlfn.MAXIFS(Deployments!$G$2:$G$1001,Deployments!$B$2:$B$1001,$A75,Deployments!$D$2:$D$1001,"&lt;&gt;Withdrawn")=0,"",_xlfn.MAXIFS(Deployments!$G$2:$G$1001,Deployments!$B$2:$B$1001,$A75,Deployments!$D$2:$D$1001,"&lt;&gt;Withdrawn")))</f>
        <v/>
      </c>
      <c r="I75" s="24" t="str">
        <f aca="false">IF($A75="","",IF(F75=0,"Not deployed",IF(F75&gt;=Setup!$H$2,"High load","Deployed")))</f>
        <v/>
      </c>
      <c r="J75" s="35" t="str">
        <f aca="false">IF(N(F75)=0,"",F75+MIN(G75,999)/1000+(1000-ROW())/10000000)</f>
        <v/>
      </c>
      <c r="K75" s="30" t="str">
        <f aca="false">IF(I75="Not deployed",COUNTIF($I$2:I75,"Not deployed"),"")</f>
        <v/>
      </c>
    </row>
    <row r="76" customFormat="false" ht="15" hidden="false" customHeight="false" outlineLevel="0" collapsed="false">
      <c r="F76" s="30" t="str">
        <f aca="false">IF($A76="","",COUNTIFS(Deployments!$B$2:$B$1001,$A76,Deployments!$D$2:$D$1001,"&lt;&gt;Withdrawn"))</f>
        <v/>
      </c>
      <c r="G76" s="25" t="str">
        <f aca="false">IF($A76="","",SUMIFS(Deployments!$K$2:$K$1001,Deployments!$B$2:$B$1001,$A76))</f>
        <v/>
      </c>
      <c r="H76" s="23" t="str">
        <f aca="false">IF(N(F76)=0,"",IF(_xlfn.MAXIFS(Deployments!$G$2:$G$1001,Deployments!$B$2:$B$1001,$A76,Deployments!$D$2:$D$1001,"&lt;&gt;Withdrawn")=0,"",_xlfn.MAXIFS(Deployments!$G$2:$G$1001,Deployments!$B$2:$B$1001,$A76,Deployments!$D$2:$D$1001,"&lt;&gt;Withdrawn")))</f>
        <v/>
      </c>
      <c r="I76" s="24" t="str">
        <f aca="false">IF($A76="","",IF(F76=0,"Not deployed",IF(F76&gt;=Setup!$H$2,"High load","Deployed")))</f>
        <v/>
      </c>
      <c r="J76" s="35" t="str">
        <f aca="false">IF(N(F76)=0,"",F76+MIN(G76,999)/1000+(1000-ROW())/10000000)</f>
        <v/>
      </c>
      <c r="K76" s="30" t="str">
        <f aca="false">IF(I76="Not deployed",COUNTIF($I$2:I76,"Not deployed"),"")</f>
        <v/>
      </c>
    </row>
    <row r="77" customFormat="false" ht="15" hidden="false" customHeight="false" outlineLevel="0" collapsed="false">
      <c r="F77" s="30" t="str">
        <f aca="false">IF($A77="","",COUNTIFS(Deployments!$B$2:$B$1001,$A77,Deployments!$D$2:$D$1001,"&lt;&gt;Withdrawn"))</f>
        <v/>
      </c>
      <c r="G77" s="25" t="str">
        <f aca="false">IF($A77="","",SUMIFS(Deployments!$K$2:$K$1001,Deployments!$B$2:$B$1001,$A77))</f>
        <v/>
      </c>
      <c r="H77" s="23" t="str">
        <f aca="false">IF(N(F77)=0,"",IF(_xlfn.MAXIFS(Deployments!$G$2:$G$1001,Deployments!$B$2:$B$1001,$A77,Deployments!$D$2:$D$1001,"&lt;&gt;Withdrawn")=0,"",_xlfn.MAXIFS(Deployments!$G$2:$G$1001,Deployments!$B$2:$B$1001,$A77,Deployments!$D$2:$D$1001,"&lt;&gt;Withdrawn")))</f>
        <v/>
      </c>
      <c r="I77" s="24" t="str">
        <f aca="false">IF($A77="","",IF(F77=0,"Not deployed",IF(F77&gt;=Setup!$H$2,"High load","Deployed")))</f>
        <v/>
      </c>
      <c r="J77" s="35" t="str">
        <f aca="false">IF(N(F77)=0,"",F77+MIN(G77,999)/1000+(1000-ROW())/10000000)</f>
        <v/>
      </c>
      <c r="K77" s="30" t="str">
        <f aca="false">IF(I77="Not deployed",COUNTIF($I$2:I77,"Not deployed"),"")</f>
        <v/>
      </c>
    </row>
    <row r="78" customFormat="false" ht="15" hidden="false" customHeight="false" outlineLevel="0" collapsed="false">
      <c r="F78" s="30" t="str">
        <f aca="false">IF($A78="","",COUNTIFS(Deployments!$B$2:$B$1001,$A78,Deployments!$D$2:$D$1001,"&lt;&gt;Withdrawn"))</f>
        <v/>
      </c>
      <c r="G78" s="25" t="str">
        <f aca="false">IF($A78="","",SUMIFS(Deployments!$K$2:$K$1001,Deployments!$B$2:$B$1001,$A78))</f>
        <v/>
      </c>
      <c r="H78" s="23" t="str">
        <f aca="false">IF(N(F78)=0,"",IF(_xlfn.MAXIFS(Deployments!$G$2:$G$1001,Deployments!$B$2:$B$1001,$A78,Deployments!$D$2:$D$1001,"&lt;&gt;Withdrawn")=0,"",_xlfn.MAXIFS(Deployments!$G$2:$G$1001,Deployments!$B$2:$B$1001,$A78,Deployments!$D$2:$D$1001,"&lt;&gt;Withdrawn")))</f>
        <v/>
      </c>
      <c r="I78" s="24" t="str">
        <f aca="false">IF($A78="","",IF(F78=0,"Not deployed",IF(F78&gt;=Setup!$H$2,"High load","Deployed")))</f>
        <v/>
      </c>
      <c r="J78" s="35" t="str">
        <f aca="false">IF(N(F78)=0,"",F78+MIN(G78,999)/1000+(1000-ROW())/10000000)</f>
        <v/>
      </c>
      <c r="K78" s="30" t="str">
        <f aca="false">IF(I78="Not deployed",COUNTIF($I$2:I78,"Not deployed"),"")</f>
        <v/>
      </c>
    </row>
    <row r="79" customFormat="false" ht="15" hidden="false" customHeight="false" outlineLevel="0" collapsed="false">
      <c r="F79" s="30" t="str">
        <f aca="false">IF($A79="","",COUNTIFS(Deployments!$B$2:$B$1001,$A79,Deployments!$D$2:$D$1001,"&lt;&gt;Withdrawn"))</f>
        <v/>
      </c>
      <c r="G79" s="25" t="str">
        <f aca="false">IF($A79="","",SUMIFS(Deployments!$K$2:$K$1001,Deployments!$B$2:$B$1001,$A79))</f>
        <v/>
      </c>
      <c r="H79" s="23" t="str">
        <f aca="false">IF(N(F79)=0,"",IF(_xlfn.MAXIFS(Deployments!$G$2:$G$1001,Deployments!$B$2:$B$1001,$A79,Deployments!$D$2:$D$1001,"&lt;&gt;Withdrawn")=0,"",_xlfn.MAXIFS(Deployments!$G$2:$G$1001,Deployments!$B$2:$B$1001,$A79,Deployments!$D$2:$D$1001,"&lt;&gt;Withdrawn")))</f>
        <v/>
      </c>
      <c r="I79" s="24" t="str">
        <f aca="false">IF($A79="","",IF(F79=0,"Not deployed",IF(F79&gt;=Setup!$H$2,"High load","Deployed")))</f>
        <v/>
      </c>
      <c r="J79" s="35" t="str">
        <f aca="false">IF(N(F79)=0,"",F79+MIN(G79,999)/1000+(1000-ROW())/10000000)</f>
        <v/>
      </c>
      <c r="K79" s="30" t="str">
        <f aca="false">IF(I79="Not deployed",COUNTIF($I$2:I79,"Not deployed"),"")</f>
        <v/>
      </c>
    </row>
    <row r="80" customFormat="false" ht="15" hidden="false" customHeight="false" outlineLevel="0" collapsed="false">
      <c r="F80" s="30" t="str">
        <f aca="false">IF($A80="","",COUNTIFS(Deployments!$B$2:$B$1001,$A80,Deployments!$D$2:$D$1001,"&lt;&gt;Withdrawn"))</f>
        <v/>
      </c>
      <c r="G80" s="25" t="str">
        <f aca="false">IF($A80="","",SUMIFS(Deployments!$K$2:$K$1001,Deployments!$B$2:$B$1001,$A80))</f>
        <v/>
      </c>
      <c r="H80" s="23" t="str">
        <f aca="false">IF(N(F80)=0,"",IF(_xlfn.MAXIFS(Deployments!$G$2:$G$1001,Deployments!$B$2:$B$1001,$A80,Deployments!$D$2:$D$1001,"&lt;&gt;Withdrawn")=0,"",_xlfn.MAXIFS(Deployments!$G$2:$G$1001,Deployments!$B$2:$B$1001,$A80,Deployments!$D$2:$D$1001,"&lt;&gt;Withdrawn")))</f>
        <v/>
      </c>
      <c r="I80" s="24" t="str">
        <f aca="false">IF($A80="","",IF(F80=0,"Not deployed",IF(F80&gt;=Setup!$H$2,"High load","Deployed")))</f>
        <v/>
      </c>
      <c r="J80" s="35" t="str">
        <f aca="false">IF(N(F80)=0,"",F80+MIN(G80,999)/1000+(1000-ROW())/10000000)</f>
        <v/>
      </c>
      <c r="K80" s="30" t="str">
        <f aca="false">IF(I80="Not deployed",COUNTIF($I$2:I80,"Not deployed"),"")</f>
        <v/>
      </c>
    </row>
    <row r="81" customFormat="false" ht="15" hidden="false" customHeight="false" outlineLevel="0" collapsed="false">
      <c r="F81" s="30" t="str">
        <f aca="false">IF($A81="","",COUNTIFS(Deployments!$B$2:$B$1001,$A81,Deployments!$D$2:$D$1001,"&lt;&gt;Withdrawn"))</f>
        <v/>
      </c>
      <c r="G81" s="25" t="str">
        <f aca="false">IF($A81="","",SUMIFS(Deployments!$K$2:$K$1001,Deployments!$B$2:$B$1001,$A81))</f>
        <v/>
      </c>
      <c r="H81" s="23" t="str">
        <f aca="false">IF(N(F81)=0,"",IF(_xlfn.MAXIFS(Deployments!$G$2:$G$1001,Deployments!$B$2:$B$1001,$A81,Deployments!$D$2:$D$1001,"&lt;&gt;Withdrawn")=0,"",_xlfn.MAXIFS(Deployments!$G$2:$G$1001,Deployments!$B$2:$B$1001,$A81,Deployments!$D$2:$D$1001,"&lt;&gt;Withdrawn")))</f>
        <v/>
      </c>
      <c r="I81" s="24" t="str">
        <f aca="false">IF($A81="","",IF(F81=0,"Not deployed",IF(F81&gt;=Setup!$H$2,"High load","Deployed")))</f>
        <v/>
      </c>
      <c r="J81" s="35" t="str">
        <f aca="false">IF(N(F81)=0,"",F81+MIN(G81,999)/1000+(1000-ROW())/10000000)</f>
        <v/>
      </c>
      <c r="K81" s="30" t="str">
        <f aca="false">IF(I81="Not deployed",COUNTIF($I$2:I81,"Not deployed"),"")</f>
        <v/>
      </c>
    </row>
    <row r="82" customFormat="false" ht="15" hidden="false" customHeight="false" outlineLevel="0" collapsed="false">
      <c r="F82" s="30" t="str">
        <f aca="false">IF($A82="","",COUNTIFS(Deployments!$B$2:$B$1001,$A82,Deployments!$D$2:$D$1001,"&lt;&gt;Withdrawn"))</f>
        <v/>
      </c>
      <c r="G82" s="25" t="str">
        <f aca="false">IF($A82="","",SUMIFS(Deployments!$K$2:$K$1001,Deployments!$B$2:$B$1001,$A82))</f>
        <v/>
      </c>
      <c r="H82" s="23" t="str">
        <f aca="false">IF(N(F82)=0,"",IF(_xlfn.MAXIFS(Deployments!$G$2:$G$1001,Deployments!$B$2:$B$1001,$A82,Deployments!$D$2:$D$1001,"&lt;&gt;Withdrawn")=0,"",_xlfn.MAXIFS(Deployments!$G$2:$G$1001,Deployments!$B$2:$B$1001,$A82,Deployments!$D$2:$D$1001,"&lt;&gt;Withdrawn")))</f>
        <v/>
      </c>
      <c r="I82" s="24" t="str">
        <f aca="false">IF($A82="","",IF(F82=0,"Not deployed",IF(F82&gt;=Setup!$H$2,"High load","Deployed")))</f>
        <v/>
      </c>
      <c r="J82" s="35" t="str">
        <f aca="false">IF(N(F82)=0,"",F82+MIN(G82,999)/1000+(1000-ROW())/10000000)</f>
        <v/>
      </c>
      <c r="K82" s="30" t="str">
        <f aca="false">IF(I82="Not deployed",COUNTIF($I$2:I82,"Not deployed"),"")</f>
        <v/>
      </c>
    </row>
    <row r="83" customFormat="false" ht="15" hidden="false" customHeight="false" outlineLevel="0" collapsed="false">
      <c r="F83" s="30" t="str">
        <f aca="false">IF($A83="","",COUNTIFS(Deployments!$B$2:$B$1001,$A83,Deployments!$D$2:$D$1001,"&lt;&gt;Withdrawn"))</f>
        <v/>
      </c>
      <c r="G83" s="25" t="str">
        <f aca="false">IF($A83="","",SUMIFS(Deployments!$K$2:$K$1001,Deployments!$B$2:$B$1001,$A83))</f>
        <v/>
      </c>
      <c r="H83" s="23" t="str">
        <f aca="false">IF(N(F83)=0,"",IF(_xlfn.MAXIFS(Deployments!$G$2:$G$1001,Deployments!$B$2:$B$1001,$A83,Deployments!$D$2:$D$1001,"&lt;&gt;Withdrawn")=0,"",_xlfn.MAXIFS(Deployments!$G$2:$G$1001,Deployments!$B$2:$B$1001,$A83,Deployments!$D$2:$D$1001,"&lt;&gt;Withdrawn")))</f>
        <v/>
      </c>
      <c r="I83" s="24" t="str">
        <f aca="false">IF($A83="","",IF(F83=0,"Not deployed",IF(F83&gt;=Setup!$H$2,"High load","Deployed")))</f>
        <v/>
      </c>
      <c r="J83" s="35" t="str">
        <f aca="false">IF(N(F83)=0,"",F83+MIN(G83,999)/1000+(1000-ROW())/10000000)</f>
        <v/>
      </c>
      <c r="K83" s="30" t="str">
        <f aca="false">IF(I83="Not deployed",COUNTIF($I$2:I83,"Not deployed"),"")</f>
        <v/>
      </c>
    </row>
    <row r="84" customFormat="false" ht="15" hidden="false" customHeight="false" outlineLevel="0" collapsed="false">
      <c r="F84" s="30" t="str">
        <f aca="false">IF($A84="","",COUNTIFS(Deployments!$B$2:$B$1001,$A84,Deployments!$D$2:$D$1001,"&lt;&gt;Withdrawn"))</f>
        <v/>
      </c>
      <c r="G84" s="25" t="str">
        <f aca="false">IF($A84="","",SUMIFS(Deployments!$K$2:$K$1001,Deployments!$B$2:$B$1001,$A84))</f>
        <v/>
      </c>
      <c r="H84" s="23" t="str">
        <f aca="false">IF(N(F84)=0,"",IF(_xlfn.MAXIFS(Deployments!$G$2:$G$1001,Deployments!$B$2:$B$1001,$A84,Deployments!$D$2:$D$1001,"&lt;&gt;Withdrawn")=0,"",_xlfn.MAXIFS(Deployments!$G$2:$G$1001,Deployments!$B$2:$B$1001,$A84,Deployments!$D$2:$D$1001,"&lt;&gt;Withdrawn")))</f>
        <v/>
      </c>
      <c r="I84" s="24" t="str">
        <f aca="false">IF($A84="","",IF(F84=0,"Not deployed",IF(F84&gt;=Setup!$H$2,"High load","Deployed")))</f>
        <v/>
      </c>
      <c r="J84" s="35" t="str">
        <f aca="false">IF(N(F84)=0,"",F84+MIN(G84,999)/1000+(1000-ROW())/10000000)</f>
        <v/>
      </c>
      <c r="K84" s="30" t="str">
        <f aca="false">IF(I84="Not deployed",COUNTIF($I$2:I84,"Not deployed"),"")</f>
        <v/>
      </c>
    </row>
    <row r="85" customFormat="false" ht="15" hidden="false" customHeight="false" outlineLevel="0" collapsed="false">
      <c r="F85" s="30" t="str">
        <f aca="false">IF($A85="","",COUNTIFS(Deployments!$B$2:$B$1001,$A85,Deployments!$D$2:$D$1001,"&lt;&gt;Withdrawn"))</f>
        <v/>
      </c>
      <c r="G85" s="25" t="str">
        <f aca="false">IF($A85="","",SUMIFS(Deployments!$K$2:$K$1001,Deployments!$B$2:$B$1001,$A85))</f>
        <v/>
      </c>
      <c r="H85" s="23" t="str">
        <f aca="false">IF(N(F85)=0,"",IF(_xlfn.MAXIFS(Deployments!$G$2:$G$1001,Deployments!$B$2:$B$1001,$A85,Deployments!$D$2:$D$1001,"&lt;&gt;Withdrawn")=0,"",_xlfn.MAXIFS(Deployments!$G$2:$G$1001,Deployments!$B$2:$B$1001,$A85,Deployments!$D$2:$D$1001,"&lt;&gt;Withdrawn")))</f>
        <v/>
      </c>
      <c r="I85" s="24" t="str">
        <f aca="false">IF($A85="","",IF(F85=0,"Not deployed",IF(F85&gt;=Setup!$H$2,"High load","Deployed")))</f>
        <v/>
      </c>
      <c r="J85" s="35" t="str">
        <f aca="false">IF(N(F85)=0,"",F85+MIN(G85,999)/1000+(1000-ROW())/10000000)</f>
        <v/>
      </c>
      <c r="K85" s="30" t="str">
        <f aca="false">IF(I85="Not deployed",COUNTIF($I$2:I85,"Not deployed"),"")</f>
        <v/>
      </c>
    </row>
    <row r="86" customFormat="false" ht="15" hidden="false" customHeight="false" outlineLevel="0" collapsed="false">
      <c r="F86" s="30" t="str">
        <f aca="false">IF($A86="","",COUNTIFS(Deployments!$B$2:$B$1001,$A86,Deployments!$D$2:$D$1001,"&lt;&gt;Withdrawn"))</f>
        <v/>
      </c>
      <c r="G86" s="25" t="str">
        <f aca="false">IF($A86="","",SUMIFS(Deployments!$K$2:$K$1001,Deployments!$B$2:$B$1001,$A86))</f>
        <v/>
      </c>
      <c r="H86" s="23" t="str">
        <f aca="false">IF(N(F86)=0,"",IF(_xlfn.MAXIFS(Deployments!$G$2:$G$1001,Deployments!$B$2:$B$1001,$A86,Deployments!$D$2:$D$1001,"&lt;&gt;Withdrawn")=0,"",_xlfn.MAXIFS(Deployments!$G$2:$G$1001,Deployments!$B$2:$B$1001,$A86,Deployments!$D$2:$D$1001,"&lt;&gt;Withdrawn")))</f>
        <v/>
      </c>
      <c r="I86" s="24" t="str">
        <f aca="false">IF($A86="","",IF(F86=0,"Not deployed",IF(F86&gt;=Setup!$H$2,"High load","Deployed")))</f>
        <v/>
      </c>
      <c r="J86" s="35" t="str">
        <f aca="false">IF(N(F86)=0,"",F86+MIN(G86,999)/1000+(1000-ROW())/10000000)</f>
        <v/>
      </c>
      <c r="K86" s="30" t="str">
        <f aca="false">IF(I86="Not deployed",COUNTIF($I$2:I86,"Not deployed"),"")</f>
        <v/>
      </c>
    </row>
    <row r="87" customFormat="false" ht="15" hidden="false" customHeight="false" outlineLevel="0" collapsed="false">
      <c r="F87" s="30" t="str">
        <f aca="false">IF($A87="","",COUNTIFS(Deployments!$B$2:$B$1001,$A87,Deployments!$D$2:$D$1001,"&lt;&gt;Withdrawn"))</f>
        <v/>
      </c>
      <c r="G87" s="25" t="str">
        <f aca="false">IF($A87="","",SUMIFS(Deployments!$K$2:$K$1001,Deployments!$B$2:$B$1001,$A87))</f>
        <v/>
      </c>
      <c r="H87" s="23" t="str">
        <f aca="false">IF(N(F87)=0,"",IF(_xlfn.MAXIFS(Deployments!$G$2:$G$1001,Deployments!$B$2:$B$1001,$A87,Deployments!$D$2:$D$1001,"&lt;&gt;Withdrawn")=0,"",_xlfn.MAXIFS(Deployments!$G$2:$G$1001,Deployments!$B$2:$B$1001,$A87,Deployments!$D$2:$D$1001,"&lt;&gt;Withdrawn")))</f>
        <v/>
      </c>
      <c r="I87" s="24" t="str">
        <f aca="false">IF($A87="","",IF(F87=0,"Not deployed",IF(F87&gt;=Setup!$H$2,"High load","Deployed")))</f>
        <v/>
      </c>
      <c r="J87" s="35" t="str">
        <f aca="false">IF(N(F87)=0,"",F87+MIN(G87,999)/1000+(1000-ROW())/10000000)</f>
        <v/>
      </c>
      <c r="K87" s="30" t="str">
        <f aca="false">IF(I87="Not deployed",COUNTIF($I$2:I87,"Not deployed"),"")</f>
        <v/>
      </c>
    </row>
    <row r="88" customFormat="false" ht="15" hidden="false" customHeight="false" outlineLevel="0" collapsed="false">
      <c r="F88" s="30" t="str">
        <f aca="false">IF($A88="","",COUNTIFS(Deployments!$B$2:$B$1001,$A88,Deployments!$D$2:$D$1001,"&lt;&gt;Withdrawn"))</f>
        <v/>
      </c>
      <c r="G88" s="25" t="str">
        <f aca="false">IF($A88="","",SUMIFS(Deployments!$K$2:$K$1001,Deployments!$B$2:$B$1001,$A88))</f>
        <v/>
      </c>
      <c r="H88" s="23" t="str">
        <f aca="false">IF(N(F88)=0,"",IF(_xlfn.MAXIFS(Deployments!$G$2:$G$1001,Deployments!$B$2:$B$1001,$A88,Deployments!$D$2:$D$1001,"&lt;&gt;Withdrawn")=0,"",_xlfn.MAXIFS(Deployments!$G$2:$G$1001,Deployments!$B$2:$B$1001,$A88,Deployments!$D$2:$D$1001,"&lt;&gt;Withdrawn")))</f>
        <v/>
      </c>
      <c r="I88" s="24" t="str">
        <f aca="false">IF($A88="","",IF(F88=0,"Not deployed",IF(F88&gt;=Setup!$H$2,"High load","Deployed")))</f>
        <v/>
      </c>
      <c r="J88" s="35" t="str">
        <f aca="false">IF(N(F88)=0,"",F88+MIN(G88,999)/1000+(1000-ROW())/10000000)</f>
        <v/>
      </c>
      <c r="K88" s="30" t="str">
        <f aca="false">IF(I88="Not deployed",COUNTIF($I$2:I88,"Not deployed"),"")</f>
        <v/>
      </c>
    </row>
    <row r="89" customFormat="false" ht="15" hidden="false" customHeight="false" outlineLevel="0" collapsed="false">
      <c r="F89" s="30" t="str">
        <f aca="false">IF($A89="","",COUNTIFS(Deployments!$B$2:$B$1001,$A89,Deployments!$D$2:$D$1001,"&lt;&gt;Withdrawn"))</f>
        <v/>
      </c>
      <c r="G89" s="25" t="str">
        <f aca="false">IF($A89="","",SUMIFS(Deployments!$K$2:$K$1001,Deployments!$B$2:$B$1001,$A89))</f>
        <v/>
      </c>
      <c r="H89" s="23" t="str">
        <f aca="false">IF(N(F89)=0,"",IF(_xlfn.MAXIFS(Deployments!$G$2:$G$1001,Deployments!$B$2:$B$1001,$A89,Deployments!$D$2:$D$1001,"&lt;&gt;Withdrawn")=0,"",_xlfn.MAXIFS(Deployments!$G$2:$G$1001,Deployments!$B$2:$B$1001,$A89,Deployments!$D$2:$D$1001,"&lt;&gt;Withdrawn")))</f>
        <v/>
      </c>
      <c r="I89" s="24" t="str">
        <f aca="false">IF($A89="","",IF(F89=0,"Not deployed",IF(F89&gt;=Setup!$H$2,"High load","Deployed")))</f>
        <v/>
      </c>
      <c r="J89" s="35" t="str">
        <f aca="false">IF(N(F89)=0,"",F89+MIN(G89,999)/1000+(1000-ROW())/10000000)</f>
        <v/>
      </c>
      <c r="K89" s="30" t="str">
        <f aca="false">IF(I89="Not deployed",COUNTIF($I$2:I89,"Not deployed"),"")</f>
        <v/>
      </c>
    </row>
    <row r="90" customFormat="false" ht="15" hidden="false" customHeight="false" outlineLevel="0" collapsed="false">
      <c r="F90" s="30" t="str">
        <f aca="false">IF($A90="","",COUNTIFS(Deployments!$B$2:$B$1001,$A90,Deployments!$D$2:$D$1001,"&lt;&gt;Withdrawn"))</f>
        <v/>
      </c>
      <c r="G90" s="25" t="str">
        <f aca="false">IF($A90="","",SUMIFS(Deployments!$K$2:$K$1001,Deployments!$B$2:$B$1001,$A90))</f>
        <v/>
      </c>
      <c r="H90" s="23" t="str">
        <f aca="false">IF(N(F90)=0,"",IF(_xlfn.MAXIFS(Deployments!$G$2:$G$1001,Deployments!$B$2:$B$1001,$A90,Deployments!$D$2:$D$1001,"&lt;&gt;Withdrawn")=0,"",_xlfn.MAXIFS(Deployments!$G$2:$G$1001,Deployments!$B$2:$B$1001,$A90,Deployments!$D$2:$D$1001,"&lt;&gt;Withdrawn")))</f>
        <v/>
      </c>
      <c r="I90" s="24" t="str">
        <f aca="false">IF($A90="","",IF(F90=0,"Not deployed",IF(F90&gt;=Setup!$H$2,"High load","Deployed")))</f>
        <v/>
      </c>
      <c r="J90" s="35" t="str">
        <f aca="false">IF(N(F90)=0,"",F90+MIN(G90,999)/1000+(1000-ROW())/10000000)</f>
        <v/>
      </c>
      <c r="K90" s="30" t="str">
        <f aca="false">IF(I90="Not deployed",COUNTIF($I$2:I90,"Not deployed"),"")</f>
        <v/>
      </c>
    </row>
    <row r="91" customFormat="false" ht="15" hidden="false" customHeight="false" outlineLevel="0" collapsed="false">
      <c r="F91" s="30" t="str">
        <f aca="false">IF($A91="","",COUNTIFS(Deployments!$B$2:$B$1001,$A91,Deployments!$D$2:$D$1001,"&lt;&gt;Withdrawn"))</f>
        <v/>
      </c>
      <c r="G91" s="25" t="str">
        <f aca="false">IF($A91="","",SUMIFS(Deployments!$K$2:$K$1001,Deployments!$B$2:$B$1001,$A91))</f>
        <v/>
      </c>
      <c r="H91" s="23" t="str">
        <f aca="false">IF(N(F91)=0,"",IF(_xlfn.MAXIFS(Deployments!$G$2:$G$1001,Deployments!$B$2:$B$1001,$A91,Deployments!$D$2:$D$1001,"&lt;&gt;Withdrawn")=0,"",_xlfn.MAXIFS(Deployments!$G$2:$G$1001,Deployments!$B$2:$B$1001,$A91,Deployments!$D$2:$D$1001,"&lt;&gt;Withdrawn")))</f>
        <v/>
      </c>
      <c r="I91" s="24" t="str">
        <f aca="false">IF($A91="","",IF(F91=0,"Not deployed",IF(F91&gt;=Setup!$H$2,"High load","Deployed")))</f>
        <v/>
      </c>
      <c r="J91" s="35" t="str">
        <f aca="false">IF(N(F91)=0,"",F91+MIN(G91,999)/1000+(1000-ROW())/10000000)</f>
        <v/>
      </c>
      <c r="K91" s="30" t="str">
        <f aca="false">IF(I91="Not deployed",COUNTIF($I$2:I91,"Not deployed"),"")</f>
        <v/>
      </c>
    </row>
    <row r="92" customFormat="false" ht="15" hidden="false" customHeight="false" outlineLevel="0" collapsed="false">
      <c r="F92" s="30" t="str">
        <f aca="false">IF($A92="","",COUNTIFS(Deployments!$B$2:$B$1001,$A92,Deployments!$D$2:$D$1001,"&lt;&gt;Withdrawn"))</f>
        <v/>
      </c>
      <c r="G92" s="25" t="str">
        <f aca="false">IF($A92="","",SUMIFS(Deployments!$K$2:$K$1001,Deployments!$B$2:$B$1001,$A92))</f>
        <v/>
      </c>
      <c r="H92" s="23" t="str">
        <f aca="false">IF(N(F92)=0,"",IF(_xlfn.MAXIFS(Deployments!$G$2:$G$1001,Deployments!$B$2:$B$1001,$A92,Deployments!$D$2:$D$1001,"&lt;&gt;Withdrawn")=0,"",_xlfn.MAXIFS(Deployments!$G$2:$G$1001,Deployments!$B$2:$B$1001,$A92,Deployments!$D$2:$D$1001,"&lt;&gt;Withdrawn")))</f>
        <v/>
      </c>
      <c r="I92" s="24" t="str">
        <f aca="false">IF($A92="","",IF(F92=0,"Not deployed",IF(F92&gt;=Setup!$H$2,"High load","Deployed")))</f>
        <v/>
      </c>
      <c r="J92" s="35" t="str">
        <f aca="false">IF(N(F92)=0,"",F92+MIN(G92,999)/1000+(1000-ROW())/10000000)</f>
        <v/>
      </c>
      <c r="K92" s="30" t="str">
        <f aca="false">IF(I92="Not deployed",COUNTIF($I$2:I92,"Not deployed"),"")</f>
        <v/>
      </c>
    </row>
    <row r="93" customFormat="false" ht="15" hidden="false" customHeight="false" outlineLevel="0" collapsed="false">
      <c r="F93" s="30" t="str">
        <f aca="false">IF($A93="","",COUNTIFS(Deployments!$B$2:$B$1001,$A93,Deployments!$D$2:$D$1001,"&lt;&gt;Withdrawn"))</f>
        <v/>
      </c>
      <c r="G93" s="25" t="str">
        <f aca="false">IF($A93="","",SUMIFS(Deployments!$K$2:$K$1001,Deployments!$B$2:$B$1001,$A93))</f>
        <v/>
      </c>
      <c r="H93" s="23" t="str">
        <f aca="false">IF(N(F93)=0,"",IF(_xlfn.MAXIFS(Deployments!$G$2:$G$1001,Deployments!$B$2:$B$1001,$A93,Deployments!$D$2:$D$1001,"&lt;&gt;Withdrawn")=0,"",_xlfn.MAXIFS(Deployments!$G$2:$G$1001,Deployments!$B$2:$B$1001,$A93,Deployments!$D$2:$D$1001,"&lt;&gt;Withdrawn")))</f>
        <v/>
      </c>
      <c r="I93" s="24" t="str">
        <f aca="false">IF($A93="","",IF(F93=0,"Not deployed",IF(F93&gt;=Setup!$H$2,"High load","Deployed")))</f>
        <v/>
      </c>
      <c r="J93" s="35" t="str">
        <f aca="false">IF(N(F93)=0,"",F93+MIN(G93,999)/1000+(1000-ROW())/10000000)</f>
        <v/>
      </c>
      <c r="K93" s="30" t="str">
        <f aca="false">IF(I93="Not deployed",COUNTIF($I$2:I93,"Not deployed"),"")</f>
        <v/>
      </c>
    </row>
    <row r="94" customFormat="false" ht="15" hidden="false" customHeight="false" outlineLevel="0" collapsed="false">
      <c r="F94" s="30" t="str">
        <f aca="false">IF($A94="","",COUNTIFS(Deployments!$B$2:$B$1001,$A94,Deployments!$D$2:$D$1001,"&lt;&gt;Withdrawn"))</f>
        <v/>
      </c>
      <c r="G94" s="25" t="str">
        <f aca="false">IF($A94="","",SUMIFS(Deployments!$K$2:$K$1001,Deployments!$B$2:$B$1001,$A94))</f>
        <v/>
      </c>
      <c r="H94" s="23" t="str">
        <f aca="false">IF(N(F94)=0,"",IF(_xlfn.MAXIFS(Deployments!$G$2:$G$1001,Deployments!$B$2:$B$1001,$A94,Deployments!$D$2:$D$1001,"&lt;&gt;Withdrawn")=0,"",_xlfn.MAXIFS(Deployments!$G$2:$G$1001,Deployments!$B$2:$B$1001,$A94,Deployments!$D$2:$D$1001,"&lt;&gt;Withdrawn")))</f>
        <v/>
      </c>
      <c r="I94" s="24" t="str">
        <f aca="false">IF($A94="","",IF(F94=0,"Not deployed",IF(F94&gt;=Setup!$H$2,"High load","Deployed")))</f>
        <v/>
      </c>
      <c r="J94" s="35" t="str">
        <f aca="false">IF(N(F94)=0,"",F94+MIN(G94,999)/1000+(1000-ROW())/10000000)</f>
        <v/>
      </c>
      <c r="K94" s="30" t="str">
        <f aca="false">IF(I94="Not deployed",COUNTIF($I$2:I94,"Not deployed"),"")</f>
        <v/>
      </c>
    </row>
    <row r="95" customFormat="false" ht="15" hidden="false" customHeight="false" outlineLevel="0" collapsed="false">
      <c r="F95" s="30" t="str">
        <f aca="false">IF($A95="","",COUNTIFS(Deployments!$B$2:$B$1001,$A95,Deployments!$D$2:$D$1001,"&lt;&gt;Withdrawn"))</f>
        <v/>
      </c>
      <c r="G95" s="25" t="str">
        <f aca="false">IF($A95="","",SUMIFS(Deployments!$K$2:$K$1001,Deployments!$B$2:$B$1001,$A95))</f>
        <v/>
      </c>
      <c r="H95" s="23" t="str">
        <f aca="false">IF(N(F95)=0,"",IF(_xlfn.MAXIFS(Deployments!$G$2:$G$1001,Deployments!$B$2:$B$1001,$A95,Deployments!$D$2:$D$1001,"&lt;&gt;Withdrawn")=0,"",_xlfn.MAXIFS(Deployments!$G$2:$G$1001,Deployments!$B$2:$B$1001,$A95,Deployments!$D$2:$D$1001,"&lt;&gt;Withdrawn")))</f>
        <v/>
      </c>
      <c r="I95" s="24" t="str">
        <f aca="false">IF($A95="","",IF(F95=0,"Not deployed",IF(F95&gt;=Setup!$H$2,"High load","Deployed")))</f>
        <v/>
      </c>
      <c r="J95" s="35" t="str">
        <f aca="false">IF(N(F95)=0,"",F95+MIN(G95,999)/1000+(1000-ROW())/10000000)</f>
        <v/>
      </c>
      <c r="K95" s="30" t="str">
        <f aca="false">IF(I95="Not deployed",COUNTIF($I$2:I95,"Not deployed"),"")</f>
        <v/>
      </c>
    </row>
    <row r="96" customFormat="false" ht="15" hidden="false" customHeight="false" outlineLevel="0" collapsed="false">
      <c r="F96" s="30" t="str">
        <f aca="false">IF($A96="","",COUNTIFS(Deployments!$B$2:$B$1001,$A96,Deployments!$D$2:$D$1001,"&lt;&gt;Withdrawn"))</f>
        <v/>
      </c>
      <c r="G96" s="25" t="str">
        <f aca="false">IF($A96="","",SUMIFS(Deployments!$K$2:$K$1001,Deployments!$B$2:$B$1001,$A96))</f>
        <v/>
      </c>
      <c r="H96" s="23" t="str">
        <f aca="false">IF(N(F96)=0,"",IF(_xlfn.MAXIFS(Deployments!$G$2:$G$1001,Deployments!$B$2:$B$1001,$A96,Deployments!$D$2:$D$1001,"&lt;&gt;Withdrawn")=0,"",_xlfn.MAXIFS(Deployments!$G$2:$G$1001,Deployments!$B$2:$B$1001,$A96,Deployments!$D$2:$D$1001,"&lt;&gt;Withdrawn")))</f>
        <v/>
      </c>
      <c r="I96" s="24" t="str">
        <f aca="false">IF($A96="","",IF(F96=0,"Not deployed",IF(F96&gt;=Setup!$H$2,"High load","Deployed")))</f>
        <v/>
      </c>
      <c r="J96" s="35" t="str">
        <f aca="false">IF(N(F96)=0,"",F96+MIN(G96,999)/1000+(1000-ROW())/10000000)</f>
        <v/>
      </c>
      <c r="K96" s="30" t="str">
        <f aca="false">IF(I96="Not deployed",COUNTIF($I$2:I96,"Not deployed"),"")</f>
        <v/>
      </c>
    </row>
    <row r="97" customFormat="false" ht="15" hidden="false" customHeight="false" outlineLevel="0" collapsed="false">
      <c r="F97" s="30" t="str">
        <f aca="false">IF($A97="","",COUNTIFS(Deployments!$B$2:$B$1001,$A97,Deployments!$D$2:$D$1001,"&lt;&gt;Withdrawn"))</f>
        <v/>
      </c>
      <c r="G97" s="25" t="str">
        <f aca="false">IF($A97="","",SUMIFS(Deployments!$K$2:$K$1001,Deployments!$B$2:$B$1001,$A97))</f>
        <v/>
      </c>
      <c r="H97" s="23" t="str">
        <f aca="false">IF(N(F97)=0,"",IF(_xlfn.MAXIFS(Deployments!$G$2:$G$1001,Deployments!$B$2:$B$1001,$A97,Deployments!$D$2:$D$1001,"&lt;&gt;Withdrawn")=0,"",_xlfn.MAXIFS(Deployments!$G$2:$G$1001,Deployments!$B$2:$B$1001,$A97,Deployments!$D$2:$D$1001,"&lt;&gt;Withdrawn")))</f>
        <v/>
      </c>
      <c r="I97" s="24" t="str">
        <f aca="false">IF($A97="","",IF(F97=0,"Not deployed",IF(F97&gt;=Setup!$H$2,"High load","Deployed")))</f>
        <v/>
      </c>
      <c r="J97" s="35" t="str">
        <f aca="false">IF(N(F97)=0,"",F97+MIN(G97,999)/1000+(1000-ROW())/10000000)</f>
        <v/>
      </c>
      <c r="K97" s="30" t="str">
        <f aca="false">IF(I97="Not deployed",COUNTIF($I$2:I97,"Not deployed"),"")</f>
        <v/>
      </c>
    </row>
    <row r="98" customFormat="false" ht="15" hidden="false" customHeight="false" outlineLevel="0" collapsed="false">
      <c r="F98" s="30" t="str">
        <f aca="false">IF($A98="","",COUNTIFS(Deployments!$B$2:$B$1001,$A98,Deployments!$D$2:$D$1001,"&lt;&gt;Withdrawn"))</f>
        <v/>
      </c>
      <c r="G98" s="25" t="str">
        <f aca="false">IF($A98="","",SUMIFS(Deployments!$K$2:$K$1001,Deployments!$B$2:$B$1001,$A98))</f>
        <v/>
      </c>
      <c r="H98" s="23" t="str">
        <f aca="false">IF(N(F98)=0,"",IF(_xlfn.MAXIFS(Deployments!$G$2:$G$1001,Deployments!$B$2:$B$1001,$A98,Deployments!$D$2:$D$1001,"&lt;&gt;Withdrawn")=0,"",_xlfn.MAXIFS(Deployments!$G$2:$G$1001,Deployments!$B$2:$B$1001,$A98,Deployments!$D$2:$D$1001,"&lt;&gt;Withdrawn")))</f>
        <v/>
      </c>
      <c r="I98" s="24" t="str">
        <f aca="false">IF($A98="","",IF(F98=0,"Not deployed",IF(F98&gt;=Setup!$H$2,"High load","Deployed")))</f>
        <v/>
      </c>
      <c r="J98" s="35" t="str">
        <f aca="false">IF(N(F98)=0,"",F98+MIN(G98,999)/1000+(1000-ROW())/10000000)</f>
        <v/>
      </c>
      <c r="K98" s="30" t="str">
        <f aca="false">IF(I98="Not deployed",COUNTIF($I$2:I98,"Not deployed"),"")</f>
        <v/>
      </c>
    </row>
    <row r="99" customFormat="false" ht="15" hidden="false" customHeight="false" outlineLevel="0" collapsed="false">
      <c r="F99" s="30" t="str">
        <f aca="false">IF($A99="","",COUNTIFS(Deployments!$B$2:$B$1001,$A99,Deployments!$D$2:$D$1001,"&lt;&gt;Withdrawn"))</f>
        <v/>
      </c>
      <c r="G99" s="25" t="str">
        <f aca="false">IF($A99="","",SUMIFS(Deployments!$K$2:$K$1001,Deployments!$B$2:$B$1001,$A99))</f>
        <v/>
      </c>
      <c r="H99" s="23" t="str">
        <f aca="false">IF(N(F99)=0,"",IF(_xlfn.MAXIFS(Deployments!$G$2:$G$1001,Deployments!$B$2:$B$1001,$A99,Deployments!$D$2:$D$1001,"&lt;&gt;Withdrawn")=0,"",_xlfn.MAXIFS(Deployments!$G$2:$G$1001,Deployments!$B$2:$B$1001,$A99,Deployments!$D$2:$D$1001,"&lt;&gt;Withdrawn")))</f>
        <v/>
      </c>
      <c r="I99" s="24" t="str">
        <f aca="false">IF($A99="","",IF(F99=0,"Not deployed",IF(F99&gt;=Setup!$H$2,"High load","Deployed")))</f>
        <v/>
      </c>
      <c r="J99" s="35" t="str">
        <f aca="false">IF(N(F99)=0,"",F99+MIN(G99,999)/1000+(1000-ROW())/10000000)</f>
        <v/>
      </c>
      <c r="K99" s="30" t="str">
        <f aca="false">IF(I99="Not deployed",COUNTIF($I$2:I99,"Not deployed"),"")</f>
        <v/>
      </c>
    </row>
    <row r="100" customFormat="false" ht="15" hidden="false" customHeight="false" outlineLevel="0" collapsed="false">
      <c r="F100" s="30" t="str">
        <f aca="false">IF($A100="","",COUNTIFS(Deployments!$B$2:$B$1001,$A100,Deployments!$D$2:$D$1001,"&lt;&gt;Withdrawn"))</f>
        <v/>
      </c>
      <c r="G100" s="25" t="str">
        <f aca="false">IF($A100="","",SUMIFS(Deployments!$K$2:$K$1001,Deployments!$B$2:$B$1001,$A100))</f>
        <v/>
      </c>
      <c r="H100" s="23" t="str">
        <f aca="false">IF(N(F100)=0,"",IF(_xlfn.MAXIFS(Deployments!$G$2:$G$1001,Deployments!$B$2:$B$1001,$A100,Deployments!$D$2:$D$1001,"&lt;&gt;Withdrawn")=0,"",_xlfn.MAXIFS(Deployments!$G$2:$G$1001,Deployments!$B$2:$B$1001,$A100,Deployments!$D$2:$D$1001,"&lt;&gt;Withdrawn")))</f>
        <v/>
      </c>
      <c r="I100" s="24" t="str">
        <f aca="false">IF($A100="","",IF(F100=0,"Not deployed",IF(F100&gt;=Setup!$H$2,"High load","Deployed")))</f>
        <v/>
      </c>
      <c r="J100" s="35" t="str">
        <f aca="false">IF(N(F100)=0,"",F100+MIN(G100,999)/1000+(1000-ROW())/10000000)</f>
        <v/>
      </c>
      <c r="K100" s="30" t="str">
        <f aca="false">IF(I100="Not deployed",COUNTIF($I$2:I100,"Not deployed"),"")</f>
        <v/>
      </c>
    </row>
    <row r="101" customFormat="false" ht="15" hidden="false" customHeight="false" outlineLevel="0" collapsed="false">
      <c r="F101" s="30" t="str">
        <f aca="false">IF($A101="","",COUNTIFS(Deployments!$B$2:$B$1001,$A101,Deployments!$D$2:$D$1001,"&lt;&gt;Withdrawn"))</f>
        <v/>
      </c>
      <c r="G101" s="25" t="str">
        <f aca="false">IF($A101="","",SUMIFS(Deployments!$K$2:$K$1001,Deployments!$B$2:$B$1001,$A101))</f>
        <v/>
      </c>
      <c r="H101" s="23" t="str">
        <f aca="false">IF(N(F101)=0,"",IF(_xlfn.MAXIFS(Deployments!$G$2:$G$1001,Deployments!$B$2:$B$1001,$A101,Deployments!$D$2:$D$1001,"&lt;&gt;Withdrawn")=0,"",_xlfn.MAXIFS(Deployments!$G$2:$G$1001,Deployments!$B$2:$B$1001,$A101,Deployments!$D$2:$D$1001,"&lt;&gt;Withdrawn")))</f>
        <v/>
      </c>
      <c r="I101" s="24" t="str">
        <f aca="false">IF($A101="","",IF(F101=0,"Not deployed",IF(F101&gt;=Setup!$H$2,"High load","Deployed")))</f>
        <v/>
      </c>
      <c r="J101" s="35" t="str">
        <f aca="false">IF(N(F101)=0,"",F101+MIN(G101,999)/1000+(1000-ROW())/10000000)</f>
        <v/>
      </c>
      <c r="K101" s="30" t="str">
        <f aca="false">IF(I101="Not deployed",COUNTIF($I$2:I101,"Not deployed"),"")</f>
        <v/>
      </c>
    </row>
    <row r="102" customFormat="false" ht="15" hidden="false" customHeight="false" outlineLevel="0" collapsed="false">
      <c r="F102" s="30" t="str">
        <f aca="false">IF($A102="","",COUNTIFS(Deployments!$B$2:$B$1001,$A102,Deployments!$D$2:$D$1001,"&lt;&gt;Withdrawn"))</f>
        <v/>
      </c>
      <c r="G102" s="25" t="str">
        <f aca="false">IF($A102="","",SUMIFS(Deployments!$K$2:$K$1001,Deployments!$B$2:$B$1001,$A102))</f>
        <v/>
      </c>
      <c r="H102" s="23" t="str">
        <f aca="false">IF(N(F102)=0,"",IF(_xlfn.MAXIFS(Deployments!$G$2:$G$1001,Deployments!$B$2:$B$1001,$A102,Deployments!$D$2:$D$1001,"&lt;&gt;Withdrawn")=0,"",_xlfn.MAXIFS(Deployments!$G$2:$G$1001,Deployments!$B$2:$B$1001,$A102,Deployments!$D$2:$D$1001,"&lt;&gt;Withdrawn")))</f>
        <v/>
      </c>
      <c r="I102" s="24" t="str">
        <f aca="false">IF($A102="","",IF(F102=0,"Not deployed",IF(F102&gt;=Setup!$H$2,"High load","Deployed")))</f>
        <v/>
      </c>
      <c r="J102" s="35" t="str">
        <f aca="false">IF(N(F102)=0,"",F102+MIN(G102,999)/1000+(1000-ROW())/10000000)</f>
        <v/>
      </c>
      <c r="K102" s="30" t="str">
        <f aca="false">IF(I102="Not deployed",COUNTIF($I$2:I102,"Not deployed"),"")</f>
        <v/>
      </c>
    </row>
    <row r="103" customFormat="false" ht="15" hidden="false" customHeight="false" outlineLevel="0" collapsed="false">
      <c r="F103" s="30" t="str">
        <f aca="false">IF($A103="","",COUNTIFS(Deployments!$B$2:$B$1001,$A103,Deployments!$D$2:$D$1001,"&lt;&gt;Withdrawn"))</f>
        <v/>
      </c>
      <c r="G103" s="25" t="str">
        <f aca="false">IF($A103="","",SUMIFS(Deployments!$K$2:$K$1001,Deployments!$B$2:$B$1001,$A103))</f>
        <v/>
      </c>
      <c r="H103" s="23" t="str">
        <f aca="false">IF(N(F103)=0,"",IF(_xlfn.MAXIFS(Deployments!$G$2:$G$1001,Deployments!$B$2:$B$1001,$A103,Deployments!$D$2:$D$1001,"&lt;&gt;Withdrawn")=0,"",_xlfn.MAXIFS(Deployments!$G$2:$G$1001,Deployments!$B$2:$B$1001,$A103,Deployments!$D$2:$D$1001,"&lt;&gt;Withdrawn")))</f>
        <v/>
      </c>
      <c r="I103" s="24" t="str">
        <f aca="false">IF($A103="","",IF(F103=0,"Not deployed",IF(F103&gt;=Setup!$H$2,"High load","Deployed")))</f>
        <v/>
      </c>
      <c r="J103" s="35" t="str">
        <f aca="false">IF(N(F103)=0,"",F103+MIN(G103,999)/1000+(1000-ROW())/10000000)</f>
        <v/>
      </c>
      <c r="K103" s="30" t="str">
        <f aca="false">IF(I103="Not deployed",COUNTIF($I$2:I103,"Not deployed"),"")</f>
        <v/>
      </c>
    </row>
    <row r="104" customFormat="false" ht="15" hidden="false" customHeight="false" outlineLevel="0" collapsed="false">
      <c r="F104" s="30" t="str">
        <f aca="false">IF($A104="","",COUNTIFS(Deployments!$B$2:$B$1001,$A104,Deployments!$D$2:$D$1001,"&lt;&gt;Withdrawn"))</f>
        <v/>
      </c>
      <c r="G104" s="25" t="str">
        <f aca="false">IF($A104="","",SUMIFS(Deployments!$K$2:$K$1001,Deployments!$B$2:$B$1001,$A104))</f>
        <v/>
      </c>
      <c r="H104" s="23" t="str">
        <f aca="false">IF(N(F104)=0,"",IF(_xlfn.MAXIFS(Deployments!$G$2:$G$1001,Deployments!$B$2:$B$1001,$A104,Deployments!$D$2:$D$1001,"&lt;&gt;Withdrawn")=0,"",_xlfn.MAXIFS(Deployments!$G$2:$G$1001,Deployments!$B$2:$B$1001,$A104,Deployments!$D$2:$D$1001,"&lt;&gt;Withdrawn")))</f>
        <v/>
      </c>
      <c r="I104" s="24" t="str">
        <f aca="false">IF($A104="","",IF(F104=0,"Not deployed",IF(F104&gt;=Setup!$H$2,"High load","Deployed")))</f>
        <v/>
      </c>
      <c r="J104" s="35" t="str">
        <f aca="false">IF(N(F104)=0,"",F104+MIN(G104,999)/1000+(1000-ROW())/10000000)</f>
        <v/>
      </c>
      <c r="K104" s="30" t="str">
        <f aca="false">IF(I104="Not deployed",COUNTIF($I$2:I104,"Not deployed"),"")</f>
        <v/>
      </c>
    </row>
    <row r="105" customFormat="false" ht="15" hidden="false" customHeight="false" outlineLevel="0" collapsed="false">
      <c r="F105" s="30" t="str">
        <f aca="false">IF($A105="","",COUNTIFS(Deployments!$B$2:$B$1001,$A105,Deployments!$D$2:$D$1001,"&lt;&gt;Withdrawn"))</f>
        <v/>
      </c>
      <c r="G105" s="25" t="str">
        <f aca="false">IF($A105="","",SUMIFS(Deployments!$K$2:$K$1001,Deployments!$B$2:$B$1001,$A105))</f>
        <v/>
      </c>
      <c r="H105" s="23" t="str">
        <f aca="false">IF(N(F105)=0,"",IF(_xlfn.MAXIFS(Deployments!$G$2:$G$1001,Deployments!$B$2:$B$1001,$A105,Deployments!$D$2:$D$1001,"&lt;&gt;Withdrawn")=0,"",_xlfn.MAXIFS(Deployments!$G$2:$G$1001,Deployments!$B$2:$B$1001,$A105,Deployments!$D$2:$D$1001,"&lt;&gt;Withdrawn")))</f>
        <v/>
      </c>
      <c r="I105" s="24" t="str">
        <f aca="false">IF($A105="","",IF(F105=0,"Not deployed",IF(F105&gt;=Setup!$H$2,"High load","Deployed")))</f>
        <v/>
      </c>
      <c r="J105" s="35" t="str">
        <f aca="false">IF(N(F105)=0,"",F105+MIN(G105,999)/1000+(1000-ROW())/10000000)</f>
        <v/>
      </c>
      <c r="K105" s="30" t="str">
        <f aca="false">IF(I105="Not deployed",COUNTIF($I$2:I105,"Not deployed"),"")</f>
        <v/>
      </c>
    </row>
    <row r="106" customFormat="false" ht="15" hidden="false" customHeight="false" outlineLevel="0" collapsed="false">
      <c r="F106" s="30" t="str">
        <f aca="false">IF($A106="","",COUNTIFS(Deployments!$B$2:$B$1001,$A106,Deployments!$D$2:$D$1001,"&lt;&gt;Withdrawn"))</f>
        <v/>
      </c>
      <c r="G106" s="25" t="str">
        <f aca="false">IF($A106="","",SUMIFS(Deployments!$K$2:$K$1001,Deployments!$B$2:$B$1001,$A106))</f>
        <v/>
      </c>
      <c r="H106" s="23" t="str">
        <f aca="false">IF(N(F106)=0,"",IF(_xlfn.MAXIFS(Deployments!$G$2:$G$1001,Deployments!$B$2:$B$1001,$A106,Deployments!$D$2:$D$1001,"&lt;&gt;Withdrawn")=0,"",_xlfn.MAXIFS(Deployments!$G$2:$G$1001,Deployments!$B$2:$B$1001,$A106,Deployments!$D$2:$D$1001,"&lt;&gt;Withdrawn")))</f>
        <v/>
      </c>
      <c r="I106" s="24" t="str">
        <f aca="false">IF($A106="","",IF(F106=0,"Not deployed",IF(F106&gt;=Setup!$H$2,"High load","Deployed")))</f>
        <v/>
      </c>
      <c r="J106" s="35" t="str">
        <f aca="false">IF(N(F106)=0,"",F106+MIN(G106,999)/1000+(1000-ROW())/10000000)</f>
        <v/>
      </c>
      <c r="K106" s="30" t="str">
        <f aca="false">IF(I106="Not deployed",COUNTIF($I$2:I106,"Not deployed"),"")</f>
        <v/>
      </c>
    </row>
    <row r="107" customFormat="false" ht="15" hidden="false" customHeight="false" outlineLevel="0" collapsed="false">
      <c r="F107" s="30" t="str">
        <f aca="false">IF($A107="","",COUNTIFS(Deployments!$B$2:$B$1001,$A107,Deployments!$D$2:$D$1001,"&lt;&gt;Withdrawn"))</f>
        <v/>
      </c>
      <c r="G107" s="25" t="str">
        <f aca="false">IF($A107="","",SUMIFS(Deployments!$K$2:$K$1001,Deployments!$B$2:$B$1001,$A107))</f>
        <v/>
      </c>
      <c r="H107" s="23" t="str">
        <f aca="false">IF(N(F107)=0,"",IF(_xlfn.MAXIFS(Deployments!$G$2:$G$1001,Deployments!$B$2:$B$1001,$A107,Deployments!$D$2:$D$1001,"&lt;&gt;Withdrawn")=0,"",_xlfn.MAXIFS(Deployments!$G$2:$G$1001,Deployments!$B$2:$B$1001,$A107,Deployments!$D$2:$D$1001,"&lt;&gt;Withdrawn")))</f>
        <v/>
      </c>
      <c r="I107" s="24" t="str">
        <f aca="false">IF($A107="","",IF(F107=0,"Not deployed",IF(F107&gt;=Setup!$H$2,"High load","Deployed")))</f>
        <v/>
      </c>
      <c r="J107" s="35" t="str">
        <f aca="false">IF(N(F107)=0,"",F107+MIN(G107,999)/1000+(1000-ROW())/10000000)</f>
        <v/>
      </c>
      <c r="K107" s="30" t="str">
        <f aca="false">IF(I107="Not deployed",COUNTIF($I$2:I107,"Not deployed"),"")</f>
        <v/>
      </c>
    </row>
    <row r="108" customFormat="false" ht="15" hidden="false" customHeight="false" outlineLevel="0" collapsed="false">
      <c r="F108" s="30" t="str">
        <f aca="false">IF($A108="","",COUNTIFS(Deployments!$B$2:$B$1001,$A108,Deployments!$D$2:$D$1001,"&lt;&gt;Withdrawn"))</f>
        <v/>
      </c>
      <c r="G108" s="25" t="str">
        <f aca="false">IF($A108="","",SUMIFS(Deployments!$K$2:$K$1001,Deployments!$B$2:$B$1001,$A108))</f>
        <v/>
      </c>
      <c r="H108" s="23" t="str">
        <f aca="false">IF(N(F108)=0,"",IF(_xlfn.MAXIFS(Deployments!$G$2:$G$1001,Deployments!$B$2:$B$1001,$A108,Deployments!$D$2:$D$1001,"&lt;&gt;Withdrawn")=0,"",_xlfn.MAXIFS(Deployments!$G$2:$G$1001,Deployments!$B$2:$B$1001,$A108,Deployments!$D$2:$D$1001,"&lt;&gt;Withdrawn")))</f>
        <v/>
      </c>
      <c r="I108" s="24" t="str">
        <f aca="false">IF($A108="","",IF(F108=0,"Not deployed",IF(F108&gt;=Setup!$H$2,"High load","Deployed")))</f>
        <v/>
      </c>
      <c r="J108" s="35" t="str">
        <f aca="false">IF(N(F108)=0,"",F108+MIN(G108,999)/1000+(1000-ROW())/10000000)</f>
        <v/>
      </c>
      <c r="K108" s="30" t="str">
        <f aca="false">IF(I108="Not deployed",COUNTIF($I$2:I108,"Not deployed"),"")</f>
        <v/>
      </c>
    </row>
    <row r="109" customFormat="false" ht="15" hidden="false" customHeight="false" outlineLevel="0" collapsed="false">
      <c r="F109" s="30" t="str">
        <f aca="false">IF($A109="","",COUNTIFS(Deployments!$B$2:$B$1001,$A109,Deployments!$D$2:$D$1001,"&lt;&gt;Withdrawn"))</f>
        <v/>
      </c>
      <c r="G109" s="25" t="str">
        <f aca="false">IF($A109="","",SUMIFS(Deployments!$K$2:$K$1001,Deployments!$B$2:$B$1001,$A109))</f>
        <v/>
      </c>
      <c r="H109" s="23" t="str">
        <f aca="false">IF(N(F109)=0,"",IF(_xlfn.MAXIFS(Deployments!$G$2:$G$1001,Deployments!$B$2:$B$1001,$A109,Deployments!$D$2:$D$1001,"&lt;&gt;Withdrawn")=0,"",_xlfn.MAXIFS(Deployments!$G$2:$G$1001,Deployments!$B$2:$B$1001,$A109,Deployments!$D$2:$D$1001,"&lt;&gt;Withdrawn")))</f>
        <v/>
      </c>
      <c r="I109" s="24" t="str">
        <f aca="false">IF($A109="","",IF(F109=0,"Not deployed",IF(F109&gt;=Setup!$H$2,"High load","Deployed")))</f>
        <v/>
      </c>
      <c r="J109" s="35" t="str">
        <f aca="false">IF(N(F109)=0,"",F109+MIN(G109,999)/1000+(1000-ROW())/10000000)</f>
        <v/>
      </c>
      <c r="K109" s="30" t="str">
        <f aca="false">IF(I109="Not deployed",COUNTIF($I$2:I109,"Not deployed"),"")</f>
        <v/>
      </c>
    </row>
    <row r="110" customFormat="false" ht="15" hidden="false" customHeight="false" outlineLevel="0" collapsed="false">
      <c r="F110" s="30" t="str">
        <f aca="false">IF($A110="","",COUNTIFS(Deployments!$B$2:$B$1001,$A110,Deployments!$D$2:$D$1001,"&lt;&gt;Withdrawn"))</f>
        <v/>
      </c>
      <c r="G110" s="25" t="str">
        <f aca="false">IF($A110="","",SUMIFS(Deployments!$K$2:$K$1001,Deployments!$B$2:$B$1001,$A110))</f>
        <v/>
      </c>
      <c r="H110" s="23" t="str">
        <f aca="false">IF(N(F110)=0,"",IF(_xlfn.MAXIFS(Deployments!$G$2:$G$1001,Deployments!$B$2:$B$1001,$A110,Deployments!$D$2:$D$1001,"&lt;&gt;Withdrawn")=0,"",_xlfn.MAXIFS(Deployments!$G$2:$G$1001,Deployments!$B$2:$B$1001,$A110,Deployments!$D$2:$D$1001,"&lt;&gt;Withdrawn")))</f>
        <v/>
      </c>
      <c r="I110" s="24" t="str">
        <f aca="false">IF($A110="","",IF(F110=0,"Not deployed",IF(F110&gt;=Setup!$H$2,"High load","Deployed")))</f>
        <v/>
      </c>
      <c r="J110" s="35" t="str">
        <f aca="false">IF(N(F110)=0,"",F110+MIN(G110,999)/1000+(1000-ROW())/10000000)</f>
        <v/>
      </c>
      <c r="K110" s="30" t="str">
        <f aca="false">IF(I110="Not deployed",COUNTIF($I$2:I110,"Not deployed"),"")</f>
        <v/>
      </c>
    </row>
    <row r="111" customFormat="false" ht="15" hidden="false" customHeight="false" outlineLevel="0" collapsed="false">
      <c r="F111" s="30" t="str">
        <f aca="false">IF($A111="","",COUNTIFS(Deployments!$B$2:$B$1001,$A111,Deployments!$D$2:$D$1001,"&lt;&gt;Withdrawn"))</f>
        <v/>
      </c>
      <c r="G111" s="25" t="str">
        <f aca="false">IF($A111="","",SUMIFS(Deployments!$K$2:$K$1001,Deployments!$B$2:$B$1001,$A111))</f>
        <v/>
      </c>
      <c r="H111" s="23" t="str">
        <f aca="false">IF(N(F111)=0,"",IF(_xlfn.MAXIFS(Deployments!$G$2:$G$1001,Deployments!$B$2:$B$1001,$A111,Deployments!$D$2:$D$1001,"&lt;&gt;Withdrawn")=0,"",_xlfn.MAXIFS(Deployments!$G$2:$G$1001,Deployments!$B$2:$B$1001,$A111,Deployments!$D$2:$D$1001,"&lt;&gt;Withdrawn")))</f>
        <v/>
      </c>
      <c r="I111" s="24" t="str">
        <f aca="false">IF($A111="","",IF(F111=0,"Not deployed",IF(F111&gt;=Setup!$H$2,"High load","Deployed")))</f>
        <v/>
      </c>
      <c r="J111" s="35" t="str">
        <f aca="false">IF(N(F111)=0,"",F111+MIN(G111,999)/1000+(1000-ROW())/10000000)</f>
        <v/>
      </c>
      <c r="K111" s="30" t="str">
        <f aca="false">IF(I111="Not deployed",COUNTIF($I$2:I111,"Not deployed"),"")</f>
        <v/>
      </c>
    </row>
    <row r="112" customFormat="false" ht="15" hidden="false" customHeight="false" outlineLevel="0" collapsed="false">
      <c r="F112" s="30" t="str">
        <f aca="false">IF($A112="","",COUNTIFS(Deployments!$B$2:$B$1001,$A112,Deployments!$D$2:$D$1001,"&lt;&gt;Withdrawn"))</f>
        <v/>
      </c>
      <c r="G112" s="25" t="str">
        <f aca="false">IF($A112="","",SUMIFS(Deployments!$K$2:$K$1001,Deployments!$B$2:$B$1001,$A112))</f>
        <v/>
      </c>
      <c r="H112" s="23" t="str">
        <f aca="false">IF(N(F112)=0,"",IF(_xlfn.MAXIFS(Deployments!$G$2:$G$1001,Deployments!$B$2:$B$1001,$A112,Deployments!$D$2:$D$1001,"&lt;&gt;Withdrawn")=0,"",_xlfn.MAXIFS(Deployments!$G$2:$G$1001,Deployments!$B$2:$B$1001,$A112,Deployments!$D$2:$D$1001,"&lt;&gt;Withdrawn")))</f>
        <v/>
      </c>
      <c r="I112" s="24" t="str">
        <f aca="false">IF($A112="","",IF(F112=0,"Not deployed",IF(F112&gt;=Setup!$H$2,"High load","Deployed")))</f>
        <v/>
      </c>
      <c r="J112" s="35" t="str">
        <f aca="false">IF(N(F112)=0,"",F112+MIN(G112,999)/1000+(1000-ROW())/10000000)</f>
        <v/>
      </c>
      <c r="K112" s="30" t="str">
        <f aca="false">IF(I112="Not deployed",COUNTIF($I$2:I112,"Not deployed"),"")</f>
        <v/>
      </c>
    </row>
    <row r="113" customFormat="false" ht="15" hidden="false" customHeight="false" outlineLevel="0" collapsed="false">
      <c r="F113" s="30" t="str">
        <f aca="false">IF($A113="","",COUNTIFS(Deployments!$B$2:$B$1001,$A113,Deployments!$D$2:$D$1001,"&lt;&gt;Withdrawn"))</f>
        <v/>
      </c>
      <c r="G113" s="25" t="str">
        <f aca="false">IF($A113="","",SUMIFS(Deployments!$K$2:$K$1001,Deployments!$B$2:$B$1001,$A113))</f>
        <v/>
      </c>
      <c r="H113" s="23" t="str">
        <f aca="false">IF(N(F113)=0,"",IF(_xlfn.MAXIFS(Deployments!$G$2:$G$1001,Deployments!$B$2:$B$1001,$A113,Deployments!$D$2:$D$1001,"&lt;&gt;Withdrawn")=0,"",_xlfn.MAXIFS(Deployments!$G$2:$G$1001,Deployments!$B$2:$B$1001,$A113,Deployments!$D$2:$D$1001,"&lt;&gt;Withdrawn")))</f>
        <v/>
      </c>
      <c r="I113" s="24" t="str">
        <f aca="false">IF($A113="","",IF(F113=0,"Not deployed",IF(F113&gt;=Setup!$H$2,"High load","Deployed")))</f>
        <v/>
      </c>
      <c r="J113" s="35" t="str">
        <f aca="false">IF(N(F113)=0,"",F113+MIN(G113,999)/1000+(1000-ROW())/10000000)</f>
        <v/>
      </c>
      <c r="K113" s="30" t="str">
        <f aca="false">IF(I113="Not deployed",COUNTIF($I$2:I113,"Not deployed"),"")</f>
        <v/>
      </c>
    </row>
    <row r="114" customFormat="false" ht="15" hidden="false" customHeight="false" outlineLevel="0" collapsed="false">
      <c r="F114" s="30" t="str">
        <f aca="false">IF($A114="","",COUNTIFS(Deployments!$B$2:$B$1001,$A114,Deployments!$D$2:$D$1001,"&lt;&gt;Withdrawn"))</f>
        <v/>
      </c>
      <c r="G114" s="25" t="str">
        <f aca="false">IF($A114="","",SUMIFS(Deployments!$K$2:$K$1001,Deployments!$B$2:$B$1001,$A114))</f>
        <v/>
      </c>
      <c r="H114" s="23" t="str">
        <f aca="false">IF(N(F114)=0,"",IF(_xlfn.MAXIFS(Deployments!$G$2:$G$1001,Deployments!$B$2:$B$1001,$A114,Deployments!$D$2:$D$1001,"&lt;&gt;Withdrawn")=0,"",_xlfn.MAXIFS(Deployments!$G$2:$G$1001,Deployments!$B$2:$B$1001,$A114,Deployments!$D$2:$D$1001,"&lt;&gt;Withdrawn")))</f>
        <v/>
      </c>
      <c r="I114" s="24" t="str">
        <f aca="false">IF($A114="","",IF(F114=0,"Not deployed",IF(F114&gt;=Setup!$H$2,"High load","Deployed")))</f>
        <v/>
      </c>
      <c r="J114" s="35" t="str">
        <f aca="false">IF(N(F114)=0,"",F114+MIN(G114,999)/1000+(1000-ROW())/10000000)</f>
        <v/>
      </c>
      <c r="K114" s="30" t="str">
        <f aca="false">IF(I114="Not deployed",COUNTIF($I$2:I114,"Not deployed"),"")</f>
        <v/>
      </c>
    </row>
    <row r="115" customFormat="false" ht="15" hidden="false" customHeight="false" outlineLevel="0" collapsed="false">
      <c r="F115" s="30" t="str">
        <f aca="false">IF($A115="","",COUNTIFS(Deployments!$B$2:$B$1001,$A115,Deployments!$D$2:$D$1001,"&lt;&gt;Withdrawn"))</f>
        <v/>
      </c>
      <c r="G115" s="25" t="str">
        <f aca="false">IF($A115="","",SUMIFS(Deployments!$K$2:$K$1001,Deployments!$B$2:$B$1001,$A115))</f>
        <v/>
      </c>
      <c r="H115" s="23" t="str">
        <f aca="false">IF(N(F115)=0,"",IF(_xlfn.MAXIFS(Deployments!$G$2:$G$1001,Deployments!$B$2:$B$1001,$A115,Deployments!$D$2:$D$1001,"&lt;&gt;Withdrawn")=0,"",_xlfn.MAXIFS(Deployments!$G$2:$G$1001,Deployments!$B$2:$B$1001,$A115,Deployments!$D$2:$D$1001,"&lt;&gt;Withdrawn")))</f>
        <v/>
      </c>
      <c r="I115" s="24" t="str">
        <f aca="false">IF($A115="","",IF(F115=0,"Not deployed",IF(F115&gt;=Setup!$H$2,"High load","Deployed")))</f>
        <v/>
      </c>
      <c r="J115" s="35" t="str">
        <f aca="false">IF(N(F115)=0,"",F115+MIN(G115,999)/1000+(1000-ROW())/10000000)</f>
        <v/>
      </c>
      <c r="K115" s="30" t="str">
        <f aca="false">IF(I115="Not deployed",COUNTIF($I$2:I115,"Not deployed"),"")</f>
        <v/>
      </c>
    </row>
    <row r="116" customFormat="false" ht="15" hidden="false" customHeight="false" outlineLevel="0" collapsed="false">
      <c r="F116" s="30" t="str">
        <f aca="false">IF($A116="","",COUNTIFS(Deployments!$B$2:$B$1001,$A116,Deployments!$D$2:$D$1001,"&lt;&gt;Withdrawn"))</f>
        <v/>
      </c>
      <c r="G116" s="25" t="str">
        <f aca="false">IF($A116="","",SUMIFS(Deployments!$K$2:$K$1001,Deployments!$B$2:$B$1001,$A116))</f>
        <v/>
      </c>
      <c r="H116" s="23" t="str">
        <f aca="false">IF(N(F116)=0,"",IF(_xlfn.MAXIFS(Deployments!$G$2:$G$1001,Deployments!$B$2:$B$1001,$A116,Deployments!$D$2:$D$1001,"&lt;&gt;Withdrawn")=0,"",_xlfn.MAXIFS(Deployments!$G$2:$G$1001,Deployments!$B$2:$B$1001,$A116,Deployments!$D$2:$D$1001,"&lt;&gt;Withdrawn")))</f>
        <v/>
      </c>
      <c r="I116" s="24" t="str">
        <f aca="false">IF($A116="","",IF(F116=0,"Not deployed",IF(F116&gt;=Setup!$H$2,"High load","Deployed")))</f>
        <v/>
      </c>
      <c r="J116" s="35" t="str">
        <f aca="false">IF(N(F116)=0,"",F116+MIN(G116,999)/1000+(1000-ROW())/10000000)</f>
        <v/>
      </c>
      <c r="K116" s="30" t="str">
        <f aca="false">IF(I116="Not deployed",COUNTIF($I$2:I116,"Not deployed"),"")</f>
        <v/>
      </c>
    </row>
    <row r="117" customFormat="false" ht="15" hidden="false" customHeight="false" outlineLevel="0" collapsed="false">
      <c r="F117" s="30" t="str">
        <f aca="false">IF($A117="","",COUNTIFS(Deployments!$B$2:$B$1001,$A117,Deployments!$D$2:$D$1001,"&lt;&gt;Withdrawn"))</f>
        <v/>
      </c>
      <c r="G117" s="25" t="str">
        <f aca="false">IF($A117="","",SUMIFS(Deployments!$K$2:$K$1001,Deployments!$B$2:$B$1001,$A117))</f>
        <v/>
      </c>
      <c r="H117" s="23" t="str">
        <f aca="false">IF(N(F117)=0,"",IF(_xlfn.MAXIFS(Deployments!$G$2:$G$1001,Deployments!$B$2:$B$1001,$A117,Deployments!$D$2:$D$1001,"&lt;&gt;Withdrawn")=0,"",_xlfn.MAXIFS(Deployments!$G$2:$G$1001,Deployments!$B$2:$B$1001,$A117,Deployments!$D$2:$D$1001,"&lt;&gt;Withdrawn")))</f>
        <v/>
      </c>
      <c r="I117" s="24" t="str">
        <f aca="false">IF($A117="","",IF(F117=0,"Not deployed",IF(F117&gt;=Setup!$H$2,"High load","Deployed")))</f>
        <v/>
      </c>
      <c r="J117" s="35" t="str">
        <f aca="false">IF(N(F117)=0,"",F117+MIN(G117,999)/1000+(1000-ROW())/10000000)</f>
        <v/>
      </c>
      <c r="K117" s="30" t="str">
        <f aca="false">IF(I117="Not deployed",COUNTIF($I$2:I117,"Not deployed"),"")</f>
        <v/>
      </c>
    </row>
    <row r="118" customFormat="false" ht="15" hidden="false" customHeight="false" outlineLevel="0" collapsed="false">
      <c r="F118" s="30" t="str">
        <f aca="false">IF($A118="","",COUNTIFS(Deployments!$B$2:$B$1001,$A118,Deployments!$D$2:$D$1001,"&lt;&gt;Withdrawn"))</f>
        <v/>
      </c>
      <c r="G118" s="25" t="str">
        <f aca="false">IF($A118="","",SUMIFS(Deployments!$K$2:$K$1001,Deployments!$B$2:$B$1001,$A118))</f>
        <v/>
      </c>
      <c r="H118" s="23" t="str">
        <f aca="false">IF(N(F118)=0,"",IF(_xlfn.MAXIFS(Deployments!$G$2:$G$1001,Deployments!$B$2:$B$1001,$A118,Deployments!$D$2:$D$1001,"&lt;&gt;Withdrawn")=0,"",_xlfn.MAXIFS(Deployments!$G$2:$G$1001,Deployments!$B$2:$B$1001,$A118,Deployments!$D$2:$D$1001,"&lt;&gt;Withdrawn")))</f>
        <v/>
      </c>
      <c r="I118" s="24" t="str">
        <f aca="false">IF($A118="","",IF(F118=0,"Not deployed",IF(F118&gt;=Setup!$H$2,"High load","Deployed")))</f>
        <v/>
      </c>
      <c r="J118" s="35" t="str">
        <f aca="false">IF(N(F118)=0,"",F118+MIN(G118,999)/1000+(1000-ROW())/10000000)</f>
        <v/>
      </c>
      <c r="K118" s="30" t="str">
        <f aca="false">IF(I118="Not deployed",COUNTIF($I$2:I118,"Not deployed"),"")</f>
        <v/>
      </c>
    </row>
    <row r="119" customFormat="false" ht="15" hidden="false" customHeight="false" outlineLevel="0" collapsed="false">
      <c r="F119" s="30" t="str">
        <f aca="false">IF($A119="","",COUNTIFS(Deployments!$B$2:$B$1001,$A119,Deployments!$D$2:$D$1001,"&lt;&gt;Withdrawn"))</f>
        <v/>
      </c>
      <c r="G119" s="25" t="str">
        <f aca="false">IF($A119="","",SUMIFS(Deployments!$K$2:$K$1001,Deployments!$B$2:$B$1001,$A119))</f>
        <v/>
      </c>
      <c r="H119" s="23" t="str">
        <f aca="false">IF(N(F119)=0,"",IF(_xlfn.MAXIFS(Deployments!$G$2:$G$1001,Deployments!$B$2:$B$1001,$A119,Deployments!$D$2:$D$1001,"&lt;&gt;Withdrawn")=0,"",_xlfn.MAXIFS(Deployments!$G$2:$G$1001,Deployments!$B$2:$B$1001,$A119,Deployments!$D$2:$D$1001,"&lt;&gt;Withdrawn")))</f>
        <v/>
      </c>
      <c r="I119" s="24" t="str">
        <f aca="false">IF($A119="","",IF(F119=0,"Not deployed",IF(F119&gt;=Setup!$H$2,"High load","Deployed")))</f>
        <v/>
      </c>
      <c r="J119" s="35" t="str">
        <f aca="false">IF(N(F119)=0,"",F119+MIN(G119,999)/1000+(1000-ROW())/10000000)</f>
        <v/>
      </c>
      <c r="K119" s="30" t="str">
        <f aca="false">IF(I119="Not deployed",COUNTIF($I$2:I119,"Not deployed"),"")</f>
        <v/>
      </c>
    </row>
    <row r="120" customFormat="false" ht="15" hidden="false" customHeight="false" outlineLevel="0" collapsed="false">
      <c r="F120" s="30" t="str">
        <f aca="false">IF($A120="","",COUNTIFS(Deployments!$B$2:$B$1001,$A120,Deployments!$D$2:$D$1001,"&lt;&gt;Withdrawn"))</f>
        <v/>
      </c>
      <c r="G120" s="25" t="str">
        <f aca="false">IF($A120="","",SUMIFS(Deployments!$K$2:$K$1001,Deployments!$B$2:$B$1001,$A120))</f>
        <v/>
      </c>
      <c r="H120" s="23" t="str">
        <f aca="false">IF(N(F120)=0,"",IF(_xlfn.MAXIFS(Deployments!$G$2:$G$1001,Deployments!$B$2:$B$1001,$A120,Deployments!$D$2:$D$1001,"&lt;&gt;Withdrawn")=0,"",_xlfn.MAXIFS(Deployments!$G$2:$G$1001,Deployments!$B$2:$B$1001,$A120,Deployments!$D$2:$D$1001,"&lt;&gt;Withdrawn")))</f>
        <v/>
      </c>
      <c r="I120" s="24" t="str">
        <f aca="false">IF($A120="","",IF(F120=0,"Not deployed",IF(F120&gt;=Setup!$H$2,"High load","Deployed")))</f>
        <v/>
      </c>
      <c r="J120" s="35" t="str">
        <f aca="false">IF(N(F120)=0,"",F120+MIN(G120,999)/1000+(1000-ROW())/10000000)</f>
        <v/>
      </c>
      <c r="K120" s="30" t="str">
        <f aca="false">IF(I120="Not deployed",COUNTIF($I$2:I120,"Not deployed"),"")</f>
        <v/>
      </c>
    </row>
    <row r="121" customFormat="false" ht="15" hidden="false" customHeight="false" outlineLevel="0" collapsed="false">
      <c r="F121" s="30" t="str">
        <f aca="false">IF($A121="","",COUNTIFS(Deployments!$B$2:$B$1001,$A121,Deployments!$D$2:$D$1001,"&lt;&gt;Withdrawn"))</f>
        <v/>
      </c>
      <c r="G121" s="25" t="str">
        <f aca="false">IF($A121="","",SUMIFS(Deployments!$K$2:$K$1001,Deployments!$B$2:$B$1001,$A121))</f>
        <v/>
      </c>
      <c r="H121" s="23" t="str">
        <f aca="false">IF(N(F121)=0,"",IF(_xlfn.MAXIFS(Deployments!$G$2:$G$1001,Deployments!$B$2:$B$1001,$A121,Deployments!$D$2:$D$1001,"&lt;&gt;Withdrawn")=0,"",_xlfn.MAXIFS(Deployments!$G$2:$G$1001,Deployments!$B$2:$B$1001,$A121,Deployments!$D$2:$D$1001,"&lt;&gt;Withdrawn")))</f>
        <v/>
      </c>
      <c r="I121" s="24" t="str">
        <f aca="false">IF($A121="","",IF(F121=0,"Not deployed",IF(F121&gt;=Setup!$H$2,"High load","Deployed")))</f>
        <v/>
      </c>
      <c r="J121" s="35" t="str">
        <f aca="false">IF(N(F121)=0,"",F121+MIN(G121,999)/1000+(1000-ROW())/10000000)</f>
        <v/>
      </c>
      <c r="K121" s="30" t="str">
        <f aca="false">IF(I121="Not deployed",COUNTIF($I$2:I121,"Not deployed"),"")</f>
        <v/>
      </c>
    </row>
    <row r="122" customFormat="false" ht="15" hidden="false" customHeight="false" outlineLevel="0" collapsed="false">
      <c r="F122" s="30" t="str">
        <f aca="false">IF($A122="","",COUNTIFS(Deployments!$B$2:$B$1001,$A122,Deployments!$D$2:$D$1001,"&lt;&gt;Withdrawn"))</f>
        <v/>
      </c>
      <c r="G122" s="25" t="str">
        <f aca="false">IF($A122="","",SUMIFS(Deployments!$K$2:$K$1001,Deployments!$B$2:$B$1001,$A122))</f>
        <v/>
      </c>
      <c r="H122" s="23" t="str">
        <f aca="false">IF(N(F122)=0,"",IF(_xlfn.MAXIFS(Deployments!$G$2:$G$1001,Deployments!$B$2:$B$1001,$A122,Deployments!$D$2:$D$1001,"&lt;&gt;Withdrawn")=0,"",_xlfn.MAXIFS(Deployments!$G$2:$G$1001,Deployments!$B$2:$B$1001,$A122,Deployments!$D$2:$D$1001,"&lt;&gt;Withdrawn")))</f>
        <v/>
      </c>
      <c r="I122" s="24" t="str">
        <f aca="false">IF($A122="","",IF(F122=0,"Not deployed",IF(F122&gt;=Setup!$H$2,"High load","Deployed")))</f>
        <v/>
      </c>
      <c r="J122" s="35" t="str">
        <f aca="false">IF(N(F122)=0,"",F122+MIN(G122,999)/1000+(1000-ROW())/10000000)</f>
        <v/>
      </c>
      <c r="K122" s="30" t="str">
        <f aca="false">IF(I122="Not deployed",COUNTIF($I$2:I122,"Not deployed"),"")</f>
        <v/>
      </c>
    </row>
    <row r="123" customFormat="false" ht="15" hidden="false" customHeight="false" outlineLevel="0" collapsed="false">
      <c r="F123" s="30" t="str">
        <f aca="false">IF($A123="","",COUNTIFS(Deployments!$B$2:$B$1001,$A123,Deployments!$D$2:$D$1001,"&lt;&gt;Withdrawn"))</f>
        <v/>
      </c>
      <c r="G123" s="25" t="str">
        <f aca="false">IF($A123="","",SUMIFS(Deployments!$K$2:$K$1001,Deployments!$B$2:$B$1001,$A123))</f>
        <v/>
      </c>
      <c r="H123" s="23" t="str">
        <f aca="false">IF(N(F123)=0,"",IF(_xlfn.MAXIFS(Deployments!$G$2:$G$1001,Deployments!$B$2:$B$1001,$A123,Deployments!$D$2:$D$1001,"&lt;&gt;Withdrawn")=0,"",_xlfn.MAXIFS(Deployments!$G$2:$G$1001,Deployments!$B$2:$B$1001,$A123,Deployments!$D$2:$D$1001,"&lt;&gt;Withdrawn")))</f>
        <v/>
      </c>
      <c r="I123" s="24" t="str">
        <f aca="false">IF($A123="","",IF(F123=0,"Not deployed",IF(F123&gt;=Setup!$H$2,"High load","Deployed")))</f>
        <v/>
      </c>
      <c r="J123" s="35" t="str">
        <f aca="false">IF(N(F123)=0,"",F123+MIN(G123,999)/1000+(1000-ROW())/10000000)</f>
        <v/>
      </c>
      <c r="K123" s="30" t="str">
        <f aca="false">IF(I123="Not deployed",COUNTIF($I$2:I123,"Not deployed"),"")</f>
        <v/>
      </c>
    </row>
    <row r="124" customFormat="false" ht="15" hidden="false" customHeight="false" outlineLevel="0" collapsed="false">
      <c r="F124" s="30" t="str">
        <f aca="false">IF($A124="","",COUNTIFS(Deployments!$B$2:$B$1001,$A124,Deployments!$D$2:$D$1001,"&lt;&gt;Withdrawn"))</f>
        <v/>
      </c>
      <c r="G124" s="25" t="str">
        <f aca="false">IF($A124="","",SUMIFS(Deployments!$K$2:$K$1001,Deployments!$B$2:$B$1001,$A124))</f>
        <v/>
      </c>
      <c r="H124" s="23" t="str">
        <f aca="false">IF(N(F124)=0,"",IF(_xlfn.MAXIFS(Deployments!$G$2:$G$1001,Deployments!$B$2:$B$1001,$A124,Deployments!$D$2:$D$1001,"&lt;&gt;Withdrawn")=0,"",_xlfn.MAXIFS(Deployments!$G$2:$G$1001,Deployments!$B$2:$B$1001,$A124,Deployments!$D$2:$D$1001,"&lt;&gt;Withdrawn")))</f>
        <v/>
      </c>
      <c r="I124" s="24" t="str">
        <f aca="false">IF($A124="","",IF(F124=0,"Not deployed",IF(F124&gt;=Setup!$H$2,"High load","Deployed")))</f>
        <v/>
      </c>
      <c r="J124" s="35" t="str">
        <f aca="false">IF(N(F124)=0,"",F124+MIN(G124,999)/1000+(1000-ROW())/10000000)</f>
        <v/>
      </c>
      <c r="K124" s="30" t="str">
        <f aca="false">IF(I124="Not deployed",COUNTIF($I$2:I124,"Not deployed"),"")</f>
        <v/>
      </c>
    </row>
    <row r="125" customFormat="false" ht="15" hidden="false" customHeight="false" outlineLevel="0" collapsed="false">
      <c r="F125" s="30" t="str">
        <f aca="false">IF($A125="","",COUNTIFS(Deployments!$B$2:$B$1001,$A125,Deployments!$D$2:$D$1001,"&lt;&gt;Withdrawn"))</f>
        <v/>
      </c>
      <c r="G125" s="25" t="str">
        <f aca="false">IF($A125="","",SUMIFS(Deployments!$K$2:$K$1001,Deployments!$B$2:$B$1001,$A125))</f>
        <v/>
      </c>
      <c r="H125" s="23" t="str">
        <f aca="false">IF(N(F125)=0,"",IF(_xlfn.MAXIFS(Deployments!$G$2:$G$1001,Deployments!$B$2:$B$1001,$A125,Deployments!$D$2:$D$1001,"&lt;&gt;Withdrawn")=0,"",_xlfn.MAXIFS(Deployments!$G$2:$G$1001,Deployments!$B$2:$B$1001,$A125,Deployments!$D$2:$D$1001,"&lt;&gt;Withdrawn")))</f>
        <v/>
      </c>
      <c r="I125" s="24" t="str">
        <f aca="false">IF($A125="","",IF(F125=0,"Not deployed",IF(F125&gt;=Setup!$H$2,"High load","Deployed")))</f>
        <v/>
      </c>
      <c r="J125" s="35" t="str">
        <f aca="false">IF(N(F125)=0,"",F125+MIN(G125,999)/1000+(1000-ROW())/10000000)</f>
        <v/>
      </c>
      <c r="K125" s="30" t="str">
        <f aca="false">IF(I125="Not deployed",COUNTIF($I$2:I125,"Not deployed"),"")</f>
        <v/>
      </c>
    </row>
    <row r="126" customFormat="false" ht="15" hidden="false" customHeight="false" outlineLevel="0" collapsed="false">
      <c r="F126" s="30" t="str">
        <f aca="false">IF($A126="","",COUNTIFS(Deployments!$B$2:$B$1001,$A126,Deployments!$D$2:$D$1001,"&lt;&gt;Withdrawn"))</f>
        <v/>
      </c>
      <c r="G126" s="25" t="str">
        <f aca="false">IF($A126="","",SUMIFS(Deployments!$K$2:$K$1001,Deployments!$B$2:$B$1001,$A126))</f>
        <v/>
      </c>
      <c r="H126" s="23" t="str">
        <f aca="false">IF(N(F126)=0,"",IF(_xlfn.MAXIFS(Deployments!$G$2:$G$1001,Deployments!$B$2:$B$1001,$A126,Deployments!$D$2:$D$1001,"&lt;&gt;Withdrawn")=0,"",_xlfn.MAXIFS(Deployments!$G$2:$G$1001,Deployments!$B$2:$B$1001,$A126,Deployments!$D$2:$D$1001,"&lt;&gt;Withdrawn")))</f>
        <v/>
      </c>
      <c r="I126" s="24" t="str">
        <f aca="false">IF($A126="","",IF(F126=0,"Not deployed",IF(F126&gt;=Setup!$H$2,"High load","Deployed")))</f>
        <v/>
      </c>
      <c r="J126" s="35" t="str">
        <f aca="false">IF(N(F126)=0,"",F126+MIN(G126,999)/1000+(1000-ROW())/10000000)</f>
        <v/>
      </c>
      <c r="K126" s="30" t="str">
        <f aca="false">IF(I126="Not deployed",COUNTIF($I$2:I126,"Not deployed"),"")</f>
        <v/>
      </c>
    </row>
    <row r="127" customFormat="false" ht="15" hidden="false" customHeight="false" outlineLevel="0" collapsed="false">
      <c r="F127" s="30" t="str">
        <f aca="false">IF($A127="","",COUNTIFS(Deployments!$B$2:$B$1001,$A127,Deployments!$D$2:$D$1001,"&lt;&gt;Withdrawn"))</f>
        <v/>
      </c>
      <c r="G127" s="25" t="str">
        <f aca="false">IF($A127="","",SUMIFS(Deployments!$K$2:$K$1001,Deployments!$B$2:$B$1001,$A127))</f>
        <v/>
      </c>
      <c r="H127" s="23" t="str">
        <f aca="false">IF(N(F127)=0,"",IF(_xlfn.MAXIFS(Deployments!$G$2:$G$1001,Deployments!$B$2:$B$1001,$A127,Deployments!$D$2:$D$1001,"&lt;&gt;Withdrawn")=0,"",_xlfn.MAXIFS(Deployments!$G$2:$G$1001,Deployments!$B$2:$B$1001,$A127,Deployments!$D$2:$D$1001,"&lt;&gt;Withdrawn")))</f>
        <v/>
      </c>
      <c r="I127" s="24" t="str">
        <f aca="false">IF($A127="","",IF(F127=0,"Not deployed",IF(F127&gt;=Setup!$H$2,"High load","Deployed")))</f>
        <v/>
      </c>
      <c r="J127" s="35" t="str">
        <f aca="false">IF(N(F127)=0,"",F127+MIN(G127,999)/1000+(1000-ROW())/10000000)</f>
        <v/>
      </c>
      <c r="K127" s="30" t="str">
        <f aca="false">IF(I127="Not deployed",COUNTIF($I$2:I127,"Not deployed"),"")</f>
        <v/>
      </c>
    </row>
    <row r="128" customFormat="false" ht="15" hidden="false" customHeight="false" outlineLevel="0" collapsed="false">
      <c r="F128" s="30" t="str">
        <f aca="false">IF($A128="","",COUNTIFS(Deployments!$B$2:$B$1001,$A128,Deployments!$D$2:$D$1001,"&lt;&gt;Withdrawn"))</f>
        <v/>
      </c>
      <c r="G128" s="25" t="str">
        <f aca="false">IF($A128="","",SUMIFS(Deployments!$K$2:$K$1001,Deployments!$B$2:$B$1001,$A128))</f>
        <v/>
      </c>
      <c r="H128" s="23" t="str">
        <f aca="false">IF(N(F128)=0,"",IF(_xlfn.MAXIFS(Deployments!$G$2:$G$1001,Deployments!$B$2:$B$1001,$A128,Deployments!$D$2:$D$1001,"&lt;&gt;Withdrawn")=0,"",_xlfn.MAXIFS(Deployments!$G$2:$G$1001,Deployments!$B$2:$B$1001,$A128,Deployments!$D$2:$D$1001,"&lt;&gt;Withdrawn")))</f>
        <v/>
      </c>
      <c r="I128" s="24" t="str">
        <f aca="false">IF($A128="","",IF(F128=0,"Not deployed",IF(F128&gt;=Setup!$H$2,"High load","Deployed")))</f>
        <v/>
      </c>
      <c r="J128" s="35" t="str">
        <f aca="false">IF(N(F128)=0,"",F128+MIN(G128,999)/1000+(1000-ROW())/10000000)</f>
        <v/>
      </c>
      <c r="K128" s="30" t="str">
        <f aca="false">IF(I128="Not deployed",COUNTIF($I$2:I128,"Not deployed"),"")</f>
        <v/>
      </c>
    </row>
    <row r="129" customFormat="false" ht="15" hidden="false" customHeight="false" outlineLevel="0" collapsed="false">
      <c r="F129" s="30" t="str">
        <f aca="false">IF($A129="","",COUNTIFS(Deployments!$B$2:$B$1001,$A129,Deployments!$D$2:$D$1001,"&lt;&gt;Withdrawn"))</f>
        <v/>
      </c>
      <c r="G129" s="25" t="str">
        <f aca="false">IF($A129="","",SUMIFS(Deployments!$K$2:$K$1001,Deployments!$B$2:$B$1001,$A129))</f>
        <v/>
      </c>
      <c r="H129" s="23" t="str">
        <f aca="false">IF(N(F129)=0,"",IF(_xlfn.MAXIFS(Deployments!$G$2:$G$1001,Deployments!$B$2:$B$1001,$A129,Deployments!$D$2:$D$1001,"&lt;&gt;Withdrawn")=0,"",_xlfn.MAXIFS(Deployments!$G$2:$G$1001,Deployments!$B$2:$B$1001,$A129,Deployments!$D$2:$D$1001,"&lt;&gt;Withdrawn")))</f>
        <v/>
      </c>
      <c r="I129" s="24" t="str">
        <f aca="false">IF($A129="","",IF(F129=0,"Not deployed",IF(F129&gt;=Setup!$H$2,"High load","Deployed")))</f>
        <v/>
      </c>
      <c r="J129" s="35" t="str">
        <f aca="false">IF(N(F129)=0,"",F129+MIN(G129,999)/1000+(1000-ROW())/10000000)</f>
        <v/>
      </c>
      <c r="K129" s="30" t="str">
        <f aca="false">IF(I129="Not deployed",COUNTIF($I$2:I129,"Not deployed"),"")</f>
        <v/>
      </c>
    </row>
    <row r="130" customFormat="false" ht="15" hidden="false" customHeight="false" outlineLevel="0" collapsed="false">
      <c r="F130" s="30" t="str">
        <f aca="false">IF($A130="","",COUNTIFS(Deployments!$B$2:$B$1001,$A130,Deployments!$D$2:$D$1001,"&lt;&gt;Withdrawn"))</f>
        <v/>
      </c>
      <c r="G130" s="25" t="str">
        <f aca="false">IF($A130="","",SUMIFS(Deployments!$K$2:$K$1001,Deployments!$B$2:$B$1001,$A130))</f>
        <v/>
      </c>
      <c r="H130" s="23" t="str">
        <f aca="false">IF(N(F130)=0,"",IF(_xlfn.MAXIFS(Deployments!$G$2:$G$1001,Deployments!$B$2:$B$1001,$A130,Deployments!$D$2:$D$1001,"&lt;&gt;Withdrawn")=0,"",_xlfn.MAXIFS(Deployments!$G$2:$G$1001,Deployments!$B$2:$B$1001,$A130,Deployments!$D$2:$D$1001,"&lt;&gt;Withdrawn")))</f>
        <v/>
      </c>
      <c r="I130" s="24" t="str">
        <f aca="false">IF($A130="","",IF(F130=0,"Not deployed",IF(F130&gt;=Setup!$H$2,"High load","Deployed")))</f>
        <v/>
      </c>
      <c r="J130" s="35" t="str">
        <f aca="false">IF(N(F130)=0,"",F130+MIN(G130,999)/1000+(1000-ROW())/10000000)</f>
        <v/>
      </c>
      <c r="K130" s="30" t="str">
        <f aca="false">IF(I130="Not deployed",COUNTIF($I$2:I130,"Not deployed"),"")</f>
        <v/>
      </c>
    </row>
    <row r="131" customFormat="false" ht="15" hidden="false" customHeight="false" outlineLevel="0" collapsed="false">
      <c r="F131" s="30" t="str">
        <f aca="false">IF($A131="","",COUNTIFS(Deployments!$B$2:$B$1001,$A131,Deployments!$D$2:$D$1001,"&lt;&gt;Withdrawn"))</f>
        <v/>
      </c>
      <c r="G131" s="25" t="str">
        <f aca="false">IF($A131="","",SUMIFS(Deployments!$K$2:$K$1001,Deployments!$B$2:$B$1001,$A131))</f>
        <v/>
      </c>
      <c r="H131" s="23" t="str">
        <f aca="false">IF(N(F131)=0,"",IF(_xlfn.MAXIFS(Deployments!$G$2:$G$1001,Deployments!$B$2:$B$1001,$A131,Deployments!$D$2:$D$1001,"&lt;&gt;Withdrawn")=0,"",_xlfn.MAXIFS(Deployments!$G$2:$G$1001,Deployments!$B$2:$B$1001,$A131,Deployments!$D$2:$D$1001,"&lt;&gt;Withdrawn")))</f>
        <v/>
      </c>
      <c r="I131" s="24" t="str">
        <f aca="false">IF($A131="","",IF(F131=0,"Not deployed",IF(F131&gt;=Setup!$H$2,"High load","Deployed")))</f>
        <v/>
      </c>
      <c r="J131" s="35" t="str">
        <f aca="false">IF(N(F131)=0,"",F131+MIN(G131,999)/1000+(1000-ROW())/10000000)</f>
        <v/>
      </c>
      <c r="K131" s="30" t="str">
        <f aca="false">IF(I131="Not deployed",COUNTIF($I$2:I131,"Not deployed"),"")</f>
        <v/>
      </c>
    </row>
    <row r="132" customFormat="false" ht="15" hidden="false" customHeight="false" outlineLevel="0" collapsed="false">
      <c r="F132" s="30" t="str">
        <f aca="false">IF($A132="","",COUNTIFS(Deployments!$B$2:$B$1001,$A132,Deployments!$D$2:$D$1001,"&lt;&gt;Withdrawn"))</f>
        <v/>
      </c>
      <c r="G132" s="25" t="str">
        <f aca="false">IF($A132="","",SUMIFS(Deployments!$K$2:$K$1001,Deployments!$B$2:$B$1001,$A132))</f>
        <v/>
      </c>
      <c r="H132" s="23" t="str">
        <f aca="false">IF(N(F132)=0,"",IF(_xlfn.MAXIFS(Deployments!$G$2:$G$1001,Deployments!$B$2:$B$1001,$A132,Deployments!$D$2:$D$1001,"&lt;&gt;Withdrawn")=0,"",_xlfn.MAXIFS(Deployments!$G$2:$G$1001,Deployments!$B$2:$B$1001,$A132,Deployments!$D$2:$D$1001,"&lt;&gt;Withdrawn")))</f>
        <v/>
      </c>
      <c r="I132" s="24" t="str">
        <f aca="false">IF($A132="","",IF(F132=0,"Not deployed",IF(F132&gt;=Setup!$H$2,"High load","Deployed")))</f>
        <v/>
      </c>
      <c r="J132" s="35" t="str">
        <f aca="false">IF(N(F132)=0,"",F132+MIN(G132,999)/1000+(1000-ROW())/10000000)</f>
        <v/>
      </c>
      <c r="K132" s="30" t="str">
        <f aca="false">IF(I132="Not deployed",COUNTIF($I$2:I132,"Not deployed"),"")</f>
        <v/>
      </c>
    </row>
    <row r="133" customFormat="false" ht="15" hidden="false" customHeight="false" outlineLevel="0" collapsed="false">
      <c r="F133" s="30" t="str">
        <f aca="false">IF($A133="","",COUNTIFS(Deployments!$B$2:$B$1001,$A133,Deployments!$D$2:$D$1001,"&lt;&gt;Withdrawn"))</f>
        <v/>
      </c>
      <c r="G133" s="25" t="str">
        <f aca="false">IF($A133="","",SUMIFS(Deployments!$K$2:$K$1001,Deployments!$B$2:$B$1001,$A133))</f>
        <v/>
      </c>
      <c r="H133" s="23" t="str">
        <f aca="false">IF(N(F133)=0,"",IF(_xlfn.MAXIFS(Deployments!$G$2:$G$1001,Deployments!$B$2:$B$1001,$A133,Deployments!$D$2:$D$1001,"&lt;&gt;Withdrawn")=0,"",_xlfn.MAXIFS(Deployments!$G$2:$G$1001,Deployments!$B$2:$B$1001,$A133,Deployments!$D$2:$D$1001,"&lt;&gt;Withdrawn")))</f>
        <v/>
      </c>
      <c r="I133" s="24" t="str">
        <f aca="false">IF($A133="","",IF(F133=0,"Not deployed",IF(F133&gt;=Setup!$H$2,"High load","Deployed")))</f>
        <v/>
      </c>
      <c r="J133" s="35" t="str">
        <f aca="false">IF(N(F133)=0,"",F133+MIN(G133,999)/1000+(1000-ROW())/10000000)</f>
        <v/>
      </c>
      <c r="K133" s="30" t="str">
        <f aca="false">IF(I133="Not deployed",COUNTIF($I$2:I133,"Not deployed"),"")</f>
        <v/>
      </c>
    </row>
    <row r="134" customFormat="false" ht="15" hidden="false" customHeight="false" outlineLevel="0" collapsed="false">
      <c r="F134" s="30" t="str">
        <f aca="false">IF($A134="","",COUNTIFS(Deployments!$B$2:$B$1001,$A134,Deployments!$D$2:$D$1001,"&lt;&gt;Withdrawn"))</f>
        <v/>
      </c>
      <c r="G134" s="25" t="str">
        <f aca="false">IF($A134="","",SUMIFS(Deployments!$K$2:$K$1001,Deployments!$B$2:$B$1001,$A134))</f>
        <v/>
      </c>
      <c r="H134" s="23" t="str">
        <f aca="false">IF(N(F134)=0,"",IF(_xlfn.MAXIFS(Deployments!$G$2:$G$1001,Deployments!$B$2:$B$1001,$A134,Deployments!$D$2:$D$1001,"&lt;&gt;Withdrawn")=0,"",_xlfn.MAXIFS(Deployments!$G$2:$G$1001,Deployments!$B$2:$B$1001,$A134,Deployments!$D$2:$D$1001,"&lt;&gt;Withdrawn")))</f>
        <v/>
      </c>
      <c r="I134" s="24" t="str">
        <f aca="false">IF($A134="","",IF(F134=0,"Not deployed",IF(F134&gt;=Setup!$H$2,"High load","Deployed")))</f>
        <v/>
      </c>
      <c r="J134" s="35" t="str">
        <f aca="false">IF(N(F134)=0,"",F134+MIN(G134,999)/1000+(1000-ROW())/10000000)</f>
        <v/>
      </c>
      <c r="K134" s="30" t="str">
        <f aca="false">IF(I134="Not deployed",COUNTIF($I$2:I134,"Not deployed"),"")</f>
        <v/>
      </c>
    </row>
    <row r="135" customFormat="false" ht="15" hidden="false" customHeight="false" outlineLevel="0" collapsed="false">
      <c r="F135" s="30" t="str">
        <f aca="false">IF($A135="","",COUNTIFS(Deployments!$B$2:$B$1001,$A135,Deployments!$D$2:$D$1001,"&lt;&gt;Withdrawn"))</f>
        <v/>
      </c>
      <c r="G135" s="25" t="str">
        <f aca="false">IF($A135="","",SUMIFS(Deployments!$K$2:$K$1001,Deployments!$B$2:$B$1001,$A135))</f>
        <v/>
      </c>
      <c r="H135" s="23" t="str">
        <f aca="false">IF(N(F135)=0,"",IF(_xlfn.MAXIFS(Deployments!$G$2:$G$1001,Deployments!$B$2:$B$1001,$A135,Deployments!$D$2:$D$1001,"&lt;&gt;Withdrawn")=0,"",_xlfn.MAXIFS(Deployments!$G$2:$G$1001,Deployments!$B$2:$B$1001,$A135,Deployments!$D$2:$D$1001,"&lt;&gt;Withdrawn")))</f>
        <v/>
      </c>
      <c r="I135" s="24" t="str">
        <f aca="false">IF($A135="","",IF(F135=0,"Not deployed",IF(F135&gt;=Setup!$H$2,"High load","Deployed")))</f>
        <v/>
      </c>
      <c r="J135" s="35" t="str">
        <f aca="false">IF(N(F135)=0,"",F135+MIN(G135,999)/1000+(1000-ROW())/10000000)</f>
        <v/>
      </c>
      <c r="K135" s="30" t="str">
        <f aca="false">IF(I135="Not deployed",COUNTIF($I$2:I135,"Not deployed"),"")</f>
        <v/>
      </c>
    </row>
    <row r="136" customFormat="false" ht="15" hidden="false" customHeight="false" outlineLevel="0" collapsed="false">
      <c r="F136" s="30" t="str">
        <f aca="false">IF($A136="","",COUNTIFS(Deployments!$B$2:$B$1001,$A136,Deployments!$D$2:$D$1001,"&lt;&gt;Withdrawn"))</f>
        <v/>
      </c>
      <c r="G136" s="25" t="str">
        <f aca="false">IF($A136="","",SUMIFS(Deployments!$K$2:$K$1001,Deployments!$B$2:$B$1001,$A136))</f>
        <v/>
      </c>
      <c r="H136" s="23" t="str">
        <f aca="false">IF(N(F136)=0,"",IF(_xlfn.MAXIFS(Deployments!$G$2:$G$1001,Deployments!$B$2:$B$1001,$A136,Deployments!$D$2:$D$1001,"&lt;&gt;Withdrawn")=0,"",_xlfn.MAXIFS(Deployments!$G$2:$G$1001,Deployments!$B$2:$B$1001,$A136,Deployments!$D$2:$D$1001,"&lt;&gt;Withdrawn")))</f>
        <v/>
      </c>
      <c r="I136" s="24" t="str">
        <f aca="false">IF($A136="","",IF(F136=0,"Not deployed",IF(F136&gt;=Setup!$H$2,"High load","Deployed")))</f>
        <v/>
      </c>
      <c r="J136" s="35" t="str">
        <f aca="false">IF(N(F136)=0,"",F136+MIN(G136,999)/1000+(1000-ROW())/10000000)</f>
        <v/>
      </c>
      <c r="K136" s="30" t="str">
        <f aca="false">IF(I136="Not deployed",COUNTIF($I$2:I136,"Not deployed"),"")</f>
        <v/>
      </c>
    </row>
    <row r="137" customFormat="false" ht="15" hidden="false" customHeight="false" outlineLevel="0" collapsed="false">
      <c r="F137" s="30" t="str">
        <f aca="false">IF($A137="","",COUNTIFS(Deployments!$B$2:$B$1001,$A137,Deployments!$D$2:$D$1001,"&lt;&gt;Withdrawn"))</f>
        <v/>
      </c>
      <c r="G137" s="25" t="str">
        <f aca="false">IF($A137="","",SUMIFS(Deployments!$K$2:$K$1001,Deployments!$B$2:$B$1001,$A137))</f>
        <v/>
      </c>
      <c r="H137" s="23" t="str">
        <f aca="false">IF(N(F137)=0,"",IF(_xlfn.MAXIFS(Deployments!$G$2:$G$1001,Deployments!$B$2:$B$1001,$A137,Deployments!$D$2:$D$1001,"&lt;&gt;Withdrawn")=0,"",_xlfn.MAXIFS(Deployments!$G$2:$G$1001,Deployments!$B$2:$B$1001,$A137,Deployments!$D$2:$D$1001,"&lt;&gt;Withdrawn")))</f>
        <v/>
      </c>
      <c r="I137" s="24" t="str">
        <f aca="false">IF($A137="","",IF(F137=0,"Not deployed",IF(F137&gt;=Setup!$H$2,"High load","Deployed")))</f>
        <v/>
      </c>
      <c r="J137" s="35" t="str">
        <f aca="false">IF(N(F137)=0,"",F137+MIN(G137,999)/1000+(1000-ROW())/10000000)</f>
        <v/>
      </c>
      <c r="K137" s="30" t="str">
        <f aca="false">IF(I137="Not deployed",COUNTIF($I$2:I137,"Not deployed"),"")</f>
        <v/>
      </c>
    </row>
    <row r="138" customFormat="false" ht="15" hidden="false" customHeight="false" outlineLevel="0" collapsed="false">
      <c r="F138" s="30" t="str">
        <f aca="false">IF($A138="","",COUNTIFS(Deployments!$B$2:$B$1001,$A138,Deployments!$D$2:$D$1001,"&lt;&gt;Withdrawn"))</f>
        <v/>
      </c>
      <c r="G138" s="25" t="str">
        <f aca="false">IF($A138="","",SUMIFS(Deployments!$K$2:$K$1001,Deployments!$B$2:$B$1001,$A138))</f>
        <v/>
      </c>
      <c r="H138" s="23" t="str">
        <f aca="false">IF(N(F138)=0,"",IF(_xlfn.MAXIFS(Deployments!$G$2:$G$1001,Deployments!$B$2:$B$1001,$A138,Deployments!$D$2:$D$1001,"&lt;&gt;Withdrawn")=0,"",_xlfn.MAXIFS(Deployments!$G$2:$G$1001,Deployments!$B$2:$B$1001,$A138,Deployments!$D$2:$D$1001,"&lt;&gt;Withdrawn")))</f>
        <v/>
      </c>
      <c r="I138" s="24" t="str">
        <f aca="false">IF($A138="","",IF(F138=0,"Not deployed",IF(F138&gt;=Setup!$H$2,"High load","Deployed")))</f>
        <v/>
      </c>
      <c r="J138" s="35" t="str">
        <f aca="false">IF(N(F138)=0,"",F138+MIN(G138,999)/1000+(1000-ROW())/10000000)</f>
        <v/>
      </c>
      <c r="K138" s="30" t="str">
        <f aca="false">IF(I138="Not deployed",COUNTIF($I$2:I138,"Not deployed"),"")</f>
        <v/>
      </c>
    </row>
    <row r="139" customFormat="false" ht="15" hidden="false" customHeight="false" outlineLevel="0" collapsed="false">
      <c r="F139" s="30" t="str">
        <f aca="false">IF($A139="","",COUNTIFS(Deployments!$B$2:$B$1001,$A139,Deployments!$D$2:$D$1001,"&lt;&gt;Withdrawn"))</f>
        <v/>
      </c>
      <c r="G139" s="25" t="str">
        <f aca="false">IF($A139="","",SUMIFS(Deployments!$K$2:$K$1001,Deployments!$B$2:$B$1001,$A139))</f>
        <v/>
      </c>
      <c r="H139" s="23" t="str">
        <f aca="false">IF(N(F139)=0,"",IF(_xlfn.MAXIFS(Deployments!$G$2:$G$1001,Deployments!$B$2:$B$1001,$A139,Deployments!$D$2:$D$1001,"&lt;&gt;Withdrawn")=0,"",_xlfn.MAXIFS(Deployments!$G$2:$G$1001,Deployments!$B$2:$B$1001,$A139,Deployments!$D$2:$D$1001,"&lt;&gt;Withdrawn")))</f>
        <v/>
      </c>
      <c r="I139" s="24" t="str">
        <f aca="false">IF($A139="","",IF(F139=0,"Not deployed",IF(F139&gt;=Setup!$H$2,"High load","Deployed")))</f>
        <v/>
      </c>
      <c r="J139" s="35" t="str">
        <f aca="false">IF(N(F139)=0,"",F139+MIN(G139,999)/1000+(1000-ROW())/10000000)</f>
        <v/>
      </c>
      <c r="K139" s="30" t="str">
        <f aca="false">IF(I139="Not deployed",COUNTIF($I$2:I139,"Not deployed"),"")</f>
        <v/>
      </c>
    </row>
    <row r="140" customFormat="false" ht="15" hidden="false" customHeight="false" outlineLevel="0" collapsed="false">
      <c r="F140" s="30" t="str">
        <f aca="false">IF($A140="","",COUNTIFS(Deployments!$B$2:$B$1001,$A140,Deployments!$D$2:$D$1001,"&lt;&gt;Withdrawn"))</f>
        <v/>
      </c>
      <c r="G140" s="25" t="str">
        <f aca="false">IF($A140="","",SUMIFS(Deployments!$K$2:$K$1001,Deployments!$B$2:$B$1001,$A140))</f>
        <v/>
      </c>
      <c r="H140" s="23" t="str">
        <f aca="false">IF(N(F140)=0,"",IF(_xlfn.MAXIFS(Deployments!$G$2:$G$1001,Deployments!$B$2:$B$1001,$A140,Deployments!$D$2:$D$1001,"&lt;&gt;Withdrawn")=0,"",_xlfn.MAXIFS(Deployments!$G$2:$G$1001,Deployments!$B$2:$B$1001,$A140,Deployments!$D$2:$D$1001,"&lt;&gt;Withdrawn")))</f>
        <v/>
      </c>
      <c r="I140" s="24" t="str">
        <f aca="false">IF($A140="","",IF(F140=0,"Not deployed",IF(F140&gt;=Setup!$H$2,"High load","Deployed")))</f>
        <v/>
      </c>
      <c r="J140" s="35" t="str">
        <f aca="false">IF(N(F140)=0,"",F140+MIN(G140,999)/1000+(1000-ROW())/10000000)</f>
        <v/>
      </c>
      <c r="K140" s="30" t="str">
        <f aca="false">IF(I140="Not deployed",COUNTIF($I$2:I140,"Not deployed"),"")</f>
        <v/>
      </c>
    </row>
    <row r="141" customFormat="false" ht="15" hidden="false" customHeight="false" outlineLevel="0" collapsed="false">
      <c r="F141" s="30" t="str">
        <f aca="false">IF($A141="","",COUNTIFS(Deployments!$B$2:$B$1001,$A141,Deployments!$D$2:$D$1001,"&lt;&gt;Withdrawn"))</f>
        <v/>
      </c>
      <c r="G141" s="25" t="str">
        <f aca="false">IF($A141="","",SUMIFS(Deployments!$K$2:$K$1001,Deployments!$B$2:$B$1001,$A141))</f>
        <v/>
      </c>
      <c r="H141" s="23" t="str">
        <f aca="false">IF(N(F141)=0,"",IF(_xlfn.MAXIFS(Deployments!$G$2:$G$1001,Deployments!$B$2:$B$1001,$A141,Deployments!$D$2:$D$1001,"&lt;&gt;Withdrawn")=0,"",_xlfn.MAXIFS(Deployments!$G$2:$G$1001,Deployments!$B$2:$B$1001,$A141,Deployments!$D$2:$D$1001,"&lt;&gt;Withdrawn")))</f>
        <v/>
      </c>
      <c r="I141" s="24" t="str">
        <f aca="false">IF($A141="","",IF(F141=0,"Not deployed",IF(F141&gt;=Setup!$H$2,"High load","Deployed")))</f>
        <v/>
      </c>
      <c r="J141" s="35" t="str">
        <f aca="false">IF(N(F141)=0,"",F141+MIN(G141,999)/1000+(1000-ROW())/10000000)</f>
        <v/>
      </c>
      <c r="K141" s="30" t="str">
        <f aca="false">IF(I141="Not deployed",COUNTIF($I$2:I141,"Not deployed"),"")</f>
        <v/>
      </c>
    </row>
    <row r="142" customFormat="false" ht="15" hidden="false" customHeight="false" outlineLevel="0" collapsed="false">
      <c r="F142" s="30" t="str">
        <f aca="false">IF($A142="","",COUNTIFS(Deployments!$B$2:$B$1001,$A142,Deployments!$D$2:$D$1001,"&lt;&gt;Withdrawn"))</f>
        <v/>
      </c>
      <c r="G142" s="25" t="str">
        <f aca="false">IF($A142="","",SUMIFS(Deployments!$K$2:$K$1001,Deployments!$B$2:$B$1001,$A142))</f>
        <v/>
      </c>
      <c r="H142" s="23" t="str">
        <f aca="false">IF(N(F142)=0,"",IF(_xlfn.MAXIFS(Deployments!$G$2:$G$1001,Deployments!$B$2:$B$1001,$A142,Deployments!$D$2:$D$1001,"&lt;&gt;Withdrawn")=0,"",_xlfn.MAXIFS(Deployments!$G$2:$G$1001,Deployments!$B$2:$B$1001,$A142,Deployments!$D$2:$D$1001,"&lt;&gt;Withdrawn")))</f>
        <v/>
      </c>
      <c r="I142" s="24" t="str">
        <f aca="false">IF($A142="","",IF(F142=0,"Not deployed",IF(F142&gt;=Setup!$H$2,"High load","Deployed")))</f>
        <v/>
      </c>
      <c r="J142" s="35" t="str">
        <f aca="false">IF(N(F142)=0,"",F142+MIN(G142,999)/1000+(1000-ROW())/10000000)</f>
        <v/>
      </c>
      <c r="K142" s="30" t="str">
        <f aca="false">IF(I142="Not deployed",COUNTIF($I$2:I142,"Not deployed"),"")</f>
        <v/>
      </c>
    </row>
    <row r="143" customFormat="false" ht="15" hidden="false" customHeight="false" outlineLevel="0" collapsed="false">
      <c r="F143" s="30" t="str">
        <f aca="false">IF($A143="","",COUNTIFS(Deployments!$B$2:$B$1001,$A143,Deployments!$D$2:$D$1001,"&lt;&gt;Withdrawn"))</f>
        <v/>
      </c>
      <c r="G143" s="25" t="str">
        <f aca="false">IF($A143="","",SUMIFS(Deployments!$K$2:$K$1001,Deployments!$B$2:$B$1001,$A143))</f>
        <v/>
      </c>
      <c r="H143" s="23" t="str">
        <f aca="false">IF(N(F143)=0,"",IF(_xlfn.MAXIFS(Deployments!$G$2:$G$1001,Deployments!$B$2:$B$1001,$A143,Deployments!$D$2:$D$1001,"&lt;&gt;Withdrawn")=0,"",_xlfn.MAXIFS(Deployments!$G$2:$G$1001,Deployments!$B$2:$B$1001,$A143,Deployments!$D$2:$D$1001,"&lt;&gt;Withdrawn")))</f>
        <v/>
      </c>
      <c r="I143" s="24" t="str">
        <f aca="false">IF($A143="","",IF(F143=0,"Not deployed",IF(F143&gt;=Setup!$H$2,"High load","Deployed")))</f>
        <v/>
      </c>
      <c r="J143" s="35" t="str">
        <f aca="false">IF(N(F143)=0,"",F143+MIN(G143,999)/1000+(1000-ROW())/10000000)</f>
        <v/>
      </c>
      <c r="K143" s="30" t="str">
        <f aca="false">IF(I143="Not deployed",COUNTIF($I$2:I143,"Not deployed"),"")</f>
        <v/>
      </c>
    </row>
    <row r="144" customFormat="false" ht="15" hidden="false" customHeight="false" outlineLevel="0" collapsed="false">
      <c r="F144" s="30" t="str">
        <f aca="false">IF($A144="","",COUNTIFS(Deployments!$B$2:$B$1001,$A144,Deployments!$D$2:$D$1001,"&lt;&gt;Withdrawn"))</f>
        <v/>
      </c>
      <c r="G144" s="25" t="str">
        <f aca="false">IF($A144="","",SUMIFS(Deployments!$K$2:$K$1001,Deployments!$B$2:$B$1001,$A144))</f>
        <v/>
      </c>
      <c r="H144" s="23" t="str">
        <f aca="false">IF(N(F144)=0,"",IF(_xlfn.MAXIFS(Deployments!$G$2:$G$1001,Deployments!$B$2:$B$1001,$A144,Deployments!$D$2:$D$1001,"&lt;&gt;Withdrawn")=0,"",_xlfn.MAXIFS(Deployments!$G$2:$G$1001,Deployments!$B$2:$B$1001,$A144,Deployments!$D$2:$D$1001,"&lt;&gt;Withdrawn")))</f>
        <v/>
      </c>
      <c r="I144" s="24" t="str">
        <f aca="false">IF($A144="","",IF(F144=0,"Not deployed",IF(F144&gt;=Setup!$H$2,"High load","Deployed")))</f>
        <v/>
      </c>
      <c r="J144" s="35" t="str">
        <f aca="false">IF(N(F144)=0,"",F144+MIN(G144,999)/1000+(1000-ROW())/10000000)</f>
        <v/>
      </c>
      <c r="K144" s="30" t="str">
        <f aca="false">IF(I144="Not deployed",COUNTIF($I$2:I144,"Not deployed"),"")</f>
        <v/>
      </c>
    </row>
    <row r="145" customFormat="false" ht="15" hidden="false" customHeight="false" outlineLevel="0" collapsed="false">
      <c r="F145" s="30" t="str">
        <f aca="false">IF($A145="","",COUNTIFS(Deployments!$B$2:$B$1001,$A145,Deployments!$D$2:$D$1001,"&lt;&gt;Withdrawn"))</f>
        <v/>
      </c>
      <c r="G145" s="25" t="str">
        <f aca="false">IF($A145="","",SUMIFS(Deployments!$K$2:$K$1001,Deployments!$B$2:$B$1001,$A145))</f>
        <v/>
      </c>
      <c r="H145" s="23" t="str">
        <f aca="false">IF(N(F145)=0,"",IF(_xlfn.MAXIFS(Deployments!$G$2:$G$1001,Deployments!$B$2:$B$1001,$A145,Deployments!$D$2:$D$1001,"&lt;&gt;Withdrawn")=0,"",_xlfn.MAXIFS(Deployments!$G$2:$G$1001,Deployments!$B$2:$B$1001,$A145,Deployments!$D$2:$D$1001,"&lt;&gt;Withdrawn")))</f>
        <v/>
      </c>
      <c r="I145" s="24" t="str">
        <f aca="false">IF($A145="","",IF(F145=0,"Not deployed",IF(F145&gt;=Setup!$H$2,"High load","Deployed")))</f>
        <v/>
      </c>
      <c r="J145" s="35" t="str">
        <f aca="false">IF(N(F145)=0,"",F145+MIN(G145,999)/1000+(1000-ROW())/10000000)</f>
        <v/>
      </c>
      <c r="K145" s="30" t="str">
        <f aca="false">IF(I145="Not deployed",COUNTIF($I$2:I145,"Not deployed"),"")</f>
        <v/>
      </c>
    </row>
    <row r="146" customFormat="false" ht="15" hidden="false" customHeight="false" outlineLevel="0" collapsed="false">
      <c r="F146" s="30" t="str">
        <f aca="false">IF($A146="","",COUNTIFS(Deployments!$B$2:$B$1001,$A146,Deployments!$D$2:$D$1001,"&lt;&gt;Withdrawn"))</f>
        <v/>
      </c>
      <c r="G146" s="25" t="str">
        <f aca="false">IF($A146="","",SUMIFS(Deployments!$K$2:$K$1001,Deployments!$B$2:$B$1001,$A146))</f>
        <v/>
      </c>
      <c r="H146" s="23" t="str">
        <f aca="false">IF(N(F146)=0,"",IF(_xlfn.MAXIFS(Deployments!$G$2:$G$1001,Deployments!$B$2:$B$1001,$A146,Deployments!$D$2:$D$1001,"&lt;&gt;Withdrawn")=0,"",_xlfn.MAXIFS(Deployments!$G$2:$G$1001,Deployments!$B$2:$B$1001,$A146,Deployments!$D$2:$D$1001,"&lt;&gt;Withdrawn")))</f>
        <v/>
      </c>
      <c r="I146" s="24" t="str">
        <f aca="false">IF($A146="","",IF(F146=0,"Not deployed",IF(F146&gt;=Setup!$H$2,"High load","Deployed")))</f>
        <v/>
      </c>
      <c r="J146" s="35" t="str">
        <f aca="false">IF(N(F146)=0,"",F146+MIN(G146,999)/1000+(1000-ROW())/10000000)</f>
        <v/>
      </c>
      <c r="K146" s="30" t="str">
        <f aca="false">IF(I146="Not deployed",COUNTIF($I$2:I146,"Not deployed"),"")</f>
        <v/>
      </c>
    </row>
    <row r="147" customFormat="false" ht="15" hidden="false" customHeight="false" outlineLevel="0" collapsed="false">
      <c r="F147" s="30" t="str">
        <f aca="false">IF($A147="","",COUNTIFS(Deployments!$B$2:$B$1001,$A147,Deployments!$D$2:$D$1001,"&lt;&gt;Withdrawn"))</f>
        <v/>
      </c>
      <c r="G147" s="25" t="str">
        <f aca="false">IF($A147="","",SUMIFS(Deployments!$K$2:$K$1001,Deployments!$B$2:$B$1001,$A147))</f>
        <v/>
      </c>
      <c r="H147" s="23" t="str">
        <f aca="false">IF(N(F147)=0,"",IF(_xlfn.MAXIFS(Deployments!$G$2:$G$1001,Deployments!$B$2:$B$1001,$A147,Deployments!$D$2:$D$1001,"&lt;&gt;Withdrawn")=0,"",_xlfn.MAXIFS(Deployments!$G$2:$G$1001,Deployments!$B$2:$B$1001,$A147,Deployments!$D$2:$D$1001,"&lt;&gt;Withdrawn")))</f>
        <v/>
      </c>
      <c r="I147" s="24" t="str">
        <f aca="false">IF($A147="","",IF(F147=0,"Not deployed",IF(F147&gt;=Setup!$H$2,"High load","Deployed")))</f>
        <v/>
      </c>
      <c r="J147" s="35" t="str">
        <f aca="false">IF(N(F147)=0,"",F147+MIN(G147,999)/1000+(1000-ROW())/10000000)</f>
        <v/>
      </c>
      <c r="K147" s="30" t="str">
        <f aca="false">IF(I147="Not deployed",COUNTIF($I$2:I147,"Not deployed"),"")</f>
        <v/>
      </c>
    </row>
    <row r="148" customFormat="false" ht="15" hidden="false" customHeight="false" outlineLevel="0" collapsed="false">
      <c r="F148" s="30" t="str">
        <f aca="false">IF($A148="","",COUNTIFS(Deployments!$B$2:$B$1001,$A148,Deployments!$D$2:$D$1001,"&lt;&gt;Withdrawn"))</f>
        <v/>
      </c>
      <c r="G148" s="25" t="str">
        <f aca="false">IF($A148="","",SUMIFS(Deployments!$K$2:$K$1001,Deployments!$B$2:$B$1001,$A148))</f>
        <v/>
      </c>
      <c r="H148" s="23" t="str">
        <f aca="false">IF(N(F148)=0,"",IF(_xlfn.MAXIFS(Deployments!$G$2:$G$1001,Deployments!$B$2:$B$1001,$A148,Deployments!$D$2:$D$1001,"&lt;&gt;Withdrawn")=0,"",_xlfn.MAXIFS(Deployments!$G$2:$G$1001,Deployments!$B$2:$B$1001,$A148,Deployments!$D$2:$D$1001,"&lt;&gt;Withdrawn")))</f>
        <v/>
      </c>
      <c r="I148" s="24" t="str">
        <f aca="false">IF($A148="","",IF(F148=0,"Not deployed",IF(F148&gt;=Setup!$H$2,"High load","Deployed")))</f>
        <v/>
      </c>
      <c r="J148" s="35" t="str">
        <f aca="false">IF(N(F148)=0,"",F148+MIN(G148,999)/1000+(1000-ROW())/10000000)</f>
        <v/>
      </c>
      <c r="K148" s="30" t="str">
        <f aca="false">IF(I148="Not deployed",COUNTIF($I$2:I148,"Not deployed"),"")</f>
        <v/>
      </c>
    </row>
    <row r="149" customFormat="false" ht="15" hidden="false" customHeight="false" outlineLevel="0" collapsed="false">
      <c r="F149" s="30" t="str">
        <f aca="false">IF($A149="","",COUNTIFS(Deployments!$B$2:$B$1001,$A149,Deployments!$D$2:$D$1001,"&lt;&gt;Withdrawn"))</f>
        <v/>
      </c>
      <c r="G149" s="25" t="str">
        <f aca="false">IF($A149="","",SUMIFS(Deployments!$K$2:$K$1001,Deployments!$B$2:$B$1001,$A149))</f>
        <v/>
      </c>
      <c r="H149" s="23" t="str">
        <f aca="false">IF(N(F149)=0,"",IF(_xlfn.MAXIFS(Deployments!$G$2:$G$1001,Deployments!$B$2:$B$1001,$A149,Deployments!$D$2:$D$1001,"&lt;&gt;Withdrawn")=0,"",_xlfn.MAXIFS(Deployments!$G$2:$G$1001,Deployments!$B$2:$B$1001,$A149,Deployments!$D$2:$D$1001,"&lt;&gt;Withdrawn")))</f>
        <v/>
      </c>
      <c r="I149" s="24" t="str">
        <f aca="false">IF($A149="","",IF(F149=0,"Not deployed",IF(F149&gt;=Setup!$H$2,"High load","Deployed")))</f>
        <v/>
      </c>
      <c r="J149" s="35" t="str">
        <f aca="false">IF(N(F149)=0,"",F149+MIN(G149,999)/1000+(1000-ROW())/10000000)</f>
        <v/>
      </c>
      <c r="K149" s="30" t="str">
        <f aca="false">IF(I149="Not deployed",COUNTIF($I$2:I149,"Not deployed"),"")</f>
        <v/>
      </c>
    </row>
    <row r="150" customFormat="false" ht="15" hidden="false" customHeight="false" outlineLevel="0" collapsed="false">
      <c r="F150" s="30" t="str">
        <f aca="false">IF($A150="","",COUNTIFS(Deployments!$B$2:$B$1001,$A150,Deployments!$D$2:$D$1001,"&lt;&gt;Withdrawn"))</f>
        <v/>
      </c>
      <c r="G150" s="25" t="str">
        <f aca="false">IF($A150="","",SUMIFS(Deployments!$K$2:$K$1001,Deployments!$B$2:$B$1001,$A150))</f>
        <v/>
      </c>
      <c r="H150" s="23" t="str">
        <f aca="false">IF(N(F150)=0,"",IF(_xlfn.MAXIFS(Deployments!$G$2:$G$1001,Deployments!$B$2:$B$1001,$A150,Deployments!$D$2:$D$1001,"&lt;&gt;Withdrawn")=0,"",_xlfn.MAXIFS(Deployments!$G$2:$G$1001,Deployments!$B$2:$B$1001,$A150,Deployments!$D$2:$D$1001,"&lt;&gt;Withdrawn")))</f>
        <v/>
      </c>
      <c r="I150" s="24" t="str">
        <f aca="false">IF($A150="","",IF(F150=0,"Not deployed",IF(F150&gt;=Setup!$H$2,"High load","Deployed")))</f>
        <v/>
      </c>
      <c r="J150" s="35" t="str">
        <f aca="false">IF(N(F150)=0,"",F150+MIN(G150,999)/1000+(1000-ROW())/10000000)</f>
        <v/>
      </c>
      <c r="K150" s="30" t="str">
        <f aca="false">IF(I150="Not deployed",COUNTIF($I$2:I150,"Not deployed"),"")</f>
        <v/>
      </c>
    </row>
    <row r="151" customFormat="false" ht="15" hidden="false" customHeight="false" outlineLevel="0" collapsed="false">
      <c r="F151" s="30" t="str">
        <f aca="false">IF($A151="","",COUNTIFS(Deployments!$B$2:$B$1001,$A151,Deployments!$D$2:$D$1001,"&lt;&gt;Withdrawn"))</f>
        <v/>
      </c>
      <c r="G151" s="25" t="str">
        <f aca="false">IF($A151="","",SUMIFS(Deployments!$K$2:$K$1001,Deployments!$B$2:$B$1001,$A151))</f>
        <v/>
      </c>
      <c r="H151" s="23" t="str">
        <f aca="false">IF(N(F151)=0,"",IF(_xlfn.MAXIFS(Deployments!$G$2:$G$1001,Deployments!$B$2:$B$1001,$A151,Deployments!$D$2:$D$1001,"&lt;&gt;Withdrawn")=0,"",_xlfn.MAXIFS(Deployments!$G$2:$G$1001,Deployments!$B$2:$B$1001,$A151,Deployments!$D$2:$D$1001,"&lt;&gt;Withdrawn")))</f>
        <v/>
      </c>
      <c r="I151" s="24" t="str">
        <f aca="false">IF($A151="","",IF(F151=0,"Not deployed",IF(F151&gt;=Setup!$H$2,"High load","Deployed")))</f>
        <v/>
      </c>
      <c r="J151" s="35" t="str">
        <f aca="false">IF(N(F151)=0,"",F151+MIN(G151,999)/1000+(1000-ROW())/10000000)</f>
        <v/>
      </c>
      <c r="K151" s="30" t="str">
        <f aca="false">IF(I151="Not deployed",COUNTIF($I$2:I151,"Not deployed"),"")</f>
        <v/>
      </c>
    </row>
    <row r="152" customFormat="false" ht="15" hidden="false" customHeight="false" outlineLevel="0" collapsed="false">
      <c r="F152" s="30" t="str">
        <f aca="false">IF($A152="","",COUNTIFS(Deployments!$B$2:$B$1001,$A152,Deployments!$D$2:$D$1001,"&lt;&gt;Withdrawn"))</f>
        <v/>
      </c>
      <c r="G152" s="25" t="str">
        <f aca="false">IF($A152="","",SUMIFS(Deployments!$K$2:$K$1001,Deployments!$B$2:$B$1001,$A152))</f>
        <v/>
      </c>
      <c r="H152" s="23" t="str">
        <f aca="false">IF(N(F152)=0,"",IF(_xlfn.MAXIFS(Deployments!$G$2:$G$1001,Deployments!$B$2:$B$1001,$A152,Deployments!$D$2:$D$1001,"&lt;&gt;Withdrawn")=0,"",_xlfn.MAXIFS(Deployments!$G$2:$G$1001,Deployments!$B$2:$B$1001,$A152,Deployments!$D$2:$D$1001,"&lt;&gt;Withdrawn")))</f>
        <v/>
      </c>
      <c r="I152" s="24" t="str">
        <f aca="false">IF($A152="","",IF(F152=0,"Not deployed",IF(F152&gt;=Setup!$H$2,"High load","Deployed")))</f>
        <v/>
      </c>
      <c r="J152" s="35" t="str">
        <f aca="false">IF(N(F152)=0,"",F152+MIN(G152,999)/1000+(1000-ROW())/10000000)</f>
        <v/>
      </c>
      <c r="K152" s="30" t="str">
        <f aca="false">IF(I152="Not deployed",COUNTIF($I$2:I152,"Not deployed"),"")</f>
        <v/>
      </c>
    </row>
    <row r="153" customFormat="false" ht="15" hidden="false" customHeight="false" outlineLevel="0" collapsed="false">
      <c r="F153" s="30" t="str">
        <f aca="false">IF($A153="","",COUNTIFS(Deployments!$B$2:$B$1001,$A153,Deployments!$D$2:$D$1001,"&lt;&gt;Withdrawn"))</f>
        <v/>
      </c>
      <c r="G153" s="25" t="str">
        <f aca="false">IF($A153="","",SUMIFS(Deployments!$K$2:$K$1001,Deployments!$B$2:$B$1001,$A153))</f>
        <v/>
      </c>
      <c r="H153" s="23" t="str">
        <f aca="false">IF(N(F153)=0,"",IF(_xlfn.MAXIFS(Deployments!$G$2:$G$1001,Deployments!$B$2:$B$1001,$A153,Deployments!$D$2:$D$1001,"&lt;&gt;Withdrawn")=0,"",_xlfn.MAXIFS(Deployments!$G$2:$G$1001,Deployments!$B$2:$B$1001,$A153,Deployments!$D$2:$D$1001,"&lt;&gt;Withdrawn")))</f>
        <v/>
      </c>
      <c r="I153" s="24" t="str">
        <f aca="false">IF($A153="","",IF(F153=0,"Not deployed",IF(F153&gt;=Setup!$H$2,"High load","Deployed")))</f>
        <v/>
      </c>
      <c r="J153" s="35" t="str">
        <f aca="false">IF(N(F153)=0,"",F153+MIN(G153,999)/1000+(1000-ROW())/10000000)</f>
        <v/>
      </c>
      <c r="K153" s="30" t="str">
        <f aca="false">IF(I153="Not deployed",COUNTIF($I$2:I153,"Not deployed"),"")</f>
        <v/>
      </c>
    </row>
    <row r="154" customFormat="false" ht="15" hidden="false" customHeight="false" outlineLevel="0" collapsed="false">
      <c r="F154" s="30" t="str">
        <f aca="false">IF($A154="","",COUNTIFS(Deployments!$B$2:$B$1001,$A154,Deployments!$D$2:$D$1001,"&lt;&gt;Withdrawn"))</f>
        <v/>
      </c>
      <c r="G154" s="25" t="str">
        <f aca="false">IF($A154="","",SUMIFS(Deployments!$K$2:$K$1001,Deployments!$B$2:$B$1001,$A154))</f>
        <v/>
      </c>
      <c r="H154" s="23" t="str">
        <f aca="false">IF(N(F154)=0,"",IF(_xlfn.MAXIFS(Deployments!$G$2:$G$1001,Deployments!$B$2:$B$1001,$A154,Deployments!$D$2:$D$1001,"&lt;&gt;Withdrawn")=0,"",_xlfn.MAXIFS(Deployments!$G$2:$G$1001,Deployments!$B$2:$B$1001,$A154,Deployments!$D$2:$D$1001,"&lt;&gt;Withdrawn")))</f>
        <v/>
      </c>
      <c r="I154" s="24" t="str">
        <f aca="false">IF($A154="","",IF(F154=0,"Not deployed",IF(F154&gt;=Setup!$H$2,"High load","Deployed")))</f>
        <v/>
      </c>
      <c r="J154" s="35" t="str">
        <f aca="false">IF(N(F154)=0,"",F154+MIN(G154,999)/1000+(1000-ROW())/10000000)</f>
        <v/>
      </c>
      <c r="K154" s="30" t="str">
        <f aca="false">IF(I154="Not deployed",COUNTIF($I$2:I154,"Not deployed"),"")</f>
        <v/>
      </c>
    </row>
    <row r="155" customFormat="false" ht="15" hidden="false" customHeight="false" outlineLevel="0" collapsed="false">
      <c r="F155" s="30" t="str">
        <f aca="false">IF($A155="","",COUNTIFS(Deployments!$B$2:$B$1001,$A155,Deployments!$D$2:$D$1001,"&lt;&gt;Withdrawn"))</f>
        <v/>
      </c>
      <c r="G155" s="25" t="str">
        <f aca="false">IF($A155="","",SUMIFS(Deployments!$K$2:$K$1001,Deployments!$B$2:$B$1001,$A155))</f>
        <v/>
      </c>
      <c r="H155" s="23" t="str">
        <f aca="false">IF(N(F155)=0,"",IF(_xlfn.MAXIFS(Deployments!$G$2:$G$1001,Deployments!$B$2:$B$1001,$A155,Deployments!$D$2:$D$1001,"&lt;&gt;Withdrawn")=0,"",_xlfn.MAXIFS(Deployments!$G$2:$G$1001,Deployments!$B$2:$B$1001,$A155,Deployments!$D$2:$D$1001,"&lt;&gt;Withdrawn")))</f>
        <v/>
      </c>
      <c r="I155" s="24" t="str">
        <f aca="false">IF($A155="","",IF(F155=0,"Not deployed",IF(F155&gt;=Setup!$H$2,"High load","Deployed")))</f>
        <v/>
      </c>
      <c r="J155" s="35" t="str">
        <f aca="false">IF(N(F155)=0,"",F155+MIN(G155,999)/1000+(1000-ROW())/10000000)</f>
        <v/>
      </c>
      <c r="K155" s="30" t="str">
        <f aca="false">IF(I155="Not deployed",COUNTIF($I$2:I155,"Not deployed"),"")</f>
        <v/>
      </c>
    </row>
    <row r="156" customFormat="false" ht="15" hidden="false" customHeight="false" outlineLevel="0" collapsed="false">
      <c r="F156" s="30" t="str">
        <f aca="false">IF($A156="","",COUNTIFS(Deployments!$B$2:$B$1001,$A156,Deployments!$D$2:$D$1001,"&lt;&gt;Withdrawn"))</f>
        <v/>
      </c>
      <c r="G156" s="25" t="str">
        <f aca="false">IF($A156="","",SUMIFS(Deployments!$K$2:$K$1001,Deployments!$B$2:$B$1001,$A156))</f>
        <v/>
      </c>
      <c r="H156" s="23" t="str">
        <f aca="false">IF(N(F156)=0,"",IF(_xlfn.MAXIFS(Deployments!$G$2:$G$1001,Deployments!$B$2:$B$1001,$A156,Deployments!$D$2:$D$1001,"&lt;&gt;Withdrawn")=0,"",_xlfn.MAXIFS(Deployments!$G$2:$G$1001,Deployments!$B$2:$B$1001,$A156,Deployments!$D$2:$D$1001,"&lt;&gt;Withdrawn")))</f>
        <v/>
      </c>
      <c r="I156" s="24" t="str">
        <f aca="false">IF($A156="","",IF(F156=0,"Not deployed",IF(F156&gt;=Setup!$H$2,"High load","Deployed")))</f>
        <v/>
      </c>
      <c r="J156" s="35" t="str">
        <f aca="false">IF(N(F156)=0,"",F156+MIN(G156,999)/1000+(1000-ROW())/10000000)</f>
        <v/>
      </c>
      <c r="K156" s="30" t="str">
        <f aca="false">IF(I156="Not deployed",COUNTIF($I$2:I156,"Not deployed"),"")</f>
        <v/>
      </c>
    </row>
    <row r="157" customFormat="false" ht="15" hidden="false" customHeight="false" outlineLevel="0" collapsed="false">
      <c r="F157" s="30" t="str">
        <f aca="false">IF($A157="","",COUNTIFS(Deployments!$B$2:$B$1001,$A157,Deployments!$D$2:$D$1001,"&lt;&gt;Withdrawn"))</f>
        <v/>
      </c>
      <c r="G157" s="25" t="str">
        <f aca="false">IF($A157="","",SUMIFS(Deployments!$K$2:$K$1001,Deployments!$B$2:$B$1001,$A157))</f>
        <v/>
      </c>
      <c r="H157" s="23" t="str">
        <f aca="false">IF(N(F157)=0,"",IF(_xlfn.MAXIFS(Deployments!$G$2:$G$1001,Deployments!$B$2:$B$1001,$A157,Deployments!$D$2:$D$1001,"&lt;&gt;Withdrawn")=0,"",_xlfn.MAXIFS(Deployments!$G$2:$G$1001,Deployments!$B$2:$B$1001,$A157,Deployments!$D$2:$D$1001,"&lt;&gt;Withdrawn")))</f>
        <v/>
      </c>
      <c r="I157" s="24" t="str">
        <f aca="false">IF($A157="","",IF(F157=0,"Not deployed",IF(F157&gt;=Setup!$H$2,"High load","Deployed")))</f>
        <v/>
      </c>
      <c r="J157" s="35" t="str">
        <f aca="false">IF(N(F157)=0,"",F157+MIN(G157,999)/1000+(1000-ROW())/10000000)</f>
        <v/>
      </c>
      <c r="K157" s="30" t="str">
        <f aca="false">IF(I157="Not deployed",COUNTIF($I$2:I157,"Not deployed"),"")</f>
        <v/>
      </c>
    </row>
    <row r="158" customFormat="false" ht="15" hidden="false" customHeight="false" outlineLevel="0" collapsed="false">
      <c r="F158" s="30" t="str">
        <f aca="false">IF($A158="","",COUNTIFS(Deployments!$B$2:$B$1001,$A158,Deployments!$D$2:$D$1001,"&lt;&gt;Withdrawn"))</f>
        <v/>
      </c>
      <c r="G158" s="25" t="str">
        <f aca="false">IF($A158="","",SUMIFS(Deployments!$K$2:$K$1001,Deployments!$B$2:$B$1001,$A158))</f>
        <v/>
      </c>
      <c r="H158" s="23" t="str">
        <f aca="false">IF(N(F158)=0,"",IF(_xlfn.MAXIFS(Deployments!$G$2:$G$1001,Deployments!$B$2:$B$1001,$A158,Deployments!$D$2:$D$1001,"&lt;&gt;Withdrawn")=0,"",_xlfn.MAXIFS(Deployments!$G$2:$G$1001,Deployments!$B$2:$B$1001,$A158,Deployments!$D$2:$D$1001,"&lt;&gt;Withdrawn")))</f>
        <v/>
      </c>
      <c r="I158" s="24" t="str">
        <f aca="false">IF($A158="","",IF(F158=0,"Not deployed",IF(F158&gt;=Setup!$H$2,"High load","Deployed")))</f>
        <v/>
      </c>
      <c r="J158" s="35" t="str">
        <f aca="false">IF(N(F158)=0,"",F158+MIN(G158,999)/1000+(1000-ROW())/10000000)</f>
        <v/>
      </c>
      <c r="K158" s="30" t="str">
        <f aca="false">IF(I158="Not deployed",COUNTIF($I$2:I158,"Not deployed"),"")</f>
        <v/>
      </c>
    </row>
    <row r="159" customFormat="false" ht="15" hidden="false" customHeight="false" outlineLevel="0" collapsed="false">
      <c r="F159" s="30" t="str">
        <f aca="false">IF($A159="","",COUNTIFS(Deployments!$B$2:$B$1001,$A159,Deployments!$D$2:$D$1001,"&lt;&gt;Withdrawn"))</f>
        <v/>
      </c>
      <c r="G159" s="25" t="str">
        <f aca="false">IF($A159="","",SUMIFS(Deployments!$K$2:$K$1001,Deployments!$B$2:$B$1001,$A159))</f>
        <v/>
      </c>
      <c r="H159" s="23" t="str">
        <f aca="false">IF(N(F159)=0,"",IF(_xlfn.MAXIFS(Deployments!$G$2:$G$1001,Deployments!$B$2:$B$1001,$A159,Deployments!$D$2:$D$1001,"&lt;&gt;Withdrawn")=0,"",_xlfn.MAXIFS(Deployments!$G$2:$G$1001,Deployments!$B$2:$B$1001,$A159,Deployments!$D$2:$D$1001,"&lt;&gt;Withdrawn")))</f>
        <v/>
      </c>
      <c r="I159" s="24" t="str">
        <f aca="false">IF($A159="","",IF(F159=0,"Not deployed",IF(F159&gt;=Setup!$H$2,"High load","Deployed")))</f>
        <v/>
      </c>
      <c r="J159" s="35" t="str">
        <f aca="false">IF(N(F159)=0,"",F159+MIN(G159,999)/1000+(1000-ROW())/10000000)</f>
        <v/>
      </c>
      <c r="K159" s="30" t="str">
        <f aca="false">IF(I159="Not deployed",COUNTIF($I$2:I159,"Not deployed"),"")</f>
        <v/>
      </c>
    </row>
    <row r="160" customFormat="false" ht="15" hidden="false" customHeight="false" outlineLevel="0" collapsed="false">
      <c r="F160" s="30" t="str">
        <f aca="false">IF($A160="","",COUNTIFS(Deployments!$B$2:$B$1001,$A160,Deployments!$D$2:$D$1001,"&lt;&gt;Withdrawn"))</f>
        <v/>
      </c>
      <c r="G160" s="25" t="str">
        <f aca="false">IF($A160="","",SUMIFS(Deployments!$K$2:$K$1001,Deployments!$B$2:$B$1001,$A160))</f>
        <v/>
      </c>
      <c r="H160" s="23" t="str">
        <f aca="false">IF(N(F160)=0,"",IF(_xlfn.MAXIFS(Deployments!$G$2:$G$1001,Deployments!$B$2:$B$1001,$A160,Deployments!$D$2:$D$1001,"&lt;&gt;Withdrawn")=0,"",_xlfn.MAXIFS(Deployments!$G$2:$G$1001,Deployments!$B$2:$B$1001,$A160,Deployments!$D$2:$D$1001,"&lt;&gt;Withdrawn")))</f>
        <v/>
      </c>
      <c r="I160" s="24" t="str">
        <f aca="false">IF($A160="","",IF(F160=0,"Not deployed",IF(F160&gt;=Setup!$H$2,"High load","Deployed")))</f>
        <v/>
      </c>
      <c r="J160" s="35" t="str">
        <f aca="false">IF(N(F160)=0,"",F160+MIN(G160,999)/1000+(1000-ROW())/10000000)</f>
        <v/>
      </c>
      <c r="K160" s="30" t="str">
        <f aca="false">IF(I160="Not deployed",COUNTIF($I$2:I160,"Not deployed"),"")</f>
        <v/>
      </c>
    </row>
    <row r="161" customFormat="false" ht="15" hidden="false" customHeight="false" outlineLevel="0" collapsed="false">
      <c r="F161" s="30" t="str">
        <f aca="false">IF($A161="","",COUNTIFS(Deployments!$B$2:$B$1001,$A161,Deployments!$D$2:$D$1001,"&lt;&gt;Withdrawn"))</f>
        <v/>
      </c>
      <c r="G161" s="25" t="str">
        <f aca="false">IF($A161="","",SUMIFS(Deployments!$K$2:$K$1001,Deployments!$B$2:$B$1001,$A161))</f>
        <v/>
      </c>
      <c r="H161" s="23" t="str">
        <f aca="false">IF(N(F161)=0,"",IF(_xlfn.MAXIFS(Deployments!$G$2:$G$1001,Deployments!$B$2:$B$1001,$A161,Deployments!$D$2:$D$1001,"&lt;&gt;Withdrawn")=0,"",_xlfn.MAXIFS(Deployments!$G$2:$G$1001,Deployments!$B$2:$B$1001,$A161,Deployments!$D$2:$D$1001,"&lt;&gt;Withdrawn")))</f>
        <v/>
      </c>
      <c r="I161" s="24" t="str">
        <f aca="false">IF($A161="","",IF(F161=0,"Not deployed",IF(F161&gt;=Setup!$H$2,"High load","Deployed")))</f>
        <v/>
      </c>
      <c r="J161" s="35" t="str">
        <f aca="false">IF(N(F161)=0,"",F161+MIN(G161,999)/1000+(1000-ROW())/10000000)</f>
        <v/>
      </c>
      <c r="K161" s="30" t="str">
        <f aca="false">IF(I161="Not deployed",COUNTIF($I$2:I161,"Not deployed"),"")</f>
        <v/>
      </c>
    </row>
    <row r="162" customFormat="false" ht="15" hidden="false" customHeight="false" outlineLevel="0" collapsed="false">
      <c r="F162" s="30" t="str">
        <f aca="false">IF($A162="","",COUNTIFS(Deployments!$B$2:$B$1001,$A162,Deployments!$D$2:$D$1001,"&lt;&gt;Withdrawn"))</f>
        <v/>
      </c>
      <c r="G162" s="25" t="str">
        <f aca="false">IF($A162="","",SUMIFS(Deployments!$K$2:$K$1001,Deployments!$B$2:$B$1001,$A162))</f>
        <v/>
      </c>
      <c r="H162" s="23" t="str">
        <f aca="false">IF(N(F162)=0,"",IF(_xlfn.MAXIFS(Deployments!$G$2:$G$1001,Deployments!$B$2:$B$1001,$A162,Deployments!$D$2:$D$1001,"&lt;&gt;Withdrawn")=0,"",_xlfn.MAXIFS(Deployments!$G$2:$G$1001,Deployments!$B$2:$B$1001,$A162,Deployments!$D$2:$D$1001,"&lt;&gt;Withdrawn")))</f>
        <v/>
      </c>
      <c r="I162" s="24" t="str">
        <f aca="false">IF($A162="","",IF(F162=0,"Not deployed",IF(F162&gt;=Setup!$H$2,"High load","Deployed")))</f>
        <v/>
      </c>
      <c r="J162" s="35" t="str">
        <f aca="false">IF(N(F162)=0,"",F162+MIN(G162,999)/1000+(1000-ROW())/10000000)</f>
        <v/>
      </c>
      <c r="K162" s="30" t="str">
        <f aca="false">IF(I162="Not deployed",COUNTIF($I$2:I162,"Not deployed"),"")</f>
        <v/>
      </c>
    </row>
    <row r="163" customFormat="false" ht="15" hidden="false" customHeight="false" outlineLevel="0" collapsed="false">
      <c r="F163" s="30" t="str">
        <f aca="false">IF($A163="","",COUNTIFS(Deployments!$B$2:$B$1001,$A163,Deployments!$D$2:$D$1001,"&lt;&gt;Withdrawn"))</f>
        <v/>
      </c>
      <c r="G163" s="25" t="str">
        <f aca="false">IF($A163="","",SUMIFS(Deployments!$K$2:$K$1001,Deployments!$B$2:$B$1001,$A163))</f>
        <v/>
      </c>
      <c r="H163" s="23" t="str">
        <f aca="false">IF(N(F163)=0,"",IF(_xlfn.MAXIFS(Deployments!$G$2:$G$1001,Deployments!$B$2:$B$1001,$A163,Deployments!$D$2:$D$1001,"&lt;&gt;Withdrawn")=0,"",_xlfn.MAXIFS(Deployments!$G$2:$G$1001,Deployments!$B$2:$B$1001,$A163,Deployments!$D$2:$D$1001,"&lt;&gt;Withdrawn")))</f>
        <v/>
      </c>
      <c r="I163" s="24" t="str">
        <f aca="false">IF($A163="","",IF(F163=0,"Not deployed",IF(F163&gt;=Setup!$H$2,"High load","Deployed")))</f>
        <v/>
      </c>
      <c r="J163" s="35" t="str">
        <f aca="false">IF(N(F163)=0,"",F163+MIN(G163,999)/1000+(1000-ROW())/10000000)</f>
        <v/>
      </c>
      <c r="K163" s="30" t="str">
        <f aca="false">IF(I163="Not deployed",COUNTIF($I$2:I163,"Not deployed"),"")</f>
        <v/>
      </c>
    </row>
    <row r="164" customFormat="false" ht="15" hidden="false" customHeight="false" outlineLevel="0" collapsed="false">
      <c r="F164" s="30" t="str">
        <f aca="false">IF($A164="","",COUNTIFS(Deployments!$B$2:$B$1001,$A164,Deployments!$D$2:$D$1001,"&lt;&gt;Withdrawn"))</f>
        <v/>
      </c>
      <c r="G164" s="25" t="str">
        <f aca="false">IF($A164="","",SUMIFS(Deployments!$K$2:$K$1001,Deployments!$B$2:$B$1001,$A164))</f>
        <v/>
      </c>
      <c r="H164" s="23" t="str">
        <f aca="false">IF(N(F164)=0,"",IF(_xlfn.MAXIFS(Deployments!$G$2:$G$1001,Deployments!$B$2:$B$1001,$A164,Deployments!$D$2:$D$1001,"&lt;&gt;Withdrawn")=0,"",_xlfn.MAXIFS(Deployments!$G$2:$G$1001,Deployments!$B$2:$B$1001,$A164,Deployments!$D$2:$D$1001,"&lt;&gt;Withdrawn")))</f>
        <v/>
      </c>
      <c r="I164" s="24" t="str">
        <f aca="false">IF($A164="","",IF(F164=0,"Not deployed",IF(F164&gt;=Setup!$H$2,"High load","Deployed")))</f>
        <v/>
      </c>
      <c r="J164" s="35" t="str">
        <f aca="false">IF(N(F164)=0,"",F164+MIN(G164,999)/1000+(1000-ROW())/10000000)</f>
        <v/>
      </c>
      <c r="K164" s="30" t="str">
        <f aca="false">IF(I164="Not deployed",COUNTIF($I$2:I164,"Not deployed"),"")</f>
        <v/>
      </c>
    </row>
    <row r="165" customFormat="false" ht="15" hidden="false" customHeight="false" outlineLevel="0" collapsed="false">
      <c r="F165" s="30" t="str">
        <f aca="false">IF($A165="","",COUNTIFS(Deployments!$B$2:$B$1001,$A165,Deployments!$D$2:$D$1001,"&lt;&gt;Withdrawn"))</f>
        <v/>
      </c>
      <c r="G165" s="25" t="str">
        <f aca="false">IF($A165="","",SUMIFS(Deployments!$K$2:$K$1001,Deployments!$B$2:$B$1001,$A165))</f>
        <v/>
      </c>
      <c r="H165" s="23" t="str">
        <f aca="false">IF(N(F165)=0,"",IF(_xlfn.MAXIFS(Deployments!$G$2:$G$1001,Deployments!$B$2:$B$1001,$A165,Deployments!$D$2:$D$1001,"&lt;&gt;Withdrawn")=0,"",_xlfn.MAXIFS(Deployments!$G$2:$G$1001,Deployments!$B$2:$B$1001,$A165,Deployments!$D$2:$D$1001,"&lt;&gt;Withdrawn")))</f>
        <v/>
      </c>
      <c r="I165" s="24" t="str">
        <f aca="false">IF($A165="","",IF(F165=0,"Not deployed",IF(F165&gt;=Setup!$H$2,"High load","Deployed")))</f>
        <v/>
      </c>
      <c r="J165" s="35" t="str">
        <f aca="false">IF(N(F165)=0,"",F165+MIN(G165,999)/1000+(1000-ROW())/10000000)</f>
        <v/>
      </c>
      <c r="K165" s="30" t="str">
        <f aca="false">IF(I165="Not deployed",COUNTIF($I$2:I165,"Not deployed"),"")</f>
        <v/>
      </c>
    </row>
    <row r="166" customFormat="false" ht="15" hidden="false" customHeight="false" outlineLevel="0" collapsed="false">
      <c r="F166" s="30" t="str">
        <f aca="false">IF($A166="","",COUNTIFS(Deployments!$B$2:$B$1001,$A166,Deployments!$D$2:$D$1001,"&lt;&gt;Withdrawn"))</f>
        <v/>
      </c>
      <c r="G166" s="25" t="str">
        <f aca="false">IF($A166="","",SUMIFS(Deployments!$K$2:$K$1001,Deployments!$B$2:$B$1001,$A166))</f>
        <v/>
      </c>
      <c r="H166" s="23" t="str">
        <f aca="false">IF(N(F166)=0,"",IF(_xlfn.MAXIFS(Deployments!$G$2:$G$1001,Deployments!$B$2:$B$1001,$A166,Deployments!$D$2:$D$1001,"&lt;&gt;Withdrawn")=0,"",_xlfn.MAXIFS(Deployments!$G$2:$G$1001,Deployments!$B$2:$B$1001,$A166,Deployments!$D$2:$D$1001,"&lt;&gt;Withdrawn")))</f>
        <v/>
      </c>
      <c r="I166" s="24" t="str">
        <f aca="false">IF($A166="","",IF(F166=0,"Not deployed",IF(F166&gt;=Setup!$H$2,"High load","Deployed")))</f>
        <v/>
      </c>
      <c r="J166" s="35" t="str">
        <f aca="false">IF(N(F166)=0,"",F166+MIN(G166,999)/1000+(1000-ROW())/10000000)</f>
        <v/>
      </c>
      <c r="K166" s="30" t="str">
        <f aca="false">IF(I166="Not deployed",COUNTIF($I$2:I166,"Not deployed"),"")</f>
        <v/>
      </c>
    </row>
    <row r="167" customFormat="false" ht="15" hidden="false" customHeight="false" outlineLevel="0" collapsed="false">
      <c r="F167" s="30" t="str">
        <f aca="false">IF($A167="","",COUNTIFS(Deployments!$B$2:$B$1001,$A167,Deployments!$D$2:$D$1001,"&lt;&gt;Withdrawn"))</f>
        <v/>
      </c>
      <c r="G167" s="25" t="str">
        <f aca="false">IF($A167="","",SUMIFS(Deployments!$K$2:$K$1001,Deployments!$B$2:$B$1001,$A167))</f>
        <v/>
      </c>
      <c r="H167" s="23" t="str">
        <f aca="false">IF(N(F167)=0,"",IF(_xlfn.MAXIFS(Deployments!$G$2:$G$1001,Deployments!$B$2:$B$1001,$A167,Deployments!$D$2:$D$1001,"&lt;&gt;Withdrawn")=0,"",_xlfn.MAXIFS(Deployments!$G$2:$G$1001,Deployments!$B$2:$B$1001,$A167,Deployments!$D$2:$D$1001,"&lt;&gt;Withdrawn")))</f>
        <v/>
      </c>
      <c r="I167" s="24" t="str">
        <f aca="false">IF($A167="","",IF(F167=0,"Not deployed",IF(F167&gt;=Setup!$H$2,"High load","Deployed")))</f>
        <v/>
      </c>
      <c r="J167" s="35" t="str">
        <f aca="false">IF(N(F167)=0,"",F167+MIN(G167,999)/1000+(1000-ROW())/10000000)</f>
        <v/>
      </c>
      <c r="K167" s="30" t="str">
        <f aca="false">IF(I167="Not deployed",COUNTIF($I$2:I167,"Not deployed"),"")</f>
        <v/>
      </c>
    </row>
    <row r="168" customFormat="false" ht="15" hidden="false" customHeight="false" outlineLevel="0" collapsed="false">
      <c r="F168" s="30" t="str">
        <f aca="false">IF($A168="","",COUNTIFS(Deployments!$B$2:$B$1001,$A168,Deployments!$D$2:$D$1001,"&lt;&gt;Withdrawn"))</f>
        <v/>
      </c>
      <c r="G168" s="25" t="str">
        <f aca="false">IF($A168="","",SUMIFS(Deployments!$K$2:$K$1001,Deployments!$B$2:$B$1001,$A168))</f>
        <v/>
      </c>
      <c r="H168" s="23" t="str">
        <f aca="false">IF(N(F168)=0,"",IF(_xlfn.MAXIFS(Deployments!$G$2:$G$1001,Deployments!$B$2:$B$1001,$A168,Deployments!$D$2:$D$1001,"&lt;&gt;Withdrawn")=0,"",_xlfn.MAXIFS(Deployments!$G$2:$G$1001,Deployments!$B$2:$B$1001,$A168,Deployments!$D$2:$D$1001,"&lt;&gt;Withdrawn")))</f>
        <v/>
      </c>
      <c r="I168" s="24" t="str">
        <f aca="false">IF($A168="","",IF(F168=0,"Not deployed",IF(F168&gt;=Setup!$H$2,"High load","Deployed")))</f>
        <v/>
      </c>
      <c r="J168" s="35" t="str">
        <f aca="false">IF(N(F168)=0,"",F168+MIN(G168,999)/1000+(1000-ROW())/10000000)</f>
        <v/>
      </c>
      <c r="K168" s="30" t="str">
        <f aca="false">IF(I168="Not deployed",COUNTIF($I$2:I168,"Not deployed"),"")</f>
        <v/>
      </c>
    </row>
    <row r="169" customFormat="false" ht="15" hidden="false" customHeight="false" outlineLevel="0" collapsed="false">
      <c r="F169" s="30" t="str">
        <f aca="false">IF($A169="","",COUNTIFS(Deployments!$B$2:$B$1001,$A169,Deployments!$D$2:$D$1001,"&lt;&gt;Withdrawn"))</f>
        <v/>
      </c>
      <c r="G169" s="25" t="str">
        <f aca="false">IF($A169="","",SUMIFS(Deployments!$K$2:$K$1001,Deployments!$B$2:$B$1001,$A169))</f>
        <v/>
      </c>
      <c r="H169" s="23" t="str">
        <f aca="false">IF(N(F169)=0,"",IF(_xlfn.MAXIFS(Deployments!$G$2:$G$1001,Deployments!$B$2:$B$1001,$A169,Deployments!$D$2:$D$1001,"&lt;&gt;Withdrawn")=0,"",_xlfn.MAXIFS(Deployments!$G$2:$G$1001,Deployments!$B$2:$B$1001,$A169,Deployments!$D$2:$D$1001,"&lt;&gt;Withdrawn")))</f>
        <v/>
      </c>
      <c r="I169" s="24" t="str">
        <f aca="false">IF($A169="","",IF(F169=0,"Not deployed",IF(F169&gt;=Setup!$H$2,"High load","Deployed")))</f>
        <v/>
      </c>
      <c r="J169" s="35" t="str">
        <f aca="false">IF(N(F169)=0,"",F169+MIN(G169,999)/1000+(1000-ROW())/10000000)</f>
        <v/>
      </c>
      <c r="K169" s="30" t="str">
        <f aca="false">IF(I169="Not deployed",COUNTIF($I$2:I169,"Not deployed"),"")</f>
        <v/>
      </c>
    </row>
    <row r="170" customFormat="false" ht="15" hidden="false" customHeight="false" outlineLevel="0" collapsed="false">
      <c r="F170" s="30" t="str">
        <f aca="false">IF($A170="","",COUNTIFS(Deployments!$B$2:$B$1001,$A170,Deployments!$D$2:$D$1001,"&lt;&gt;Withdrawn"))</f>
        <v/>
      </c>
      <c r="G170" s="25" t="str">
        <f aca="false">IF($A170="","",SUMIFS(Deployments!$K$2:$K$1001,Deployments!$B$2:$B$1001,$A170))</f>
        <v/>
      </c>
      <c r="H170" s="23" t="str">
        <f aca="false">IF(N(F170)=0,"",IF(_xlfn.MAXIFS(Deployments!$G$2:$G$1001,Deployments!$B$2:$B$1001,$A170,Deployments!$D$2:$D$1001,"&lt;&gt;Withdrawn")=0,"",_xlfn.MAXIFS(Deployments!$G$2:$G$1001,Deployments!$B$2:$B$1001,$A170,Deployments!$D$2:$D$1001,"&lt;&gt;Withdrawn")))</f>
        <v/>
      </c>
      <c r="I170" s="24" t="str">
        <f aca="false">IF($A170="","",IF(F170=0,"Not deployed",IF(F170&gt;=Setup!$H$2,"High load","Deployed")))</f>
        <v/>
      </c>
      <c r="J170" s="35" t="str">
        <f aca="false">IF(N(F170)=0,"",F170+MIN(G170,999)/1000+(1000-ROW())/10000000)</f>
        <v/>
      </c>
      <c r="K170" s="30" t="str">
        <f aca="false">IF(I170="Not deployed",COUNTIF($I$2:I170,"Not deployed"),"")</f>
        <v/>
      </c>
    </row>
    <row r="171" customFormat="false" ht="15" hidden="false" customHeight="false" outlineLevel="0" collapsed="false">
      <c r="F171" s="30" t="str">
        <f aca="false">IF($A171="","",COUNTIFS(Deployments!$B$2:$B$1001,$A171,Deployments!$D$2:$D$1001,"&lt;&gt;Withdrawn"))</f>
        <v/>
      </c>
      <c r="G171" s="25" t="str">
        <f aca="false">IF($A171="","",SUMIFS(Deployments!$K$2:$K$1001,Deployments!$B$2:$B$1001,$A171))</f>
        <v/>
      </c>
      <c r="H171" s="23" t="str">
        <f aca="false">IF(N(F171)=0,"",IF(_xlfn.MAXIFS(Deployments!$G$2:$G$1001,Deployments!$B$2:$B$1001,$A171,Deployments!$D$2:$D$1001,"&lt;&gt;Withdrawn")=0,"",_xlfn.MAXIFS(Deployments!$G$2:$G$1001,Deployments!$B$2:$B$1001,$A171,Deployments!$D$2:$D$1001,"&lt;&gt;Withdrawn")))</f>
        <v/>
      </c>
      <c r="I171" s="24" t="str">
        <f aca="false">IF($A171="","",IF(F171=0,"Not deployed",IF(F171&gt;=Setup!$H$2,"High load","Deployed")))</f>
        <v/>
      </c>
      <c r="J171" s="35" t="str">
        <f aca="false">IF(N(F171)=0,"",F171+MIN(G171,999)/1000+(1000-ROW())/10000000)</f>
        <v/>
      </c>
      <c r="K171" s="30" t="str">
        <f aca="false">IF(I171="Not deployed",COUNTIF($I$2:I171,"Not deployed"),"")</f>
        <v/>
      </c>
    </row>
    <row r="172" customFormat="false" ht="15" hidden="false" customHeight="false" outlineLevel="0" collapsed="false">
      <c r="F172" s="30" t="str">
        <f aca="false">IF($A172="","",COUNTIFS(Deployments!$B$2:$B$1001,$A172,Deployments!$D$2:$D$1001,"&lt;&gt;Withdrawn"))</f>
        <v/>
      </c>
      <c r="G172" s="25" t="str">
        <f aca="false">IF($A172="","",SUMIFS(Deployments!$K$2:$K$1001,Deployments!$B$2:$B$1001,$A172))</f>
        <v/>
      </c>
      <c r="H172" s="23" t="str">
        <f aca="false">IF(N(F172)=0,"",IF(_xlfn.MAXIFS(Deployments!$G$2:$G$1001,Deployments!$B$2:$B$1001,$A172,Deployments!$D$2:$D$1001,"&lt;&gt;Withdrawn")=0,"",_xlfn.MAXIFS(Deployments!$G$2:$G$1001,Deployments!$B$2:$B$1001,$A172,Deployments!$D$2:$D$1001,"&lt;&gt;Withdrawn")))</f>
        <v/>
      </c>
      <c r="I172" s="24" t="str">
        <f aca="false">IF($A172="","",IF(F172=0,"Not deployed",IF(F172&gt;=Setup!$H$2,"High load","Deployed")))</f>
        <v/>
      </c>
      <c r="J172" s="35" t="str">
        <f aca="false">IF(N(F172)=0,"",F172+MIN(G172,999)/1000+(1000-ROW())/10000000)</f>
        <v/>
      </c>
      <c r="K172" s="30" t="str">
        <f aca="false">IF(I172="Not deployed",COUNTIF($I$2:I172,"Not deployed"),"")</f>
        <v/>
      </c>
    </row>
    <row r="173" customFormat="false" ht="15" hidden="false" customHeight="false" outlineLevel="0" collapsed="false">
      <c r="F173" s="30" t="str">
        <f aca="false">IF($A173="","",COUNTIFS(Deployments!$B$2:$B$1001,$A173,Deployments!$D$2:$D$1001,"&lt;&gt;Withdrawn"))</f>
        <v/>
      </c>
      <c r="G173" s="25" t="str">
        <f aca="false">IF($A173="","",SUMIFS(Deployments!$K$2:$K$1001,Deployments!$B$2:$B$1001,$A173))</f>
        <v/>
      </c>
      <c r="H173" s="23" t="str">
        <f aca="false">IF(N(F173)=0,"",IF(_xlfn.MAXIFS(Deployments!$G$2:$G$1001,Deployments!$B$2:$B$1001,$A173,Deployments!$D$2:$D$1001,"&lt;&gt;Withdrawn")=0,"",_xlfn.MAXIFS(Deployments!$G$2:$G$1001,Deployments!$B$2:$B$1001,$A173,Deployments!$D$2:$D$1001,"&lt;&gt;Withdrawn")))</f>
        <v/>
      </c>
      <c r="I173" s="24" t="str">
        <f aca="false">IF($A173="","",IF(F173=0,"Not deployed",IF(F173&gt;=Setup!$H$2,"High load","Deployed")))</f>
        <v/>
      </c>
      <c r="J173" s="35" t="str">
        <f aca="false">IF(N(F173)=0,"",F173+MIN(G173,999)/1000+(1000-ROW())/10000000)</f>
        <v/>
      </c>
      <c r="K173" s="30" t="str">
        <f aca="false">IF(I173="Not deployed",COUNTIF($I$2:I173,"Not deployed"),"")</f>
        <v/>
      </c>
    </row>
    <row r="174" customFormat="false" ht="15" hidden="false" customHeight="false" outlineLevel="0" collapsed="false">
      <c r="F174" s="30" t="str">
        <f aca="false">IF($A174="","",COUNTIFS(Deployments!$B$2:$B$1001,$A174,Deployments!$D$2:$D$1001,"&lt;&gt;Withdrawn"))</f>
        <v/>
      </c>
      <c r="G174" s="25" t="str">
        <f aca="false">IF($A174="","",SUMIFS(Deployments!$K$2:$K$1001,Deployments!$B$2:$B$1001,$A174))</f>
        <v/>
      </c>
      <c r="H174" s="23" t="str">
        <f aca="false">IF(N(F174)=0,"",IF(_xlfn.MAXIFS(Deployments!$G$2:$G$1001,Deployments!$B$2:$B$1001,$A174,Deployments!$D$2:$D$1001,"&lt;&gt;Withdrawn")=0,"",_xlfn.MAXIFS(Deployments!$G$2:$G$1001,Deployments!$B$2:$B$1001,$A174,Deployments!$D$2:$D$1001,"&lt;&gt;Withdrawn")))</f>
        <v/>
      </c>
      <c r="I174" s="24" t="str">
        <f aca="false">IF($A174="","",IF(F174=0,"Not deployed",IF(F174&gt;=Setup!$H$2,"High load","Deployed")))</f>
        <v/>
      </c>
      <c r="J174" s="35" t="str">
        <f aca="false">IF(N(F174)=0,"",F174+MIN(G174,999)/1000+(1000-ROW())/10000000)</f>
        <v/>
      </c>
      <c r="K174" s="30" t="str">
        <f aca="false">IF(I174="Not deployed",COUNTIF($I$2:I174,"Not deployed"),"")</f>
        <v/>
      </c>
    </row>
    <row r="175" customFormat="false" ht="15" hidden="false" customHeight="false" outlineLevel="0" collapsed="false">
      <c r="F175" s="30" t="str">
        <f aca="false">IF($A175="","",COUNTIFS(Deployments!$B$2:$B$1001,$A175,Deployments!$D$2:$D$1001,"&lt;&gt;Withdrawn"))</f>
        <v/>
      </c>
      <c r="G175" s="25" t="str">
        <f aca="false">IF($A175="","",SUMIFS(Deployments!$K$2:$K$1001,Deployments!$B$2:$B$1001,$A175))</f>
        <v/>
      </c>
      <c r="H175" s="23" t="str">
        <f aca="false">IF(N(F175)=0,"",IF(_xlfn.MAXIFS(Deployments!$G$2:$G$1001,Deployments!$B$2:$B$1001,$A175,Deployments!$D$2:$D$1001,"&lt;&gt;Withdrawn")=0,"",_xlfn.MAXIFS(Deployments!$G$2:$G$1001,Deployments!$B$2:$B$1001,$A175,Deployments!$D$2:$D$1001,"&lt;&gt;Withdrawn")))</f>
        <v/>
      </c>
      <c r="I175" s="24" t="str">
        <f aca="false">IF($A175="","",IF(F175=0,"Not deployed",IF(F175&gt;=Setup!$H$2,"High load","Deployed")))</f>
        <v/>
      </c>
      <c r="J175" s="35" t="str">
        <f aca="false">IF(N(F175)=0,"",F175+MIN(G175,999)/1000+(1000-ROW())/10000000)</f>
        <v/>
      </c>
      <c r="K175" s="30" t="str">
        <f aca="false">IF(I175="Not deployed",COUNTIF($I$2:I175,"Not deployed"),"")</f>
        <v/>
      </c>
    </row>
    <row r="176" customFormat="false" ht="15" hidden="false" customHeight="false" outlineLevel="0" collapsed="false">
      <c r="F176" s="30" t="str">
        <f aca="false">IF($A176="","",COUNTIFS(Deployments!$B$2:$B$1001,$A176,Deployments!$D$2:$D$1001,"&lt;&gt;Withdrawn"))</f>
        <v/>
      </c>
      <c r="G176" s="25" t="str">
        <f aca="false">IF($A176="","",SUMIFS(Deployments!$K$2:$K$1001,Deployments!$B$2:$B$1001,$A176))</f>
        <v/>
      </c>
      <c r="H176" s="23" t="str">
        <f aca="false">IF(N(F176)=0,"",IF(_xlfn.MAXIFS(Deployments!$G$2:$G$1001,Deployments!$B$2:$B$1001,$A176,Deployments!$D$2:$D$1001,"&lt;&gt;Withdrawn")=0,"",_xlfn.MAXIFS(Deployments!$G$2:$G$1001,Deployments!$B$2:$B$1001,$A176,Deployments!$D$2:$D$1001,"&lt;&gt;Withdrawn")))</f>
        <v/>
      </c>
      <c r="I176" s="24" t="str">
        <f aca="false">IF($A176="","",IF(F176=0,"Not deployed",IF(F176&gt;=Setup!$H$2,"High load","Deployed")))</f>
        <v/>
      </c>
      <c r="J176" s="35" t="str">
        <f aca="false">IF(N(F176)=0,"",F176+MIN(G176,999)/1000+(1000-ROW())/10000000)</f>
        <v/>
      </c>
      <c r="K176" s="30" t="str">
        <f aca="false">IF(I176="Not deployed",COUNTIF($I$2:I176,"Not deployed"),"")</f>
        <v/>
      </c>
    </row>
    <row r="177" customFormat="false" ht="15" hidden="false" customHeight="false" outlineLevel="0" collapsed="false">
      <c r="F177" s="30" t="str">
        <f aca="false">IF($A177="","",COUNTIFS(Deployments!$B$2:$B$1001,$A177,Deployments!$D$2:$D$1001,"&lt;&gt;Withdrawn"))</f>
        <v/>
      </c>
      <c r="G177" s="25" t="str">
        <f aca="false">IF($A177="","",SUMIFS(Deployments!$K$2:$K$1001,Deployments!$B$2:$B$1001,$A177))</f>
        <v/>
      </c>
      <c r="H177" s="23" t="str">
        <f aca="false">IF(N(F177)=0,"",IF(_xlfn.MAXIFS(Deployments!$G$2:$G$1001,Deployments!$B$2:$B$1001,$A177,Deployments!$D$2:$D$1001,"&lt;&gt;Withdrawn")=0,"",_xlfn.MAXIFS(Deployments!$G$2:$G$1001,Deployments!$B$2:$B$1001,$A177,Deployments!$D$2:$D$1001,"&lt;&gt;Withdrawn")))</f>
        <v/>
      </c>
      <c r="I177" s="24" t="str">
        <f aca="false">IF($A177="","",IF(F177=0,"Not deployed",IF(F177&gt;=Setup!$H$2,"High load","Deployed")))</f>
        <v/>
      </c>
      <c r="J177" s="35" t="str">
        <f aca="false">IF(N(F177)=0,"",F177+MIN(G177,999)/1000+(1000-ROW())/10000000)</f>
        <v/>
      </c>
      <c r="K177" s="30" t="str">
        <f aca="false">IF(I177="Not deployed",COUNTIF($I$2:I177,"Not deployed"),"")</f>
        <v/>
      </c>
    </row>
    <row r="178" customFormat="false" ht="15" hidden="false" customHeight="false" outlineLevel="0" collapsed="false">
      <c r="F178" s="30" t="str">
        <f aca="false">IF($A178="","",COUNTIFS(Deployments!$B$2:$B$1001,$A178,Deployments!$D$2:$D$1001,"&lt;&gt;Withdrawn"))</f>
        <v/>
      </c>
      <c r="G178" s="25" t="str">
        <f aca="false">IF($A178="","",SUMIFS(Deployments!$K$2:$K$1001,Deployments!$B$2:$B$1001,$A178))</f>
        <v/>
      </c>
      <c r="H178" s="23" t="str">
        <f aca="false">IF(N(F178)=0,"",IF(_xlfn.MAXIFS(Deployments!$G$2:$G$1001,Deployments!$B$2:$B$1001,$A178,Deployments!$D$2:$D$1001,"&lt;&gt;Withdrawn")=0,"",_xlfn.MAXIFS(Deployments!$G$2:$G$1001,Deployments!$B$2:$B$1001,$A178,Deployments!$D$2:$D$1001,"&lt;&gt;Withdrawn")))</f>
        <v/>
      </c>
      <c r="I178" s="24" t="str">
        <f aca="false">IF($A178="","",IF(F178=0,"Not deployed",IF(F178&gt;=Setup!$H$2,"High load","Deployed")))</f>
        <v/>
      </c>
      <c r="J178" s="35" t="str">
        <f aca="false">IF(N(F178)=0,"",F178+MIN(G178,999)/1000+(1000-ROW())/10000000)</f>
        <v/>
      </c>
      <c r="K178" s="30" t="str">
        <f aca="false">IF(I178="Not deployed",COUNTIF($I$2:I178,"Not deployed"),"")</f>
        <v/>
      </c>
    </row>
    <row r="179" customFormat="false" ht="15" hidden="false" customHeight="false" outlineLevel="0" collapsed="false">
      <c r="F179" s="30" t="str">
        <f aca="false">IF($A179="","",COUNTIFS(Deployments!$B$2:$B$1001,$A179,Deployments!$D$2:$D$1001,"&lt;&gt;Withdrawn"))</f>
        <v/>
      </c>
      <c r="G179" s="25" t="str">
        <f aca="false">IF($A179="","",SUMIFS(Deployments!$K$2:$K$1001,Deployments!$B$2:$B$1001,$A179))</f>
        <v/>
      </c>
      <c r="H179" s="23" t="str">
        <f aca="false">IF(N(F179)=0,"",IF(_xlfn.MAXIFS(Deployments!$G$2:$G$1001,Deployments!$B$2:$B$1001,$A179,Deployments!$D$2:$D$1001,"&lt;&gt;Withdrawn")=0,"",_xlfn.MAXIFS(Deployments!$G$2:$G$1001,Deployments!$B$2:$B$1001,$A179,Deployments!$D$2:$D$1001,"&lt;&gt;Withdrawn")))</f>
        <v/>
      </c>
      <c r="I179" s="24" t="str">
        <f aca="false">IF($A179="","",IF(F179=0,"Not deployed",IF(F179&gt;=Setup!$H$2,"High load","Deployed")))</f>
        <v/>
      </c>
      <c r="J179" s="35" t="str">
        <f aca="false">IF(N(F179)=0,"",F179+MIN(G179,999)/1000+(1000-ROW())/10000000)</f>
        <v/>
      </c>
      <c r="K179" s="30" t="str">
        <f aca="false">IF(I179="Not deployed",COUNTIF($I$2:I179,"Not deployed"),"")</f>
        <v/>
      </c>
    </row>
    <row r="180" customFormat="false" ht="15" hidden="false" customHeight="false" outlineLevel="0" collapsed="false">
      <c r="F180" s="30" t="str">
        <f aca="false">IF($A180="","",COUNTIFS(Deployments!$B$2:$B$1001,$A180,Deployments!$D$2:$D$1001,"&lt;&gt;Withdrawn"))</f>
        <v/>
      </c>
      <c r="G180" s="25" t="str">
        <f aca="false">IF($A180="","",SUMIFS(Deployments!$K$2:$K$1001,Deployments!$B$2:$B$1001,$A180))</f>
        <v/>
      </c>
      <c r="H180" s="23" t="str">
        <f aca="false">IF(N(F180)=0,"",IF(_xlfn.MAXIFS(Deployments!$G$2:$G$1001,Deployments!$B$2:$B$1001,$A180,Deployments!$D$2:$D$1001,"&lt;&gt;Withdrawn")=0,"",_xlfn.MAXIFS(Deployments!$G$2:$G$1001,Deployments!$B$2:$B$1001,$A180,Deployments!$D$2:$D$1001,"&lt;&gt;Withdrawn")))</f>
        <v/>
      </c>
      <c r="I180" s="24" t="str">
        <f aca="false">IF($A180="","",IF(F180=0,"Not deployed",IF(F180&gt;=Setup!$H$2,"High load","Deployed")))</f>
        <v/>
      </c>
      <c r="J180" s="35" t="str">
        <f aca="false">IF(N(F180)=0,"",F180+MIN(G180,999)/1000+(1000-ROW())/10000000)</f>
        <v/>
      </c>
      <c r="K180" s="30" t="str">
        <f aca="false">IF(I180="Not deployed",COUNTIF($I$2:I180,"Not deployed"),"")</f>
        <v/>
      </c>
    </row>
    <row r="181" customFormat="false" ht="15" hidden="false" customHeight="false" outlineLevel="0" collapsed="false">
      <c r="F181" s="30" t="str">
        <f aca="false">IF($A181="","",COUNTIFS(Deployments!$B$2:$B$1001,$A181,Deployments!$D$2:$D$1001,"&lt;&gt;Withdrawn"))</f>
        <v/>
      </c>
      <c r="G181" s="25" t="str">
        <f aca="false">IF($A181="","",SUMIFS(Deployments!$K$2:$K$1001,Deployments!$B$2:$B$1001,$A181))</f>
        <v/>
      </c>
      <c r="H181" s="23" t="str">
        <f aca="false">IF(N(F181)=0,"",IF(_xlfn.MAXIFS(Deployments!$G$2:$G$1001,Deployments!$B$2:$B$1001,$A181,Deployments!$D$2:$D$1001,"&lt;&gt;Withdrawn")=0,"",_xlfn.MAXIFS(Deployments!$G$2:$G$1001,Deployments!$B$2:$B$1001,$A181,Deployments!$D$2:$D$1001,"&lt;&gt;Withdrawn")))</f>
        <v/>
      </c>
      <c r="I181" s="24" t="str">
        <f aca="false">IF($A181="","",IF(F181=0,"Not deployed",IF(F181&gt;=Setup!$H$2,"High load","Deployed")))</f>
        <v/>
      </c>
      <c r="J181" s="35" t="str">
        <f aca="false">IF(N(F181)=0,"",F181+MIN(G181,999)/1000+(1000-ROW())/10000000)</f>
        <v/>
      </c>
      <c r="K181" s="30" t="str">
        <f aca="false">IF(I181="Not deployed",COUNTIF($I$2:I181,"Not deployed"),"")</f>
        <v/>
      </c>
    </row>
    <row r="182" customFormat="false" ht="15" hidden="false" customHeight="false" outlineLevel="0" collapsed="false">
      <c r="F182" s="30" t="str">
        <f aca="false">IF($A182="","",COUNTIFS(Deployments!$B$2:$B$1001,$A182,Deployments!$D$2:$D$1001,"&lt;&gt;Withdrawn"))</f>
        <v/>
      </c>
      <c r="G182" s="25" t="str">
        <f aca="false">IF($A182="","",SUMIFS(Deployments!$K$2:$K$1001,Deployments!$B$2:$B$1001,$A182))</f>
        <v/>
      </c>
      <c r="H182" s="23" t="str">
        <f aca="false">IF(N(F182)=0,"",IF(_xlfn.MAXIFS(Deployments!$G$2:$G$1001,Deployments!$B$2:$B$1001,$A182,Deployments!$D$2:$D$1001,"&lt;&gt;Withdrawn")=0,"",_xlfn.MAXIFS(Deployments!$G$2:$G$1001,Deployments!$B$2:$B$1001,$A182,Deployments!$D$2:$D$1001,"&lt;&gt;Withdrawn")))</f>
        <v/>
      </c>
      <c r="I182" s="24" t="str">
        <f aca="false">IF($A182="","",IF(F182=0,"Not deployed",IF(F182&gt;=Setup!$H$2,"High load","Deployed")))</f>
        <v/>
      </c>
      <c r="J182" s="35" t="str">
        <f aca="false">IF(N(F182)=0,"",F182+MIN(G182,999)/1000+(1000-ROW())/10000000)</f>
        <v/>
      </c>
      <c r="K182" s="30" t="str">
        <f aca="false">IF(I182="Not deployed",COUNTIF($I$2:I182,"Not deployed"),"")</f>
        <v/>
      </c>
    </row>
    <row r="183" customFormat="false" ht="15" hidden="false" customHeight="false" outlineLevel="0" collapsed="false">
      <c r="F183" s="30" t="str">
        <f aca="false">IF($A183="","",COUNTIFS(Deployments!$B$2:$B$1001,$A183,Deployments!$D$2:$D$1001,"&lt;&gt;Withdrawn"))</f>
        <v/>
      </c>
      <c r="G183" s="25" t="str">
        <f aca="false">IF($A183="","",SUMIFS(Deployments!$K$2:$K$1001,Deployments!$B$2:$B$1001,$A183))</f>
        <v/>
      </c>
      <c r="H183" s="23" t="str">
        <f aca="false">IF(N(F183)=0,"",IF(_xlfn.MAXIFS(Deployments!$G$2:$G$1001,Deployments!$B$2:$B$1001,$A183,Deployments!$D$2:$D$1001,"&lt;&gt;Withdrawn")=0,"",_xlfn.MAXIFS(Deployments!$G$2:$G$1001,Deployments!$B$2:$B$1001,$A183,Deployments!$D$2:$D$1001,"&lt;&gt;Withdrawn")))</f>
        <v/>
      </c>
      <c r="I183" s="24" t="str">
        <f aca="false">IF($A183="","",IF(F183=0,"Not deployed",IF(F183&gt;=Setup!$H$2,"High load","Deployed")))</f>
        <v/>
      </c>
      <c r="J183" s="35" t="str">
        <f aca="false">IF(N(F183)=0,"",F183+MIN(G183,999)/1000+(1000-ROW())/10000000)</f>
        <v/>
      </c>
      <c r="K183" s="30" t="str">
        <f aca="false">IF(I183="Not deployed",COUNTIF($I$2:I183,"Not deployed"),"")</f>
        <v/>
      </c>
    </row>
    <row r="184" customFormat="false" ht="15" hidden="false" customHeight="false" outlineLevel="0" collapsed="false">
      <c r="F184" s="30" t="str">
        <f aca="false">IF($A184="","",COUNTIFS(Deployments!$B$2:$B$1001,$A184,Deployments!$D$2:$D$1001,"&lt;&gt;Withdrawn"))</f>
        <v/>
      </c>
      <c r="G184" s="25" t="str">
        <f aca="false">IF($A184="","",SUMIFS(Deployments!$K$2:$K$1001,Deployments!$B$2:$B$1001,$A184))</f>
        <v/>
      </c>
      <c r="H184" s="23" t="str">
        <f aca="false">IF(N(F184)=0,"",IF(_xlfn.MAXIFS(Deployments!$G$2:$G$1001,Deployments!$B$2:$B$1001,$A184,Deployments!$D$2:$D$1001,"&lt;&gt;Withdrawn")=0,"",_xlfn.MAXIFS(Deployments!$G$2:$G$1001,Deployments!$B$2:$B$1001,$A184,Deployments!$D$2:$D$1001,"&lt;&gt;Withdrawn")))</f>
        <v/>
      </c>
      <c r="I184" s="24" t="str">
        <f aca="false">IF($A184="","",IF(F184=0,"Not deployed",IF(F184&gt;=Setup!$H$2,"High load","Deployed")))</f>
        <v/>
      </c>
      <c r="J184" s="35" t="str">
        <f aca="false">IF(N(F184)=0,"",F184+MIN(G184,999)/1000+(1000-ROW())/10000000)</f>
        <v/>
      </c>
      <c r="K184" s="30" t="str">
        <f aca="false">IF(I184="Not deployed",COUNTIF($I$2:I184,"Not deployed"),"")</f>
        <v/>
      </c>
    </row>
    <row r="185" customFormat="false" ht="15" hidden="false" customHeight="false" outlineLevel="0" collapsed="false">
      <c r="F185" s="30" t="str">
        <f aca="false">IF($A185="","",COUNTIFS(Deployments!$B$2:$B$1001,$A185,Deployments!$D$2:$D$1001,"&lt;&gt;Withdrawn"))</f>
        <v/>
      </c>
      <c r="G185" s="25" t="str">
        <f aca="false">IF($A185="","",SUMIFS(Deployments!$K$2:$K$1001,Deployments!$B$2:$B$1001,$A185))</f>
        <v/>
      </c>
      <c r="H185" s="23" t="str">
        <f aca="false">IF(N(F185)=0,"",IF(_xlfn.MAXIFS(Deployments!$G$2:$G$1001,Deployments!$B$2:$B$1001,$A185,Deployments!$D$2:$D$1001,"&lt;&gt;Withdrawn")=0,"",_xlfn.MAXIFS(Deployments!$G$2:$G$1001,Deployments!$B$2:$B$1001,$A185,Deployments!$D$2:$D$1001,"&lt;&gt;Withdrawn")))</f>
        <v/>
      </c>
      <c r="I185" s="24" t="str">
        <f aca="false">IF($A185="","",IF(F185=0,"Not deployed",IF(F185&gt;=Setup!$H$2,"High load","Deployed")))</f>
        <v/>
      </c>
      <c r="J185" s="35" t="str">
        <f aca="false">IF(N(F185)=0,"",F185+MIN(G185,999)/1000+(1000-ROW())/10000000)</f>
        <v/>
      </c>
      <c r="K185" s="30" t="str">
        <f aca="false">IF(I185="Not deployed",COUNTIF($I$2:I185,"Not deployed"),"")</f>
        <v/>
      </c>
    </row>
    <row r="186" customFormat="false" ht="15" hidden="false" customHeight="false" outlineLevel="0" collapsed="false">
      <c r="F186" s="30" t="str">
        <f aca="false">IF($A186="","",COUNTIFS(Deployments!$B$2:$B$1001,$A186,Deployments!$D$2:$D$1001,"&lt;&gt;Withdrawn"))</f>
        <v/>
      </c>
      <c r="G186" s="25" t="str">
        <f aca="false">IF($A186="","",SUMIFS(Deployments!$K$2:$K$1001,Deployments!$B$2:$B$1001,$A186))</f>
        <v/>
      </c>
      <c r="H186" s="23" t="str">
        <f aca="false">IF(N(F186)=0,"",IF(_xlfn.MAXIFS(Deployments!$G$2:$G$1001,Deployments!$B$2:$B$1001,$A186,Deployments!$D$2:$D$1001,"&lt;&gt;Withdrawn")=0,"",_xlfn.MAXIFS(Deployments!$G$2:$G$1001,Deployments!$B$2:$B$1001,$A186,Deployments!$D$2:$D$1001,"&lt;&gt;Withdrawn")))</f>
        <v/>
      </c>
      <c r="I186" s="24" t="str">
        <f aca="false">IF($A186="","",IF(F186=0,"Not deployed",IF(F186&gt;=Setup!$H$2,"High load","Deployed")))</f>
        <v/>
      </c>
      <c r="J186" s="35" t="str">
        <f aca="false">IF(N(F186)=0,"",F186+MIN(G186,999)/1000+(1000-ROW())/10000000)</f>
        <v/>
      </c>
      <c r="K186" s="30" t="str">
        <f aca="false">IF(I186="Not deployed",COUNTIF($I$2:I186,"Not deployed"),"")</f>
        <v/>
      </c>
    </row>
    <row r="187" customFormat="false" ht="15" hidden="false" customHeight="false" outlineLevel="0" collapsed="false">
      <c r="F187" s="30" t="str">
        <f aca="false">IF($A187="","",COUNTIFS(Deployments!$B$2:$B$1001,$A187,Deployments!$D$2:$D$1001,"&lt;&gt;Withdrawn"))</f>
        <v/>
      </c>
      <c r="G187" s="25" t="str">
        <f aca="false">IF($A187="","",SUMIFS(Deployments!$K$2:$K$1001,Deployments!$B$2:$B$1001,$A187))</f>
        <v/>
      </c>
      <c r="H187" s="23" t="str">
        <f aca="false">IF(N(F187)=0,"",IF(_xlfn.MAXIFS(Deployments!$G$2:$G$1001,Deployments!$B$2:$B$1001,$A187,Deployments!$D$2:$D$1001,"&lt;&gt;Withdrawn")=0,"",_xlfn.MAXIFS(Deployments!$G$2:$G$1001,Deployments!$B$2:$B$1001,$A187,Deployments!$D$2:$D$1001,"&lt;&gt;Withdrawn")))</f>
        <v/>
      </c>
      <c r="I187" s="24" t="str">
        <f aca="false">IF($A187="","",IF(F187=0,"Not deployed",IF(F187&gt;=Setup!$H$2,"High load","Deployed")))</f>
        <v/>
      </c>
      <c r="J187" s="35" t="str">
        <f aca="false">IF(N(F187)=0,"",F187+MIN(G187,999)/1000+(1000-ROW())/10000000)</f>
        <v/>
      </c>
      <c r="K187" s="30" t="str">
        <f aca="false">IF(I187="Not deployed",COUNTIF($I$2:I187,"Not deployed"),"")</f>
        <v/>
      </c>
    </row>
    <row r="188" customFormat="false" ht="15" hidden="false" customHeight="false" outlineLevel="0" collapsed="false">
      <c r="F188" s="30" t="str">
        <f aca="false">IF($A188="","",COUNTIFS(Deployments!$B$2:$B$1001,$A188,Deployments!$D$2:$D$1001,"&lt;&gt;Withdrawn"))</f>
        <v/>
      </c>
      <c r="G188" s="25" t="str">
        <f aca="false">IF($A188="","",SUMIFS(Deployments!$K$2:$K$1001,Deployments!$B$2:$B$1001,$A188))</f>
        <v/>
      </c>
      <c r="H188" s="23" t="str">
        <f aca="false">IF(N(F188)=0,"",IF(_xlfn.MAXIFS(Deployments!$G$2:$G$1001,Deployments!$B$2:$B$1001,$A188,Deployments!$D$2:$D$1001,"&lt;&gt;Withdrawn")=0,"",_xlfn.MAXIFS(Deployments!$G$2:$G$1001,Deployments!$B$2:$B$1001,$A188,Deployments!$D$2:$D$1001,"&lt;&gt;Withdrawn")))</f>
        <v/>
      </c>
      <c r="I188" s="24" t="str">
        <f aca="false">IF($A188="","",IF(F188=0,"Not deployed",IF(F188&gt;=Setup!$H$2,"High load","Deployed")))</f>
        <v/>
      </c>
      <c r="J188" s="35" t="str">
        <f aca="false">IF(N(F188)=0,"",F188+MIN(G188,999)/1000+(1000-ROW())/10000000)</f>
        <v/>
      </c>
      <c r="K188" s="30" t="str">
        <f aca="false">IF(I188="Not deployed",COUNTIF($I$2:I188,"Not deployed"),"")</f>
        <v/>
      </c>
    </row>
    <row r="189" customFormat="false" ht="15" hidden="false" customHeight="false" outlineLevel="0" collapsed="false">
      <c r="F189" s="30" t="str">
        <f aca="false">IF($A189="","",COUNTIFS(Deployments!$B$2:$B$1001,$A189,Deployments!$D$2:$D$1001,"&lt;&gt;Withdrawn"))</f>
        <v/>
      </c>
      <c r="G189" s="25" t="str">
        <f aca="false">IF($A189="","",SUMIFS(Deployments!$K$2:$K$1001,Deployments!$B$2:$B$1001,$A189))</f>
        <v/>
      </c>
      <c r="H189" s="23" t="str">
        <f aca="false">IF(N(F189)=0,"",IF(_xlfn.MAXIFS(Deployments!$G$2:$G$1001,Deployments!$B$2:$B$1001,$A189,Deployments!$D$2:$D$1001,"&lt;&gt;Withdrawn")=0,"",_xlfn.MAXIFS(Deployments!$G$2:$G$1001,Deployments!$B$2:$B$1001,$A189,Deployments!$D$2:$D$1001,"&lt;&gt;Withdrawn")))</f>
        <v/>
      </c>
      <c r="I189" s="24" t="str">
        <f aca="false">IF($A189="","",IF(F189=0,"Not deployed",IF(F189&gt;=Setup!$H$2,"High load","Deployed")))</f>
        <v/>
      </c>
      <c r="J189" s="35" t="str">
        <f aca="false">IF(N(F189)=0,"",F189+MIN(G189,999)/1000+(1000-ROW())/10000000)</f>
        <v/>
      </c>
      <c r="K189" s="30" t="str">
        <f aca="false">IF(I189="Not deployed",COUNTIF($I$2:I189,"Not deployed"),"")</f>
        <v/>
      </c>
    </row>
    <row r="190" customFormat="false" ht="15" hidden="false" customHeight="false" outlineLevel="0" collapsed="false">
      <c r="F190" s="30" t="str">
        <f aca="false">IF($A190="","",COUNTIFS(Deployments!$B$2:$B$1001,$A190,Deployments!$D$2:$D$1001,"&lt;&gt;Withdrawn"))</f>
        <v/>
      </c>
      <c r="G190" s="25" t="str">
        <f aca="false">IF($A190="","",SUMIFS(Deployments!$K$2:$K$1001,Deployments!$B$2:$B$1001,$A190))</f>
        <v/>
      </c>
      <c r="H190" s="23" t="str">
        <f aca="false">IF(N(F190)=0,"",IF(_xlfn.MAXIFS(Deployments!$G$2:$G$1001,Deployments!$B$2:$B$1001,$A190,Deployments!$D$2:$D$1001,"&lt;&gt;Withdrawn")=0,"",_xlfn.MAXIFS(Deployments!$G$2:$G$1001,Deployments!$B$2:$B$1001,$A190,Deployments!$D$2:$D$1001,"&lt;&gt;Withdrawn")))</f>
        <v/>
      </c>
      <c r="I190" s="24" t="str">
        <f aca="false">IF($A190="","",IF(F190=0,"Not deployed",IF(F190&gt;=Setup!$H$2,"High load","Deployed")))</f>
        <v/>
      </c>
      <c r="J190" s="35" t="str">
        <f aca="false">IF(N(F190)=0,"",F190+MIN(G190,999)/1000+(1000-ROW())/10000000)</f>
        <v/>
      </c>
      <c r="K190" s="30" t="str">
        <f aca="false">IF(I190="Not deployed",COUNTIF($I$2:I190,"Not deployed"),"")</f>
        <v/>
      </c>
    </row>
    <row r="191" customFormat="false" ht="15" hidden="false" customHeight="false" outlineLevel="0" collapsed="false">
      <c r="F191" s="30" t="str">
        <f aca="false">IF($A191="","",COUNTIFS(Deployments!$B$2:$B$1001,$A191,Deployments!$D$2:$D$1001,"&lt;&gt;Withdrawn"))</f>
        <v/>
      </c>
      <c r="G191" s="25" t="str">
        <f aca="false">IF($A191="","",SUMIFS(Deployments!$K$2:$K$1001,Deployments!$B$2:$B$1001,$A191))</f>
        <v/>
      </c>
      <c r="H191" s="23" t="str">
        <f aca="false">IF(N(F191)=0,"",IF(_xlfn.MAXIFS(Deployments!$G$2:$G$1001,Deployments!$B$2:$B$1001,$A191,Deployments!$D$2:$D$1001,"&lt;&gt;Withdrawn")=0,"",_xlfn.MAXIFS(Deployments!$G$2:$G$1001,Deployments!$B$2:$B$1001,$A191,Deployments!$D$2:$D$1001,"&lt;&gt;Withdrawn")))</f>
        <v/>
      </c>
      <c r="I191" s="24" t="str">
        <f aca="false">IF($A191="","",IF(F191=0,"Not deployed",IF(F191&gt;=Setup!$H$2,"High load","Deployed")))</f>
        <v/>
      </c>
      <c r="J191" s="35" t="str">
        <f aca="false">IF(N(F191)=0,"",F191+MIN(G191,999)/1000+(1000-ROW())/10000000)</f>
        <v/>
      </c>
      <c r="K191" s="30" t="str">
        <f aca="false">IF(I191="Not deployed",COUNTIF($I$2:I191,"Not deployed"),"")</f>
        <v/>
      </c>
    </row>
    <row r="192" customFormat="false" ht="15" hidden="false" customHeight="false" outlineLevel="0" collapsed="false">
      <c r="F192" s="30" t="str">
        <f aca="false">IF($A192="","",COUNTIFS(Deployments!$B$2:$B$1001,$A192,Deployments!$D$2:$D$1001,"&lt;&gt;Withdrawn"))</f>
        <v/>
      </c>
      <c r="G192" s="25" t="str">
        <f aca="false">IF($A192="","",SUMIFS(Deployments!$K$2:$K$1001,Deployments!$B$2:$B$1001,$A192))</f>
        <v/>
      </c>
      <c r="H192" s="23" t="str">
        <f aca="false">IF(N(F192)=0,"",IF(_xlfn.MAXIFS(Deployments!$G$2:$G$1001,Deployments!$B$2:$B$1001,$A192,Deployments!$D$2:$D$1001,"&lt;&gt;Withdrawn")=0,"",_xlfn.MAXIFS(Deployments!$G$2:$G$1001,Deployments!$B$2:$B$1001,$A192,Deployments!$D$2:$D$1001,"&lt;&gt;Withdrawn")))</f>
        <v/>
      </c>
      <c r="I192" s="24" t="str">
        <f aca="false">IF($A192="","",IF(F192=0,"Not deployed",IF(F192&gt;=Setup!$H$2,"High load","Deployed")))</f>
        <v/>
      </c>
      <c r="J192" s="35" t="str">
        <f aca="false">IF(N(F192)=0,"",F192+MIN(G192,999)/1000+(1000-ROW())/10000000)</f>
        <v/>
      </c>
      <c r="K192" s="30" t="str">
        <f aca="false">IF(I192="Not deployed",COUNTIF($I$2:I192,"Not deployed"),"")</f>
        <v/>
      </c>
    </row>
    <row r="193" customFormat="false" ht="15" hidden="false" customHeight="false" outlineLevel="0" collapsed="false">
      <c r="F193" s="30" t="str">
        <f aca="false">IF($A193="","",COUNTIFS(Deployments!$B$2:$B$1001,$A193,Deployments!$D$2:$D$1001,"&lt;&gt;Withdrawn"))</f>
        <v/>
      </c>
      <c r="G193" s="25" t="str">
        <f aca="false">IF($A193="","",SUMIFS(Deployments!$K$2:$K$1001,Deployments!$B$2:$B$1001,$A193))</f>
        <v/>
      </c>
      <c r="H193" s="23" t="str">
        <f aca="false">IF(N(F193)=0,"",IF(_xlfn.MAXIFS(Deployments!$G$2:$G$1001,Deployments!$B$2:$B$1001,$A193,Deployments!$D$2:$D$1001,"&lt;&gt;Withdrawn")=0,"",_xlfn.MAXIFS(Deployments!$G$2:$G$1001,Deployments!$B$2:$B$1001,$A193,Deployments!$D$2:$D$1001,"&lt;&gt;Withdrawn")))</f>
        <v/>
      </c>
      <c r="I193" s="24" t="str">
        <f aca="false">IF($A193="","",IF(F193=0,"Not deployed",IF(F193&gt;=Setup!$H$2,"High load","Deployed")))</f>
        <v/>
      </c>
      <c r="J193" s="35" t="str">
        <f aca="false">IF(N(F193)=0,"",F193+MIN(G193,999)/1000+(1000-ROW())/10000000)</f>
        <v/>
      </c>
      <c r="K193" s="30" t="str">
        <f aca="false">IF(I193="Not deployed",COUNTIF($I$2:I193,"Not deployed"),"")</f>
        <v/>
      </c>
    </row>
    <row r="194" customFormat="false" ht="15" hidden="false" customHeight="false" outlineLevel="0" collapsed="false">
      <c r="F194" s="30" t="str">
        <f aca="false">IF($A194="","",COUNTIFS(Deployments!$B$2:$B$1001,$A194,Deployments!$D$2:$D$1001,"&lt;&gt;Withdrawn"))</f>
        <v/>
      </c>
      <c r="G194" s="25" t="str">
        <f aca="false">IF($A194="","",SUMIFS(Deployments!$K$2:$K$1001,Deployments!$B$2:$B$1001,$A194))</f>
        <v/>
      </c>
      <c r="H194" s="23" t="str">
        <f aca="false">IF(N(F194)=0,"",IF(_xlfn.MAXIFS(Deployments!$G$2:$G$1001,Deployments!$B$2:$B$1001,$A194,Deployments!$D$2:$D$1001,"&lt;&gt;Withdrawn")=0,"",_xlfn.MAXIFS(Deployments!$G$2:$G$1001,Deployments!$B$2:$B$1001,$A194,Deployments!$D$2:$D$1001,"&lt;&gt;Withdrawn")))</f>
        <v/>
      </c>
      <c r="I194" s="24" t="str">
        <f aca="false">IF($A194="","",IF(F194=0,"Not deployed",IF(F194&gt;=Setup!$H$2,"High load","Deployed")))</f>
        <v/>
      </c>
      <c r="J194" s="35" t="str">
        <f aca="false">IF(N(F194)=0,"",F194+MIN(G194,999)/1000+(1000-ROW())/10000000)</f>
        <v/>
      </c>
      <c r="K194" s="30" t="str">
        <f aca="false">IF(I194="Not deployed",COUNTIF($I$2:I194,"Not deployed"),"")</f>
        <v/>
      </c>
    </row>
    <row r="195" customFormat="false" ht="15" hidden="false" customHeight="false" outlineLevel="0" collapsed="false">
      <c r="F195" s="30" t="str">
        <f aca="false">IF($A195="","",COUNTIFS(Deployments!$B$2:$B$1001,$A195,Deployments!$D$2:$D$1001,"&lt;&gt;Withdrawn"))</f>
        <v/>
      </c>
      <c r="G195" s="25" t="str">
        <f aca="false">IF($A195="","",SUMIFS(Deployments!$K$2:$K$1001,Deployments!$B$2:$B$1001,$A195))</f>
        <v/>
      </c>
      <c r="H195" s="23" t="str">
        <f aca="false">IF(N(F195)=0,"",IF(_xlfn.MAXIFS(Deployments!$G$2:$G$1001,Deployments!$B$2:$B$1001,$A195,Deployments!$D$2:$D$1001,"&lt;&gt;Withdrawn")=0,"",_xlfn.MAXIFS(Deployments!$G$2:$G$1001,Deployments!$B$2:$B$1001,$A195,Deployments!$D$2:$D$1001,"&lt;&gt;Withdrawn")))</f>
        <v/>
      </c>
      <c r="I195" s="24" t="str">
        <f aca="false">IF($A195="","",IF(F195=0,"Not deployed",IF(F195&gt;=Setup!$H$2,"High load","Deployed")))</f>
        <v/>
      </c>
      <c r="J195" s="35" t="str">
        <f aca="false">IF(N(F195)=0,"",F195+MIN(G195,999)/1000+(1000-ROW())/10000000)</f>
        <v/>
      </c>
      <c r="K195" s="30" t="str">
        <f aca="false">IF(I195="Not deployed",COUNTIF($I$2:I195,"Not deployed"),"")</f>
        <v/>
      </c>
    </row>
    <row r="196" customFormat="false" ht="15" hidden="false" customHeight="false" outlineLevel="0" collapsed="false">
      <c r="F196" s="30" t="str">
        <f aca="false">IF($A196="","",COUNTIFS(Deployments!$B$2:$B$1001,$A196,Deployments!$D$2:$D$1001,"&lt;&gt;Withdrawn"))</f>
        <v/>
      </c>
      <c r="G196" s="25" t="str">
        <f aca="false">IF($A196="","",SUMIFS(Deployments!$K$2:$K$1001,Deployments!$B$2:$B$1001,$A196))</f>
        <v/>
      </c>
      <c r="H196" s="23" t="str">
        <f aca="false">IF(N(F196)=0,"",IF(_xlfn.MAXIFS(Deployments!$G$2:$G$1001,Deployments!$B$2:$B$1001,$A196,Deployments!$D$2:$D$1001,"&lt;&gt;Withdrawn")=0,"",_xlfn.MAXIFS(Deployments!$G$2:$G$1001,Deployments!$B$2:$B$1001,$A196,Deployments!$D$2:$D$1001,"&lt;&gt;Withdrawn")))</f>
        <v/>
      </c>
      <c r="I196" s="24" t="str">
        <f aca="false">IF($A196="","",IF(F196=0,"Not deployed",IF(F196&gt;=Setup!$H$2,"High load","Deployed")))</f>
        <v/>
      </c>
      <c r="J196" s="35" t="str">
        <f aca="false">IF(N(F196)=0,"",F196+MIN(G196,999)/1000+(1000-ROW())/10000000)</f>
        <v/>
      </c>
      <c r="K196" s="30" t="str">
        <f aca="false">IF(I196="Not deployed",COUNTIF($I$2:I196,"Not deployed"),"")</f>
        <v/>
      </c>
    </row>
    <row r="197" customFormat="false" ht="15" hidden="false" customHeight="false" outlineLevel="0" collapsed="false">
      <c r="F197" s="30" t="str">
        <f aca="false">IF($A197="","",COUNTIFS(Deployments!$B$2:$B$1001,$A197,Deployments!$D$2:$D$1001,"&lt;&gt;Withdrawn"))</f>
        <v/>
      </c>
      <c r="G197" s="25" t="str">
        <f aca="false">IF($A197="","",SUMIFS(Deployments!$K$2:$K$1001,Deployments!$B$2:$B$1001,$A197))</f>
        <v/>
      </c>
      <c r="H197" s="23" t="str">
        <f aca="false">IF(N(F197)=0,"",IF(_xlfn.MAXIFS(Deployments!$G$2:$G$1001,Deployments!$B$2:$B$1001,$A197,Deployments!$D$2:$D$1001,"&lt;&gt;Withdrawn")=0,"",_xlfn.MAXIFS(Deployments!$G$2:$G$1001,Deployments!$B$2:$B$1001,$A197,Deployments!$D$2:$D$1001,"&lt;&gt;Withdrawn")))</f>
        <v/>
      </c>
      <c r="I197" s="24" t="str">
        <f aca="false">IF($A197="","",IF(F197=0,"Not deployed",IF(F197&gt;=Setup!$H$2,"High load","Deployed")))</f>
        <v/>
      </c>
      <c r="J197" s="35" t="str">
        <f aca="false">IF(N(F197)=0,"",F197+MIN(G197,999)/1000+(1000-ROW())/10000000)</f>
        <v/>
      </c>
      <c r="K197" s="30" t="str">
        <f aca="false">IF(I197="Not deployed",COUNTIF($I$2:I197,"Not deployed"),"")</f>
        <v/>
      </c>
    </row>
    <row r="198" customFormat="false" ht="15" hidden="false" customHeight="false" outlineLevel="0" collapsed="false">
      <c r="F198" s="30" t="str">
        <f aca="false">IF($A198="","",COUNTIFS(Deployments!$B$2:$B$1001,$A198,Deployments!$D$2:$D$1001,"&lt;&gt;Withdrawn"))</f>
        <v/>
      </c>
      <c r="G198" s="25" t="str">
        <f aca="false">IF($A198="","",SUMIFS(Deployments!$K$2:$K$1001,Deployments!$B$2:$B$1001,$A198))</f>
        <v/>
      </c>
      <c r="H198" s="23" t="str">
        <f aca="false">IF(N(F198)=0,"",IF(_xlfn.MAXIFS(Deployments!$G$2:$G$1001,Deployments!$B$2:$B$1001,$A198,Deployments!$D$2:$D$1001,"&lt;&gt;Withdrawn")=0,"",_xlfn.MAXIFS(Deployments!$G$2:$G$1001,Deployments!$B$2:$B$1001,$A198,Deployments!$D$2:$D$1001,"&lt;&gt;Withdrawn")))</f>
        <v/>
      </c>
      <c r="I198" s="24" t="str">
        <f aca="false">IF($A198="","",IF(F198=0,"Not deployed",IF(F198&gt;=Setup!$H$2,"High load","Deployed")))</f>
        <v/>
      </c>
      <c r="J198" s="35" t="str">
        <f aca="false">IF(N(F198)=0,"",F198+MIN(G198,999)/1000+(1000-ROW())/10000000)</f>
        <v/>
      </c>
      <c r="K198" s="30" t="str">
        <f aca="false">IF(I198="Not deployed",COUNTIF($I$2:I198,"Not deployed"),"")</f>
        <v/>
      </c>
    </row>
    <row r="199" customFormat="false" ht="15" hidden="false" customHeight="false" outlineLevel="0" collapsed="false">
      <c r="F199" s="30" t="str">
        <f aca="false">IF($A199="","",COUNTIFS(Deployments!$B$2:$B$1001,$A199,Deployments!$D$2:$D$1001,"&lt;&gt;Withdrawn"))</f>
        <v/>
      </c>
      <c r="G199" s="25" t="str">
        <f aca="false">IF($A199="","",SUMIFS(Deployments!$K$2:$K$1001,Deployments!$B$2:$B$1001,$A199))</f>
        <v/>
      </c>
      <c r="H199" s="23" t="str">
        <f aca="false">IF(N(F199)=0,"",IF(_xlfn.MAXIFS(Deployments!$G$2:$G$1001,Deployments!$B$2:$B$1001,$A199,Deployments!$D$2:$D$1001,"&lt;&gt;Withdrawn")=0,"",_xlfn.MAXIFS(Deployments!$G$2:$G$1001,Deployments!$B$2:$B$1001,$A199,Deployments!$D$2:$D$1001,"&lt;&gt;Withdrawn")))</f>
        <v/>
      </c>
      <c r="I199" s="24" t="str">
        <f aca="false">IF($A199="","",IF(F199=0,"Not deployed",IF(F199&gt;=Setup!$H$2,"High load","Deployed")))</f>
        <v/>
      </c>
      <c r="J199" s="35" t="str">
        <f aca="false">IF(N(F199)=0,"",F199+MIN(G199,999)/1000+(1000-ROW())/10000000)</f>
        <v/>
      </c>
      <c r="K199" s="30" t="str">
        <f aca="false">IF(I199="Not deployed",COUNTIF($I$2:I199,"Not deployed"),"")</f>
        <v/>
      </c>
    </row>
    <row r="200" customFormat="false" ht="15" hidden="false" customHeight="false" outlineLevel="0" collapsed="false">
      <c r="F200" s="30" t="str">
        <f aca="false">IF($A200="","",COUNTIFS(Deployments!$B$2:$B$1001,$A200,Deployments!$D$2:$D$1001,"&lt;&gt;Withdrawn"))</f>
        <v/>
      </c>
      <c r="G200" s="25" t="str">
        <f aca="false">IF($A200="","",SUMIFS(Deployments!$K$2:$K$1001,Deployments!$B$2:$B$1001,$A200))</f>
        <v/>
      </c>
      <c r="H200" s="23" t="str">
        <f aca="false">IF(N(F200)=0,"",IF(_xlfn.MAXIFS(Deployments!$G$2:$G$1001,Deployments!$B$2:$B$1001,$A200,Deployments!$D$2:$D$1001,"&lt;&gt;Withdrawn")=0,"",_xlfn.MAXIFS(Deployments!$G$2:$G$1001,Deployments!$B$2:$B$1001,$A200,Deployments!$D$2:$D$1001,"&lt;&gt;Withdrawn")))</f>
        <v/>
      </c>
      <c r="I200" s="24" t="str">
        <f aca="false">IF($A200="","",IF(F200=0,"Not deployed",IF(F200&gt;=Setup!$H$2,"High load","Deployed")))</f>
        <v/>
      </c>
      <c r="J200" s="35" t="str">
        <f aca="false">IF(N(F200)=0,"",F200+MIN(G200,999)/1000+(1000-ROW())/10000000)</f>
        <v/>
      </c>
      <c r="K200" s="30" t="str">
        <f aca="false">IF(I200="Not deployed",COUNTIF($I$2:I200,"Not deployed"),"")</f>
        <v/>
      </c>
    </row>
    <row r="201" customFormat="false" ht="15" hidden="false" customHeight="false" outlineLevel="0" collapsed="false">
      <c r="F201" s="30" t="str">
        <f aca="false">IF($A201="","",COUNTIFS(Deployments!$B$2:$B$1001,$A201,Deployments!$D$2:$D$1001,"&lt;&gt;Withdrawn"))</f>
        <v/>
      </c>
      <c r="G201" s="25" t="str">
        <f aca="false">IF($A201="","",SUMIFS(Deployments!$K$2:$K$1001,Deployments!$B$2:$B$1001,$A201))</f>
        <v/>
      </c>
      <c r="H201" s="23" t="str">
        <f aca="false">IF(N(F201)=0,"",IF(_xlfn.MAXIFS(Deployments!$G$2:$G$1001,Deployments!$B$2:$B$1001,$A201,Deployments!$D$2:$D$1001,"&lt;&gt;Withdrawn")=0,"",_xlfn.MAXIFS(Deployments!$G$2:$G$1001,Deployments!$B$2:$B$1001,$A201,Deployments!$D$2:$D$1001,"&lt;&gt;Withdrawn")))</f>
        <v/>
      </c>
      <c r="I201" s="24" t="str">
        <f aca="false">IF($A201="","",IF(F201=0,"Not deployed",IF(F201&gt;=Setup!$H$2,"High load","Deployed")))</f>
        <v/>
      </c>
      <c r="J201" s="35" t="str">
        <f aca="false">IF(N(F201)=0,"",F201+MIN(G201,999)/1000+(1000-ROW())/10000000)</f>
        <v/>
      </c>
      <c r="K201" s="30" t="str">
        <f aca="false">IF(I201="Not deployed",COUNTIF($I$2:I201,"Not deployed"),"")</f>
        <v/>
      </c>
    </row>
    <row r="202" customFormat="false" ht="15" hidden="false" customHeight="false" outlineLevel="0" collapsed="false">
      <c r="F202" s="30" t="str">
        <f aca="false">IF($A202="","",COUNTIFS(Deployments!$B$2:$B$1001,$A202,Deployments!$D$2:$D$1001,"&lt;&gt;Withdrawn"))</f>
        <v/>
      </c>
      <c r="G202" s="25" t="str">
        <f aca="false">IF($A202="","",SUMIFS(Deployments!$K$2:$K$1001,Deployments!$B$2:$B$1001,$A202))</f>
        <v/>
      </c>
      <c r="H202" s="23" t="str">
        <f aca="false">IF(N(F202)=0,"",IF(_xlfn.MAXIFS(Deployments!$G$2:$G$1001,Deployments!$B$2:$B$1001,$A202,Deployments!$D$2:$D$1001,"&lt;&gt;Withdrawn")=0,"",_xlfn.MAXIFS(Deployments!$G$2:$G$1001,Deployments!$B$2:$B$1001,$A202,Deployments!$D$2:$D$1001,"&lt;&gt;Withdrawn")))</f>
        <v/>
      </c>
      <c r="I202" s="24" t="str">
        <f aca="false">IF($A202="","",IF(F202=0,"Not deployed",IF(F202&gt;=Setup!$H$2,"High load","Deployed")))</f>
        <v/>
      </c>
      <c r="J202" s="35" t="str">
        <f aca="false">IF(N(F202)=0,"",F202+MIN(G202,999)/1000+(1000-ROW())/10000000)</f>
        <v/>
      </c>
      <c r="K202" s="30" t="str">
        <f aca="false">IF(I202="Not deployed",COUNTIF($I$2:I202,"Not deployed"),"")</f>
        <v/>
      </c>
    </row>
    <row r="203" customFormat="false" ht="15" hidden="false" customHeight="false" outlineLevel="0" collapsed="false">
      <c r="F203" s="30" t="str">
        <f aca="false">IF($A203="","",COUNTIFS(Deployments!$B$2:$B$1001,$A203,Deployments!$D$2:$D$1001,"&lt;&gt;Withdrawn"))</f>
        <v/>
      </c>
      <c r="G203" s="25" t="str">
        <f aca="false">IF($A203="","",SUMIFS(Deployments!$K$2:$K$1001,Deployments!$B$2:$B$1001,$A203))</f>
        <v/>
      </c>
      <c r="H203" s="23" t="str">
        <f aca="false">IF(N(F203)=0,"",IF(_xlfn.MAXIFS(Deployments!$G$2:$G$1001,Deployments!$B$2:$B$1001,$A203,Deployments!$D$2:$D$1001,"&lt;&gt;Withdrawn")=0,"",_xlfn.MAXIFS(Deployments!$G$2:$G$1001,Deployments!$B$2:$B$1001,$A203,Deployments!$D$2:$D$1001,"&lt;&gt;Withdrawn")))</f>
        <v/>
      </c>
      <c r="I203" s="24" t="str">
        <f aca="false">IF($A203="","",IF(F203=0,"Not deployed",IF(F203&gt;=Setup!$H$2,"High load","Deployed")))</f>
        <v/>
      </c>
      <c r="J203" s="35" t="str">
        <f aca="false">IF(N(F203)=0,"",F203+MIN(G203,999)/1000+(1000-ROW())/10000000)</f>
        <v/>
      </c>
      <c r="K203" s="30" t="str">
        <f aca="false">IF(I203="Not deployed",COUNTIF($I$2:I203,"Not deployed"),"")</f>
        <v/>
      </c>
    </row>
    <row r="204" customFormat="false" ht="15" hidden="false" customHeight="false" outlineLevel="0" collapsed="false">
      <c r="F204" s="30" t="str">
        <f aca="false">IF($A204="","",COUNTIFS(Deployments!$B$2:$B$1001,$A204,Deployments!$D$2:$D$1001,"&lt;&gt;Withdrawn"))</f>
        <v/>
      </c>
      <c r="G204" s="25" t="str">
        <f aca="false">IF($A204="","",SUMIFS(Deployments!$K$2:$K$1001,Deployments!$B$2:$B$1001,$A204))</f>
        <v/>
      </c>
      <c r="H204" s="23" t="str">
        <f aca="false">IF(N(F204)=0,"",IF(_xlfn.MAXIFS(Deployments!$G$2:$G$1001,Deployments!$B$2:$B$1001,$A204,Deployments!$D$2:$D$1001,"&lt;&gt;Withdrawn")=0,"",_xlfn.MAXIFS(Deployments!$G$2:$G$1001,Deployments!$B$2:$B$1001,$A204,Deployments!$D$2:$D$1001,"&lt;&gt;Withdrawn")))</f>
        <v/>
      </c>
      <c r="I204" s="24" t="str">
        <f aca="false">IF($A204="","",IF(F204=0,"Not deployed",IF(F204&gt;=Setup!$H$2,"High load","Deployed")))</f>
        <v/>
      </c>
      <c r="J204" s="35" t="str">
        <f aca="false">IF(N(F204)=0,"",F204+MIN(G204,999)/1000+(1000-ROW())/10000000)</f>
        <v/>
      </c>
      <c r="K204" s="30" t="str">
        <f aca="false">IF(I204="Not deployed",COUNTIF($I$2:I204,"Not deployed"),"")</f>
        <v/>
      </c>
    </row>
    <row r="205" customFormat="false" ht="15" hidden="false" customHeight="false" outlineLevel="0" collapsed="false">
      <c r="F205" s="30" t="str">
        <f aca="false">IF($A205="","",COUNTIFS(Deployments!$B$2:$B$1001,$A205,Deployments!$D$2:$D$1001,"&lt;&gt;Withdrawn"))</f>
        <v/>
      </c>
      <c r="G205" s="25" t="str">
        <f aca="false">IF($A205="","",SUMIFS(Deployments!$K$2:$K$1001,Deployments!$B$2:$B$1001,$A205))</f>
        <v/>
      </c>
      <c r="H205" s="23" t="str">
        <f aca="false">IF(N(F205)=0,"",IF(_xlfn.MAXIFS(Deployments!$G$2:$G$1001,Deployments!$B$2:$B$1001,$A205,Deployments!$D$2:$D$1001,"&lt;&gt;Withdrawn")=0,"",_xlfn.MAXIFS(Deployments!$G$2:$G$1001,Deployments!$B$2:$B$1001,$A205,Deployments!$D$2:$D$1001,"&lt;&gt;Withdrawn")))</f>
        <v/>
      </c>
      <c r="I205" s="24" t="str">
        <f aca="false">IF($A205="","",IF(F205=0,"Not deployed",IF(F205&gt;=Setup!$H$2,"High load","Deployed")))</f>
        <v/>
      </c>
      <c r="J205" s="35" t="str">
        <f aca="false">IF(N(F205)=0,"",F205+MIN(G205,999)/1000+(1000-ROW())/10000000)</f>
        <v/>
      </c>
      <c r="K205" s="30" t="str">
        <f aca="false">IF(I205="Not deployed",COUNTIF($I$2:I205,"Not deployed"),"")</f>
        <v/>
      </c>
    </row>
    <row r="206" customFormat="false" ht="15" hidden="false" customHeight="false" outlineLevel="0" collapsed="false">
      <c r="F206" s="30" t="str">
        <f aca="false">IF($A206="","",COUNTIFS(Deployments!$B$2:$B$1001,$A206,Deployments!$D$2:$D$1001,"&lt;&gt;Withdrawn"))</f>
        <v/>
      </c>
      <c r="G206" s="25" t="str">
        <f aca="false">IF($A206="","",SUMIFS(Deployments!$K$2:$K$1001,Deployments!$B$2:$B$1001,$A206))</f>
        <v/>
      </c>
      <c r="H206" s="23" t="str">
        <f aca="false">IF(N(F206)=0,"",IF(_xlfn.MAXIFS(Deployments!$G$2:$G$1001,Deployments!$B$2:$B$1001,$A206,Deployments!$D$2:$D$1001,"&lt;&gt;Withdrawn")=0,"",_xlfn.MAXIFS(Deployments!$G$2:$G$1001,Deployments!$B$2:$B$1001,$A206,Deployments!$D$2:$D$1001,"&lt;&gt;Withdrawn")))</f>
        <v/>
      </c>
      <c r="I206" s="24" t="str">
        <f aca="false">IF($A206="","",IF(F206=0,"Not deployed",IF(F206&gt;=Setup!$H$2,"High load","Deployed")))</f>
        <v/>
      </c>
      <c r="J206" s="35" t="str">
        <f aca="false">IF(N(F206)=0,"",F206+MIN(G206,999)/1000+(1000-ROW())/10000000)</f>
        <v/>
      </c>
      <c r="K206" s="30" t="str">
        <f aca="false">IF(I206="Not deployed",COUNTIF($I$2:I206,"Not deployed"),"")</f>
        <v/>
      </c>
    </row>
    <row r="207" customFormat="false" ht="15" hidden="false" customHeight="false" outlineLevel="0" collapsed="false">
      <c r="F207" s="30" t="str">
        <f aca="false">IF($A207="","",COUNTIFS(Deployments!$B$2:$B$1001,$A207,Deployments!$D$2:$D$1001,"&lt;&gt;Withdrawn"))</f>
        <v/>
      </c>
      <c r="G207" s="25" t="str">
        <f aca="false">IF($A207="","",SUMIFS(Deployments!$K$2:$K$1001,Deployments!$B$2:$B$1001,$A207))</f>
        <v/>
      </c>
      <c r="H207" s="23" t="str">
        <f aca="false">IF(N(F207)=0,"",IF(_xlfn.MAXIFS(Deployments!$G$2:$G$1001,Deployments!$B$2:$B$1001,$A207,Deployments!$D$2:$D$1001,"&lt;&gt;Withdrawn")=0,"",_xlfn.MAXIFS(Deployments!$G$2:$G$1001,Deployments!$B$2:$B$1001,$A207,Deployments!$D$2:$D$1001,"&lt;&gt;Withdrawn")))</f>
        <v/>
      </c>
      <c r="I207" s="24" t="str">
        <f aca="false">IF($A207="","",IF(F207=0,"Not deployed",IF(F207&gt;=Setup!$H$2,"High load","Deployed")))</f>
        <v/>
      </c>
      <c r="J207" s="35" t="str">
        <f aca="false">IF(N(F207)=0,"",F207+MIN(G207,999)/1000+(1000-ROW())/10000000)</f>
        <v/>
      </c>
      <c r="K207" s="30" t="str">
        <f aca="false">IF(I207="Not deployed",COUNTIF($I$2:I207,"Not deployed"),"")</f>
        <v/>
      </c>
    </row>
    <row r="208" customFormat="false" ht="15" hidden="false" customHeight="false" outlineLevel="0" collapsed="false">
      <c r="F208" s="30" t="str">
        <f aca="false">IF($A208="","",COUNTIFS(Deployments!$B$2:$B$1001,$A208,Deployments!$D$2:$D$1001,"&lt;&gt;Withdrawn"))</f>
        <v/>
      </c>
      <c r="G208" s="25" t="str">
        <f aca="false">IF($A208="","",SUMIFS(Deployments!$K$2:$K$1001,Deployments!$B$2:$B$1001,$A208))</f>
        <v/>
      </c>
      <c r="H208" s="23" t="str">
        <f aca="false">IF(N(F208)=0,"",IF(_xlfn.MAXIFS(Deployments!$G$2:$G$1001,Deployments!$B$2:$B$1001,$A208,Deployments!$D$2:$D$1001,"&lt;&gt;Withdrawn")=0,"",_xlfn.MAXIFS(Deployments!$G$2:$G$1001,Deployments!$B$2:$B$1001,$A208,Deployments!$D$2:$D$1001,"&lt;&gt;Withdrawn")))</f>
        <v/>
      </c>
      <c r="I208" s="24" t="str">
        <f aca="false">IF($A208="","",IF(F208=0,"Not deployed",IF(F208&gt;=Setup!$H$2,"High load","Deployed")))</f>
        <v/>
      </c>
      <c r="J208" s="35" t="str">
        <f aca="false">IF(N(F208)=0,"",F208+MIN(G208,999)/1000+(1000-ROW())/10000000)</f>
        <v/>
      </c>
      <c r="K208" s="30" t="str">
        <f aca="false">IF(I208="Not deployed",COUNTIF($I$2:I208,"Not deployed"),"")</f>
        <v/>
      </c>
    </row>
    <row r="209" customFormat="false" ht="15" hidden="false" customHeight="false" outlineLevel="0" collapsed="false">
      <c r="F209" s="30" t="str">
        <f aca="false">IF($A209="","",COUNTIFS(Deployments!$B$2:$B$1001,$A209,Deployments!$D$2:$D$1001,"&lt;&gt;Withdrawn"))</f>
        <v/>
      </c>
      <c r="G209" s="25" t="str">
        <f aca="false">IF($A209="","",SUMIFS(Deployments!$K$2:$K$1001,Deployments!$B$2:$B$1001,$A209))</f>
        <v/>
      </c>
      <c r="H209" s="23" t="str">
        <f aca="false">IF(N(F209)=0,"",IF(_xlfn.MAXIFS(Deployments!$G$2:$G$1001,Deployments!$B$2:$B$1001,$A209,Deployments!$D$2:$D$1001,"&lt;&gt;Withdrawn")=0,"",_xlfn.MAXIFS(Deployments!$G$2:$G$1001,Deployments!$B$2:$B$1001,$A209,Deployments!$D$2:$D$1001,"&lt;&gt;Withdrawn")))</f>
        <v/>
      </c>
      <c r="I209" s="24" t="str">
        <f aca="false">IF($A209="","",IF(F209=0,"Not deployed",IF(F209&gt;=Setup!$H$2,"High load","Deployed")))</f>
        <v/>
      </c>
      <c r="J209" s="35" t="str">
        <f aca="false">IF(N(F209)=0,"",F209+MIN(G209,999)/1000+(1000-ROW())/10000000)</f>
        <v/>
      </c>
      <c r="K209" s="30" t="str">
        <f aca="false">IF(I209="Not deployed",COUNTIF($I$2:I209,"Not deployed"),"")</f>
        <v/>
      </c>
    </row>
    <row r="210" customFormat="false" ht="15" hidden="false" customHeight="false" outlineLevel="0" collapsed="false">
      <c r="F210" s="30" t="str">
        <f aca="false">IF($A210="","",COUNTIFS(Deployments!$B$2:$B$1001,$A210,Deployments!$D$2:$D$1001,"&lt;&gt;Withdrawn"))</f>
        <v/>
      </c>
      <c r="G210" s="25" t="str">
        <f aca="false">IF($A210="","",SUMIFS(Deployments!$K$2:$K$1001,Deployments!$B$2:$B$1001,$A210))</f>
        <v/>
      </c>
      <c r="H210" s="23" t="str">
        <f aca="false">IF(N(F210)=0,"",IF(_xlfn.MAXIFS(Deployments!$G$2:$G$1001,Deployments!$B$2:$B$1001,$A210,Deployments!$D$2:$D$1001,"&lt;&gt;Withdrawn")=0,"",_xlfn.MAXIFS(Deployments!$G$2:$G$1001,Deployments!$B$2:$B$1001,$A210,Deployments!$D$2:$D$1001,"&lt;&gt;Withdrawn")))</f>
        <v/>
      </c>
      <c r="I210" s="24" t="str">
        <f aca="false">IF($A210="","",IF(F210=0,"Not deployed",IF(F210&gt;=Setup!$H$2,"High load","Deployed")))</f>
        <v/>
      </c>
      <c r="J210" s="35" t="str">
        <f aca="false">IF(N(F210)=0,"",F210+MIN(G210,999)/1000+(1000-ROW())/10000000)</f>
        <v/>
      </c>
      <c r="K210" s="30" t="str">
        <f aca="false">IF(I210="Not deployed",COUNTIF($I$2:I210,"Not deployed"),"")</f>
        <v/>
      </c>
    </row>
    <row r="211" customFormat="false" ht="15" hidden="false" customHeight="false" outlineLevel="0" collapsed="false">
      <c r="F211" s="30" t="str">
        <f aca="false">IF($A211="","",COUNTIFS(Deployments!$B$2:$B$1001,$A211,Deployments!$D$2:$D$1001,"&lt;&gt;Withdrawn"))</f>
        <v/>
      </c>
      <c r="G211" s="25" t="str">
        <f aca="false">IF($A211="","",SUMIFS(Deployments!$K$2:$K$1001,Deployments!$B$2:$B$1001,$A211))</f>
        <v/>
      </c>
      <c r="H211" s="23" t="str">
        <f aca="false">IF(N(F211)=0,"",IF(_xlfn.MAXIFS(Deployments!$G$2:$G$1001,Deployments!$B$2:$B$1001,$A211,Deployments!$D$2:$D$1001,"&lt;&gt;Withdrawn")=0,"",_xlfn.MAXIFS(Deployments!$G$2:$G$1001,Deployments!$B$2:$B$1001,$A211,Deployments!$D$2:$D$1001,"&lt;&gt;Withdrawn")))</f>
        <v/>
      </c>
      <c r="I211" s="24" t="str">
        <f aca="false">IF($A211="","",IF(F211=0,"Not deployed",IF(F211&gt;=Setup!$H$2,"High load","Deployed")))</f>
        <v/>
      </c>
      <c r="J211" s="35" t="str">
        <f aca="false">IF(N(F211)=0,"",F211+MIN(G211,999)/1000+(1000-ROW())/10000000)</f>
        <v/>
      </c>
      <c r="K211" s="30" t="str">
        <f aca="false">IF(I211="Not deployed",COUNTIF($I$2:I211,"Not deployed"),"")</f>
        <v/>
      </c>
    </row>
    <row r="212" customFormat="false" ht="15" hidden="false" customHeight="false" outlineLevel="0" collapsed="false">
      <c r="F212" s="30" t="str">
        <f aca="false">IF($A212="","",COUNTIFS(Deployments!$B$2:$B$1001,$A212,Deployments!$D$2:$D$1001,"&lt;&gt;Withdrawn"))</f>
        <v/>
      </c>
      <c r="G212" s="25" t="str">
        <f aca="false">IF($A212="","",SUMIFS(Deployments!$K$2:$K$1001,Deployments!$B$2:$B$1001,$A212))</f>
        <v/>
      </c>
      <c r="H212" s="23" t="str">
        <f aca="false">IF(N(F212)=0,"",IF(_xlfn.MAXIFS(Deployments!$G$2:$G$1001,Deployments!$B$2:$B$1001,$A212,Deployments!$D$2:$D$1001,"&lt;&gt;Withdrawn")=0,"",_xlfn.MAXIFS(Deployments!$G$2:$G$1001,Deployments!$B$2:$B$1001,$A212,Deployments!$D$2:$D$1001,"&lt;&gt;Withdrawn")))</f>
        <v/>
      </c>
      <c r="I212" s="24" t="str">
        <f aca="false">IF($A212="","",IF(F212=0,"Not deployed",IF(F212&gt;=Setup!$H$2,"High load","Deployed")))</f>
        <v/>
      </c>
      <c r="J212" s="35" t="str">
        <f aca="false">IF(N(F212)=0,"",F212+MIN(G212,999)/1000+(1000-ROW())/10000000)</f>
        <v/>
      </c>
      <c r="K212" s="30" t="str">
        <f aca="false">IF(I212="Not deployed",COUNTIF($I$2:I212,"Not deployed"),"")</f>
        <v/>
      </c>
    </row>
    <row r="213" customFormat="false" ht="15" hidden="false" customHeight="false" outlineLevel="0" collapsed="false">
      <c r="F213" s="30" t="str">
        <f aca="false">IF($A213="","",COUNTIFS(Deployments!$B$2:$B$1001,$A213,Deployments!$D$2:$D$1001,"&lt;&gt;Withdrawn"))</f>
        <v/>
      </c>
      <c r="G213" s="25" t="str">
        <f aca="false">IF($A213="","",SUMIFS(Deployments!$K$2:$K$1001,Deployments!$B$2:$B$1001,$A213))</f>
        <v/>
      </c>
      <c r="H213" s="23" t="str">
        <f aca="false">IF(N(F213)=0,"",IF(_xlfn.MAXIFS(Deployments!$G$2:$G$1001,Deployments!$B$2:$B$1001,$A213,Deployments!$D$2:$D$1001,"&lt;&gt;Withdrawn")=0,"",_xlfn.MAXIFS(Deployments!$G$2:$G$1001,Deployments!$B$2:$B$1001,$A213,Deployments!$D$2:$D$1001,"&lt;&gt;Withdrawn")))</f>
        <v/>
      </c>
      <c r="I213" s="24" t="str">
        <f aca="false">IF($A213="","",IF(F213=0,"Not deployed",IF(F213&gt;=Setup!$H$2,"High load","Deployed")))</f>
        <v/>
      </c>
      <c r="J213" s="35" t="str">
        <f aca="false">IF(N(F213)=0,"",F213+MIN(G213,999)/1000+(1000-ROW())/10000000)</f>
        <v/>
      </c>
      <c r="K213" s="30" t="str">
        <f aca="false">IF(I213="Not deployed",COUNTIF($I$2:I213,"Not deployed"),"")</f>
        <v/>
      </c>
    </row>
    <row r="214" customFormat="false" ht="15" hidden="false" customHeight="false" outlineLevel="0" collapsed="false">
      <c r="F214" s="30" t="str">
        <f aca="false">IF($A214="","",COUNTIFS(Deployments!$B$2:$B$1001,$A214,Deployments!$D$2:$D$1001,"&lt;&gt;Withdrawn"))</f>
        <v/>
      </c>
      <c r="G214" s="25" t="str">
        <f aca="false">IF($A214="","",SUMIFS(Deployments!$K$2:$K$1001,Deployments!$B$2:$B$1001,$A214))</f>
        <v/>
      </c>
      <c r="H214" s="23" t="str">
        <f aca="false">IF(N(F214)=0,"",IF(_xlfn.MAXIFS(Deployments!$G$2:$G$1001,Deployments!$B$2:$B$1001,$A214,Deployments!$D$2:$D$1001,"&lt;&gt;Withdrawn")=0,"",_xlfn.MAXIFS(Deployments!$G$2:$G$1001,Deployments!$B$2:$B$1001,$A214,Deployments!$D$2:$D$1001,"&lt;&gt;Withdrawn")))</f>
        <v/>
      </c>
      <c r="I214" s="24" t="str">
        <f aca="false">IF($A214="","",IF(F214=0,"Not deployed",IF(F214&gt;=Setup!$H$2,"High load","Deployed")))</f>
        <v/>
      </c>
      <c r="J214" s="35" t="str">
        <f aca="false">IF(N(F214)=0,"",F214+MIN(G214,999)/1000+(1000-ROW())/10000000)</f>
        <v/>
      </c>
      <c r="K214" s="30" t="str">
        <f aca="false">IF(I214="Not deployed",COUNTIF($I$2:I214,"Not deployed"),"")</f>
        <v/>
      </c>
    </row>
    <row r="215" customFormat="false" ht="15" hidden="false" customHeight="false" outlineLevel="0" collapsed="false">
      <c r="F215" s="30" t="str">
        <f aca="false">IF($A215="","",COUNTIFS(Deployments!$B$2:$B$1001,$A215,Deployments!$D$2:$D$1001,"&lt;&gt;Withdrawn"))</f>
        <v/>
      </c>
      <c r="G215" s="25" t="str">
        <f aca="false">IF($A215="","",SUMIFS(Deployments!$K$2:$K$1001,Deployments!$B$2:$B$1001,$A215))</f>
        <v/>
      </c>
      <c r="H215" s="23" t="str">
        <f aca="false">IF(N(F215)=0,"",IF(_xlfn.MAXIFS(Deployments!$G$2:$G$1001,Deployments!$B$2:$B$1001,$A215,Deployments!$D$2:$D$1001,"&lt;&gt;Withdrawn")=0,"",_xlfn.MAXIFS(Deployments!$G$2:$G$1001,Deployments!$B$2:$B$1001,$A215,Deployments!$D$2:$D$1001,"&lt;&gt;Withdrawn")))</f>
        <v/>
      </c>
      <c r="I215" s="24" t="str">
        <f aca="false">IF($A215="","",IF(F215=0,"Not deployed",IF(F215&gt;=Setup!$H$2,"High load","Deployed")))</f>
        <v/>
      </c>
      <c r="J215" s="35" t="str">
        <f aca="false">IF(N(F215)=0,"",F215+MIN(G215,999)/1000+(1000-ROW())/10000000)</f>
        <v/>
      </c>
      <c r="K215" s="30" t="str">
        <f aca="false">IF(I215="Not deployed",COUNTIF($I$2:I215,"Not deployed"),"")</f>
        <v/>
      </c>
    </row>
    <row r="216" customFormat="false" ht="15" hidden="false" customHeight="false" outlineLevel="0" collapsed="false">
      <c r="F216" s="30" t="str">
        <f aca="false">IF($A216="","",COUNTIFS(Deployments!$B$2:$B$1001,$A216,Deployments!$D$2:$D$1001,"&lt;&gt;Withdrawn"))</f>
        <v/>
      </c>
      <c r="G216" s="25" t="str">
        <f aca="false">IF($A216="","",SUMIFS(Deployments!$K$2:$K$1001,Deployments!$B$2:$B$1001,$A216))</f>
        <v/>
      </c>
      <c r="H216" s="23" t="str">
        <f aca="false">IF(N(F216)=0,"",IF(_xlfn.MAXIFS(Deployments!$G$2:$G$1001,Deployments!$B$2:$B$1001,$A216,Deployments!$D$2:$D$1001,"&lt;&gt;Withdrawn")=0,"",_xlfn.MAXIFS(Deployments!$G$2:$G$1001,Deployments!$B$2:$B$1001,$A216,Deployments!$D$2:$D$1001,"&lt;&gt;Withdrawn")))</f>
        <v/>
      </c>
      <c r="I216" s="24" t="str">
        <f aca="false">IF($A216="","",IF(F216=0,"Not deployed",IF(F216&gt;=Setup!$H$2,"High load","Deployed")))</f>
        <v/>
      </c>
      <c r="J216" s="35" t="str">
        <f aca="false">IF(N(F216)=0,"",F216+MIN(G216,999)/1000+(1000-ROW())/10000000)</f>
        <v/>
      </c>
      <c r="K216" s="30" t="str">
        <f aca="false">IF(I216="Not deployed",COUNTIF($I$2:I216,"Not deployed"),"")</f>
        <v/>
      </c>
    </row>
    <row r="217" customFormat="false" ht="15" hidden="false" customHeight="false" outlineLevel="0" collapsed="false">
      <c r="F217" s="30" t="str">
        <f aca="false">IF($A217="","",COUNTIFS(Deployments!$B$2:$B$1001,$A217,Deployments!$D$2:$D$1001,"&lt;&gt;Withdrawn"))</f>
        <v/>
      </c>
      <c r="G217" s="25" t="str">
        <f aca="false">IF($A217="","",SUMIFS(Deployments!$K$2:$K$1001,Deployments!$B$2:$B$1001,$A217))</f>
        <v/>
      </c>
      <c r="H217" s="23" t="str">
        <f aca="false">IF(N(F217)=0,"",IF(_xlfn.MAXIFS(Deployments!$G$2:$G$1001,Deployments!$B$2:$B$1001,$A217,Deployments!$D$2:$D$1001,"&lt;&gt;Withdrawn")=0,"",_xlfn.MAXIFS(Deployments!$G$2:$G$1001,Deployments!$B$2:$B$1001,$A217,Deployments!$D$2:$D$1001,"&lt;&gt;Withdrawn")))</f>
        <v/>
      </c>
      <c r="I217" s="24" t="str">
        <f aca="false">IF($A217="","",IF(F217=0,"Not deployed",IF(F217&gt;=Setup!$H$2,"High load","Deployed")))</f>
        <v/>
      </c>
      <c r="J217" s="35" t="str">
        <f aca="false">IF(N(F217)=0,"",F217+MIN(G217,999)/1000+(1000-ROW())/10000000)</f>
        <v/>
      </c>
      <c r="K217" s="30" t="str">
        <f aca="false">IF(I217="Not deployed",COUNTIF($I$2:I217,"Not deployed"),"")</f>
        <v/>
      </c>
    </row>
    <row r="218" customFormat="false" ht="15" hidden="false" customHeight="false" outlineLevel="0" collapsed="false">
      <c r="F218" s="30" t="str">
        <f aca="false">IF($A218="","",COUNTIFS(Deployments!$B$2:$B$1001,$A218,Deployments!$D$2:$D$1001,"&lt;&gt;Withdrawn"))</f>
        <v/>
      </c>
      <c r="G218" s="25" t="str">
        <f aca="false">IF($A218="","",SUMIFS(Deployments!$K$2:$K$1001,Deployments!$B$2:$B$1001,$A218))</f>
        <v/>
      </c>
      <c r="H218" s="23" t="str">
        <f aca="false">IF(N(F218)=0,"",IF(_xlfn.MAXIFS(Deployments!$G$2:$G$1001,Deployments!$B$2:$B$1001,$A218,Deployments!$D$2:$D$1001,"&lt;&gt;Withdrawn")=0,"",_xlfn.MAXIFS(Deployments!$G$2:$G$1001,Deployments!$B$2:$B$1001,$A218,Deployments!$D$2:$D$1001,"&lt;&gt;Withdrawn")))</f>
        <v/>
      </c>
      <c r="I218" s="24" t="str">
        <f aca="false">IF($A218="","",IF(F218=0,"Not deployed",IF(F218&gt;=Setup!$H$2,"High load","Deployed")))</f>
        <v/>
      </c>
      <c r="J218" s="35" t="str">
        <f aca="false">IF(N(F218)=0,"",F218+MIN(G218,999)/1000+(1000-ROW())/10000000)</f>
        <v/>
      </c>
      <c r="K218" s="30" t="str">
        <f aca="false">IF(I218="Not deployed",COUNTIF($I$2:I218,"Not deployed"),"")</f>
        <v/>
      </c>
    </row>
    <row r="219" customFormat="false" ht="15" hidden="false" customHeight="false" outlineLevel="0" collapsed="false">
      <c r="F219" s="30" t="str">
        <f aca="false">IF($A219="","",COUNTIFS(Deployments!$B$2:$B$1001,$A219,Deployments!$D$2:$D$1001,"&lt;&gt;Withdrawn"))</f>
        <v/>
      </c>
      <c r="G219" s="25" t="str">
        <f aca="false">IF($A219="","",SUMIFS(Deployments!$K$2:$K$1001,Deployments!$B$2:$B$1001,$A219))</f>
        <v/>
      </c>
      <c r="H219" s="23" t="str">
        <f aca="false">IF(N(F219)=0,"",IF(_xlfn.MAXIFS(Deployments!$G$2:$G$1001,Deployments!$B$2:$B$1001,$A219,Deployments!$D$2:$D$1001,"&lt;&gt;Withdrawn")=0,"",_xlfn.MAXIFS(Deployments!$G$2:$G$1001,Deployments!$B$2:$B$1001,$A219,Deployments!$D$2:$D$1001,"&lt;&gt;Withdrawn")))</f>
        <v/>
      </c>
      <c r="I219" s="24" t="str">
        <f aca="false">IF($A219="","",IF(F219=0,"Not deployed",IF(F219&gt;=Setup!$H$2,"High load","Deployed")))</f>
        <v/>
      </c>
      <c r="J219" s="35" t="str">
        <f aca="false">IF(N(F219)=0,"",F219+MIN(G219,999)/1000+(1000-ROW())/10000000)</f>
        <v/>
      </c>
      <c r="K219" s="30" t="str">
        <f aca="false">IF(I219="Not deployed",COUNTIF($I$2:I219,"Not deployed"),"")</f>
        <v/>
      </c>
    </row>
    <row r="220" customFormat="false" ht="15" hidden="false" customHeight="false" outlineLevel="0" collapsed="false">
      <c r="F220" s="30" t="str">
        <f aca="false">IF($A220="","",COUNTIFS(Deployments!$B$2:$B$1001,$A220,Deployments!$D$2:$D$1001,"&lt;&gt;Withdrawn"))</f>
        <v/>
      </c>
      <c r="G220" s="25" t="str">
        <f aca="false">IF($A220="","",SUMIFS(Deployments!$K$2:$K$1001,Deployments!$B$2:$B$1001,$A220))</f>
        <v/>
      </c>
      <c r="H220" s="23" t="str">
        <f aca="false">IF(N(F220)=0,"",IF(_xlfn.MAXIFS(Deployments!$G$2:$G$1001,Deployments!$B$2:$B$1001,$A220,Deployments!$D$2:$D$1001,"&lt;&gt;Withdrawn")=0,"",_xlfn.MAXIFS(Deployments!$G$2:$G$1001,Deployments!$B$2:$B$1001,$A220,Deployments!$D$2:$D$1001,"&lt;&gt;Withdrawn")))</f>
        <v/>
      </c>
      <c r="I220" s="24" t="str">
        <f aca="false">IF($A220="","",IF(F220=0,"Not deployed",IF(F220&gt;=Setup!$H$2,"High load","Deployed")))</f>
        <v/>
      </c>
      <c r="J220" s="35" t="str">
        <f aca="false">IF(N(F220)=0,"",F220+MIN(G220,999)/1000+(1000-ROW())/10000000)</f>
        <v/>
      </c>
      <c r="K220" s="30" t="str">
        <f aca="false">IF(I220="Not deployed",COUNTIF($I$2:I220,"Not deployed"),"")</f>
        <v/>
      </c>
    </row>
    <row r="221" customFormat="false" ht="15" hidden="false" customHeight="false" outlineLevel="0" collapsed="false">
      <c r="F221" s="30" t="str">
        <f aca="false">IF($A221="","",COUNTIFS(Deployments!$B$2:$B$1001,$A221,Deployments!$D$2:$D$1001,"&lt;&gt;Withdrawn"))</f>
        <v/>
      </c>
      <c r="G221" s="25" t="str">
        <f aca="false">IF($A221="","",SUMIFS(Deployments!$K$2:$K$1001,Deployments!$B$2:$B$1001,$A221))</f>
        <v/>
      </c>
      <c r="H221" s="23" t="str">
        <f aca="false">IF(N(F221)=0,"",IF(_xlfn.MAXIFS(Deployments!$G$2:$G$1001,Deployments!$B$2:$B$1001,$A221,Deployments!$D$2:$D$1001,"&lt;&gt;Withdrawn")=0,"",_xlfn.MAXIFS(Deployments!$G$2:$G$1001,Deployments!$B$2:$B$1001,$A221,Deployments!$D$2:$D$1001,"&lt;&gt;Withdrawn")))</f>
        <v/>
      </c>
      <c r="I221" s="24" t="str">
        <f aca="false">IF($A221="","",IF(F221=0,"Not deployed",IF(F221&gt;=Setup!$H$2,"High load","Deployed")))</f>
        <v/>
      </c>
      <c r="J221" s="35" t="str">
        <f aca="false">IF(N(F221)=0,"",F221+MIN(G221,999)/1000+(1000-ROW())/10000000)</f>
        <v/>
      </c>
      <c r="K221" s="30" t="str">
        <f aca="false">IF(I221="Not deployed",COUNTIF($I$2:I221,"Not deployed"),"")</f>
        <v/>
      </c>
    </row>
    <row r="222" customFormat="false" ht="15" hidden="false" customHeight="false" outlineLevel="0" collapsed="false">
      <c r="F222" s="30" t="str">
        <f aca="false">IF($A222="","",COUNTIFS(Deployments!$B$2:$B$1001,$A222,Deployments!$D$2:$D$1001,"&lt;&gt;Withdrawn"))</f>
        <v/>
      </c>
      <c r="G222" s="25" t="str">
        <f aca="false">IF($A222="","",SUMIFS(Deployments!$K$2:$K$1001,Deployments!$B$2:$B$1001,$A222))</f>
        <v/>
      </c>
      <c r="H222" s="23" t="str">
        <f aca="false">IF(N(F222)=0,"",IF(_xlfn.MAXIFS(Deployments!$G$2:$G$1001,Deployments!$B$2:$B$1001,$A222,Deployments!$D$2:$D$1001,"&lt;&gt;Withdrawn")=0,"",_xlfn.MAXIFS(Deployments!$G$2:$G$1001,Deployments!$B$2:$B$1001,$A222,Deployments!$D$2:$D$1001,"&lt;&gt;Withdrawn")))</f>
        <v/>
      </c>
      <c r="I222" s="24" t="str">
        <f aca="false">IF($A222="","",IF(F222=0,"Not deployed",IF(F222&gt;=Setup!$H$2,"High load","Deployed")))</f>
        <v/>
      </c>
      <c r="J222" s="35" t="str">
        <f aca="false">IF(N(F222)=0,"",F222+MIN(G222,999)/1000+(1000-ROW())/10000000)</f>
        <v/>
      </c>
      <c r="K222" s="30" t="str">
        <f aca="false">IF(I222="Not deployed",COUNTIF($I$2:I222,"Not deployed"),"")</f>
        <v/>
      </c>
    </row>
    <row r="223" customFormat="false" ht="15" hidden="false" customHeight="false" outlineLevel="0" collapsed="false">
      <c r="F223" s="30" t="str">
        <f aca="false">IF($A223="","",COUNTIFS(Deployments!$B$2:$B$1001,$A223,Deployments!$D$2:$D$1001,"&lt;&gt;Withdrawn"))</f>
        <v/>
      </c>
      <c r="G223" s="25" t="str">
        <f aca="false">IF($A223="","",SUMIFS(Deployments!$K$2:$K$1001,Deployments!$B$2:$B$1001,$A223))</f>
        <v/>
      </c>
      <c r="H223" s="23" t="str">
        <f aca="false">IF(N(F223)=0,"",IF(_xlfn.MAXIFS(Deployments!$G$2:$G$1001,Deployments!$B$2:$B$1001,$A223,Deployments!$D$2:$D$1001,"&lt;&gt;Withdrawn")=0,"",_xlfn.MAXIFS(Deployments!$G$2:$G$1001,Deployments!$B$2:$B$1001,$A223,Deployments!$D$2:$D$1001,"&lt;&gt;Withdrawn")))</f>
        <v/>
      </c>
      <c r="I223" s="24" t="str">
        <f aca="false">IF($A223="","",IF(F223=0,"Not deployed",IF(F223&gt;=Setup!$H$2,"High load","Deployed")))</f>
        <v/>
      </c>
      <c r="J223" s="35" t="str">
        <f aca="false">IF(N(F223)=0,"",F223+MIN(G223,999)/1000+(1000-ROW())/10000000)</f>
        <v/>
      </c>
      <c r="K223" s="30" t="str">
        <f aca="false">IF(I223="Not deployed",COUNTIF($I$2:I223,"Not deployed"),"")</f>
        <v/>
      </c>
    </row>
    <row r="224" customFormat="false" ht="15" hidden="false" customHeight="false" outlineLevel="0" collapsed="false">
      <c r="F224" s="30" t="str">
        <f aca="false">IF($A224="","",COUNTIFS(Deployments!$B$2:$B$1001,$A224,Deployments!$D$2:$D$1001,"&lt;&gt;Withdrawn"))</f>
        <v/>
      </c>
      <c r="G224" s="25" t="str">
        <f aca="false">IF($A224="","",SUMIFS(Deployments!$K$2:$K$1001,Deployments!$B$2:$B$1001,$A224))</f>
        <v/>
      </c>
      <c r="H224" s="23" t="str">
        <f aca="false">IF(N(F224)=0,"",IF(_xlfn.MAXIFS(Deployments!$G$2:$G$1001,Deployments!$B$2:$B$1001,$A224,Deployments!$D$2:$D$1001,"&lt;&gt;Withdrawn")=0,"",_xlfn.MAXIFS(Deployments!$G$2:$G$1001,Deployments!$B$2:$B$1001,$A224,Deployments!$D$2:$D$1001,"&lt;&gt;Withdrawn")))</f>
        <v/>
      </c>
      <c r="I224" s="24" t="str">
        <f aca="false">IF($A224="","",IF(F224=0,"Not deployed",IF(F224&gt;=Setup!$H$2,"High load","Deployed")))</f>
        <v/>
      </c>
      <c r="J224" s="35" t="str">
        <f aca="false">IF(N(F224)=0,"",F224+MIN(G224,999)/1000+(1000-ROW())/10000000)</f>
        <v/>
      </c>
      <c r="K224" s="30" t="str">
        <f aca="false">IF(I224="Not deployed",COUNTIF($I$2:I224,"Not deployed"),"")</f>
        <v/>
      </c>
    </row>
    <row r="225" customFormat="false" ht="15" hidden="false" customHeight="false" outlineLevel="0" collapsed="false">
      <c r="F225" s="30" t="str">
        <f aca="false">IF($A225="","",COUNTIFS(Deployments!$B$2:$B$1001,$A225,Deployments!$D$2:$D$1001,"&lt;&gt;Withdrawn"))</f>
        <v/>
      </c>
      <c r="G225" s="25" t="str">
        <f aca="false">IF($A225="","",SUMIFS(Deployments!$K$2:$K$1001,Deployments!$B$2:$B$1001,$A225))</f>
        <v/>
      </c>
      <c r="H225" s="23" t="str">
        <f aca="false">IF(N(F225)=0,"",IF(_xlfn.MAXIFS(Deployments!$G$2:$G$1001,Deployments!$B$2:$B$1001,$A225,Deployments!$D$2:$D$1001,"&lt;&gt;Withdrawn")=0,"",_xlfn.MAXIFS(Deployments!$G$2:$G$1001,Deployments!$B$2:$B$1001,$A225,Deployments!$D$2:$D$1001,"&lt;&gt;Withdrawn")))</f>
        <v/>
      </c>
      <c r="I225" s="24" t="str">
        <f aca="false">IF($A225="","",IF(F225=0,"Not deployed",IF(F225&gt;=Setup!$H$2,"High load","Deployed")))</f>
        <v/>
      </c>
      <c r="J225" s="35" t="str">
        <f aca="false">IF(N(F225)=0,"",F225+MIN(G225,999)/1000+(1000-ROW())/10000000)</f>
        <v/>
      </c>
      <c r="K225" s="30" t="str">
        <f aca="false">IF(I225="Not deployed",COUNTIF($I$2:I225,"Not deployed"),"")</f>
        <v/>
      </c>
    </row>
    <row r="226" customFormat="false" ht="15" hidden="false" customHeight="false" outlineLevel="0" collapsed="false">
      <c r="F226" s="30" t="str">
        <f aca="false">IF($A226="","",COUNTIFS(Deployments!$B$2:$B$1001,$A226,Deployments!$D$2:$D$1001,"&lt;&gt;Withdrawn"))</f>
        <v/>
      </c>
      <c r="G226" s="25" t="str">
        <f aca="false">IF($A226="","",SUMIFS(Deployments!$K$2:$K$1001,Deployments!$B$2:$B$1001,$A226))</f>
        <v/>
      </c>
      <c r="H226" s="23" t="str">
        <f aca="false">IF(N(F226)=0,"",IF(_xlfn.MAXIFS(Deployments!$G$2:$G$1001,Deployments!$B$2:$B$1001,$A226,Deployments!$D$2:$D$1001,"&lt;&gt;Withdrawn")=0,"",_xlfn.MAXIFS(Deployments!$G$2:$G$1001,Deployments!$B$2:$B$1001,$A226,Deployments!$D$2:$D$1001,"&lt;&gt;Withdrawn")))</f>
        <v/>
      </c>
      <c r="I226" s="24" t="str">
        <f aca="false">IF($A226="","",IF(F226=0,"Not deployed",IF(F226&gt;=Setup!$H$2,"High load","Deployed")))</f>
        <v/>
      </c>
      <c r="J226" s="35" t="str">
        <f aca="false">IF(N(F226)=0,"",F226+MIN(G226,999)/1000+(1000-ROW())/10000000)</f>
        <v/>
      </c>
      <c r="K226" s="30" t="str">
        <f aca="false">IF(I226="Not deployed",COUNTIF($I$2:I226,"Not deployed"),"")</f>
        <v/>
      </c>
    </row>
    <row r="227" customFormat="false" ht="15" hidden="false" customHeight="false" outlineLevel="0" collapsed="false">
      <c r="F227" s="30" t="str">
        <f aca="false">IF($A227="","",COUNTIFS(Deployments!$B$2:$B$1001,$A227,Deployments!$D$2:$D$1001,"&lt;&gt;Withdrawn"))</f>
        <v/>
      </c>
      <c r="G227" s="25" t="str">
        <f aca="false">IF($A227="","",SUMIFS(Deployments!$K$2:$K$1001,Deployments!$B$2:$B$1001,$A227))</f>
        <v/>
      </c>
      <c r="H227" s="23" t="str">
        <f aca="false">IF(N(F227)=0,"",IF(_xlfn.MAXIFS(Deployments!$G$2:$G$1001,Deployments!$B$2:$B$1001,$A227,Deployments!$D$2:$D$1001,"&lt;&gt;Withdrawn")=0,"",_xlfn.MAXIFS(Deployments!$G$2:$G$1001,Deployments!$B$2:$B$1001,$A227,Deployments!$D$2:$D$1001,"&lt;&gt;Withdrawn")))</f>
        <v/>
      </c>
      <c r="I227" s="24" t="str">
        <f aca="false">IF($A227="","",IF(F227=0,"Not deployed",IF(F227&gt;=Setup!$H$2,"High load","Deployed")))</f>
        <v/>
      </c>
      <c r="J227" s="35" t="str">
        <f aca="false">IF(N(F227)=0,"",F227+MIN(G227,999)/1000+(1000-ROW())/10000000)</f>
        <v/>
      </c>
      <c r="K227" s="30" t="str">
        <f aca="false">IF(I227="Not deployed",COUNTIF($I$2:I227,"Not deployed"),"")</f>
        <v/>
      </c>
    </row>
    <row r="228" customFormat="false" ht="15" hidden="false" customHeight="false" outlineLevel="0" collapsed="false">
      <c r="F228" s="30" t="str">
        <f aca="false">IF($A228="","",COUNTIFS(Deployments!$B$2:$B$1001,$A228,Deployments!$D$2:$D$1001,"&lt;&gt;Withdrawn"))</f>
        <v/>
      </c>
      <c r="G228" s="25" t="str">
        <f aca="false">IF($A228="","",SUMIFS(Deployments!$K$2:$K$1001,Deployments!$B$2:$B$1001,$A228))</f>
        <v/>
      </c>
      <c r="H228" s="23" t="str">
        <f aca="false">IF(N(F228)=0,"",IF(_xlfn.MAXIFS(Deployments!$G$2:$G$1001,Deployments!$B$2:$B$1001,$A228,Deployments!$D$2:$D$1001,"&lt;&gt;Withdrawn")=0,"",_xlfn.MAXIFS(Deployments!$G$2:$G$1001,Deployments!$B$2:$B$1001,$A228,Deployments!$D$2:$D$1001,"&lt;&gt;Withdrawn")))</f>
        <v/>
      </c>
      <c r="I228" s="24" t="str">
        <f aca="false">IF($A228="","",IF(F228=0,"Not deployed",IF(F228&gt;=Setup!$H$2,"High load","Deployed")))</f>
        <v/>
      </c>
      <c r="J228" s="35" t="str">
        <f aca="false">IF(N(F228)=0,"",F228+MIN(G228,999)/1000+(1000-ROW())/10000000)</f>
        <v/>
      </c>
      <c r="K228" s="30" t="str">
        <f aca="false">IF(I228="Not deployed",COUNTIF($I$2:I228,"Not deployed"),"")</f>
        <v/>
      </c>
    </row>
    <row r="229" customFormat="false" ht="15" hidden="false" customHeight="false" outlineLevel="0" collapsed="false">
      <c r="F229" s="30" t="str">
        <f aca="false">IF($A229="","",COUNTIFS(Deployments!$B$2:$B$1001,$A229,Deployments!$D$2:$D$1001,"&lt;&gt;Withdrawn"))</f>
        <v/>
      </c>
      <c r="G229" s="25" t="str">
        <f aca="false">IF($A229="","",SUMIFS(Deployments!$K$2:$K$1001,Deployments!$B$2:$B$1001,$A229))</f>
        <v/>
      </c>
      <c r="H229" s="23" t="str">
        <f aca="false">IF(N(F229)=0,"",IF(_xlfn.MAXIFS(Deployments!$G$2:$G$1001,Deployments!$B$2:$B$1001,$A229,Deployments!$D$2:$D$1001,"&lt;&gt;Withdrawn")=0,"",_xlfn.MAXIFS(Deployments!$G$2:$G$1001,Deployments!$B$2:$B$1001,$A229,Deployments!$D$2:$D$1001,"&lt;&gt;Withdrawn")))</f>
        <v/>
      </c>
      <c r="I229" s="24" t="str">
        <f aca="false">IF($A229="","",IF(F229=0,"Not deployed",IF(F229&gt;=Setup!$H$2,"High load","Deployed")))</f>
        <v/>
      </c>
      <c r="J229" s="35" t="str">
        <f aca="false">IF(N(F229)=0,"",F229+MIN(G229,999)/1000+(1000-ROW())/10000000)</f>
        <v/>
      </c>
      <c r="K229" s="30" t="str">
        <f aca="false">IF(I229="Not deployed",COUNTIF($I$2:I229,"Not deployed"),"")</f>
        <v/>
      </c>
    </row>
    <row r="230" customFormat="false" ht="15" hidden="false" customHeight="false" outlineLevel="0" collapsed="false">
      <c r="F230" s="30" t="str">
        <f aca="false">IF($A230="","",COUNTIFS(Deployments!$B$2:$B$1001,$A230,Deployments!$D$2:$D$1001,"&lt;&gt;Withdrawn"))</f>
        <v/>
      </c>
      <c r="G230" s="25" t="str">
        <f aca="false">IF($A230="","",SUMIFS(Deployments!$K$2:$K$1001,Deployments!$B$2:$B$1001,$A230))</f>
        <v/>
      </c>
      <c r="H230" s="23" t="str">
        <f aca="false">IF(N(F230)=0,"",IF(_xlfn.MAXIFS(Deployments!$G$2:$G$1001,Deployments!$B$2:$B$1001,$A230,Deployments!$D$2:$D$1001,"&lt;&gt;Withdrawn")=0,"",_xlfn.MAXIFS(Deployments!$G$2:$G$1001,Deployments!$B$2:$B$1001,$A230,Deployments!$D$2:$D$1001,"&lt;&gt;Withdrawn")))</f>
        <v/>
      </c>
      <c r="I230" s="24" t="str">
        <f aca="false">IF($A230="","",IF(F230=0,"Not deployed",IF(F230&gt;=Setup!$H$2,"High load","Deployed")))</f>
        <v/>
      </c>
      <c r="J230" s="35" t="str">
        <f aca="false">IF(N(F230)=0,"",F230+MIN(G230,999)/1000+(1000-ROW())/10000000)</f>
        <v/>
      </c>
      <c r="K230" s="30" t="str">
        <f aca="false">IF(I230="Not deployed",COUNTIF($I$2:I230,"Not deployed"),"")</f>
        <v/>
      </c>
    </row>
    <row r="231" customFormat="false" ht="15" hidden="false" customHeight="false" outlineLevel="0" collapsed="false">
      <c r="F231" s="30" t="str">
        <f aca="false">IF($A231="","",COUNTIFS(Deployments!$B$2:$B$1001,$A231,Deployments!$D$2:$D$1001,"&lt;&gt;Withdrawn"))</f>
        <v/>
      </c>
      <c r="G231" s="25" t="str">
        <f aca="false">IF($A231="","",SUMIFS(Deployments!$K$2:$K$1001,Deployments!$B$2:$B$1001,$A231))</f>
        <v/>
      </c>
      <c r="H231" s="23" t="str">
        <f aca="false">IF(N(F231)=0,"",IF(_xlfn.MAXIFS(Deployments!$G$2:$G$1001,Deployments!$B$2:$B$1001,$A231,Deployments!$D$2:$D$1001,"&lt;&gt;Withdrawn")=0,"",_xlfn.MAXIFS(Deployments!$G$2:$G$1001,Deployments!$B$2:$B$1001,$A231,Deployments!$D$2:$D$1001,"&lt;&gt;Withdrawn")))</f>
        <v/>
      </c>
      <c r="I231" s="24" t="str">
        <f aca="false">IF($A231="","",IF(F231=0,"Not deployed",IF(F231&gt;=Setup!$H$2,"High load","Deployed")))</f>
        <v/>
      </c>
      <c r="J231" s="35" t="str">
        <f aca="false">IF(N(F231)=0,"",F231+MIN(G231,999)/1000+(1000-ROW())/10000000)</f>
        <v/>
      </c>
      <c r="K231" s="30" t="str">
        <f aca="false">IF(I231="Not deployed",COUNTIF($I$2:I231,"Not deployed"),"")</f>
        <v/>
      </c>
    </row>
    <row r="232" customFormat="false" ht="15" hidden="false" customHeight="false" outlineLevel="0" collapsed="false">
      <c r="F232" s="30" t="str">
        <f aca="false">IF($A232="","",COUNTIFS(Deployments!$B$2:$B$1001,$A232,Deployments!$D$2:$D$1001,"&lt;&gt;Withdrawn"))</f>
        <v/>
      </c>
      <c r="G232" s="25" t="str">
        <f aca="false">IF($A232="","",SUMIFS(Deployments!$K$2:$K$1001,Deployments!$B$2:$B$1001,$A232))</f>
        <v/>
      </c>
      <c r="H232" s="23" t="str">
        <f aca="false">IF(N(F232)=0,"",IF(_xlfn.MAXIFS(Deployments!$G$2:$G$1001,Deployments!$B$2:$B$1001,$A232,Deployments!$D$2:$D$1001,"&lt;&gt;Withdrawn")=0,"",_xlfn.MAXIFS(Deployments!$G$2:$G$1001,Deployments!$B$2:$B$1001,$A232,Deployments!$D$2:$D$1001,"&lt;&gt;Withdrawn")))</f>
        <v/>
      </c>
      <c r="I232" s="24" t="str">
        <f aca="false">IF($A232="","",IF(F232=0,"Not deployed",IF(F232&gt;=Setup!$H$2,"High load","Deployed")))</f>
        <v/>
      </c>
      <c r="J232" s="35" t="str">
        <f aca="false">IF(N(F232)=0,"",F232+MIN(G232,999)/1000+(1000-ROW())/10000000)</f>
        <v/>
      </c>
      <c r="K232" s="30" t="str">
        <f aca="false">IF(I232="Not deployed",COUNTIF($I$2:I232,"Not deployed"),"")</f>
        <v/>
      </c>
    </row>
    <row r="233" customFormat="false" ht="15" hidden="false" customHeight="false" outlineLevel="0" collapsed="false">
      <c r="F233" s="30" t="str">
        <f aca="false">IF($A233="","",COUNTIFS(Deployments!$B$2:$B$1001,$A233,Deployments!$D$2:$D$1001,"&lt;&gt;Withdrawn"))</f>
        <v/>
      </c>
      <c r="G233" s="25" t="str">
        <f aca="false">IF($A233="","",SUMIFS(Deployments!$K$2:$K$1001,Deployments!$B$2:$B$1001,$A233))</f>
        <v/>
      </c>
      <c r="H233" s="23" t="str">
        <f aca="false">IF(N(F233)=0,"",IF(_xlfn.MAXIFS(Deployments!$G$2:$G$1001,Deployments!$B$2:$B$1001,$A233,Deployments!$D$2:$D$1001,"&lt;&gt;Withdrawn")=0,"",_xlfn.MAXIFS(Deployments!$G$2:$G$1001,Deployments!$B$2:$B$1001,$A233,Deployments!$D$2:$D$1001,"&lt;&gt;Withdrawn")))</f>
        <v/>
      </c>
      <c r="I233" s="24" t="str">
        <f aca="false">IF($A233="","",IF(F233=0,"Not deployed",IF(F233&gt;=Setup!$H$2,"High load","Deployed")))</f>
        <v/>
      </c>
      <c r="J233" s="35" t="str">
        <f aca="false">IF(N(F233)=0,"",F233+MIN(G233,999)/1000+(1000-ROW())/10000000)</f>
        <v/>
      </c>
      <c r="K233" s="30" t="str">
        <f aca="false">IF(I233="Not deployed",COUNTIF($I$2:I233,"Not deployed"),"")</f>
        <v/>
      </c>
    </row>
    <row r="234" customFormat="false" ht="15" hidden="false" customHeight="false" outlineLevel="0" collapsed="false">
      <c r="F234" s="30" t="str">
        <f aca="false">IF($A234="","",COUNTIFS(Deployments!$B$2:$B$1001,$A234,Deployments!$D$2:$D$1001,"&lt;&gt;Withdrawn"))</f>
        <v/>
      </c>
      <c r="G234" s="25" t="str">
        <f aca="false">IF($A234="","",SUMIFS(Deployments!$K$2:$K$1001,Deployments!$B$2:$B$1001,$A234))</f>
        <v/>
      </c>
      <c r="H234" s="23" t="str">
        <f aca="false">IF(N(F234)=0,"",IF(_xlfn.MAXIFS(Deployments!$G$2:$G$1001,Deployments!$B$2:$B$1001,$A234,Deployments!$D$2:$D$1001,"&lt;&gt;Withdrawn")=0,"",_xlfn.MAXIFS(Deployments!$G$2:$G$1001,Deployments!$B$2:$B$1001,$A234,Deployments!$D$2:$D$1001,"&lt;&gt;Withdrawn")))</f>
        <v/>
      </c>
      <c r="I234" s="24" t="str">
        <f aca="false">IF($A234="","",IF(F234=0,"Not deployed",IF(F234&gt;=Setup!$H$2,"High load","Deployed")))</f>
        <v/>
      </c>
      <c r="J234" s="35" t="str">
        <f aca="false">IF(N(F234)=0,"",F234+MIN(G234,999)/1000+(1000-ROW())/10000000)</f>
        <v/>
      </c>
      <c r="K234" s="30" t="str">
        <f aca="false">IF(I234="Not deployed",COUNTIF($I$2:I234,"Not deployed"),"")</f>
        <v/>
      </c>
    </row>
    <row r="235" customFormat="false" ht="15" hidden="false" customHeight="false" outlineLevel="0" collapsed="false">
      <c r="F235" s="30" t="str">
        <f aca="false">IF($A235="","",COUNTIFS(Deployments!$B$2:$B$1001,$A235,Deployments!$D$2:$D$1001,"&lt;&gt;Withdrawn"))</f>
        <v/>
      </c>
      <c r="G235" s="25" t="str">
        <f aca="false">IF($A235="","",SUMIFS(Deployments!$K$2:$K$1001,Deployments!$B$2:$B$1001,$A235))</f>
        <v/>
      </c>
      <c r="H235" s="23" t="str">
        <f aca="false">IF(N(F235)=0,"",IF(_xlfn.MAXIFS(Deployments!$G$2:$G$1001,Deployments!$B$2:$B$1001,$A235,Deployments!$D$2:$D$1001,"&lt;&gt;Withdrawn")=0,"",_xlfn.MAXIFS(Deployments!$G$2:$G$1001,Deployments!$B$2:$B$1001,$A235,Deployments!$D$2:$D$1001,"&lt;&gt;Withdrawn")))</f>
        <v/>
      </c>
      <c r="I235" s="24" t="str">
        <f aca="false">IF($A235="","",IF(F235=0,"Not deployed",IF(F235&gt;=Setup!$H$2,"High load","Deployed")))</f>
        <v/>
      </c>
      <c r="J235" s="35" t="str">
        <f aca="false">IF(N(F235)=0,"",F235+MIN(G235,999)/1000+(1000-ROW())/10000000)</f>
        <v/>
      </c>
      <c r="K235" s="30" t="str">
        <f aca="false">IF(I235="Not deployed",COUNTIF($I$2:I235,"Not deployed"),"")</f>
        <v/>
      </c>
    </row>
    <row r="236" customFormat="false" ht="15" hidden="false" customHeight="false" outlineLevel="0" collapsed="false">
      <c r="F236" s="30" t="str">
        <f aca="false">IF($A236="","",COUNTIFS(Deployments!$B$2:$B$1001,$A236,Deployments!$D$2:$D$1001,"&lt;&gt;Withdrawn"))</f>
        <v/>
      </c>
      <c r="G236" s="25" t="str">
        <f aca="false">IF($A236="","",SUMIFS(Deployments!$K$2:$K$1001,Deployments!$B$2:$B$1001,$A236))</f>
        <v/>
      </c>
      <c r="H236" s="23" t="str">
        <f aca="false">IF(N(F236)=0,"",IF(_xlfn.MAXIFS(Deployments!$G$2:$G$1001,Deployments!$B$2:$B$1001,$A236,Deployments!$D$2:$D$1001,"&lt;&gt;Withdrawn")=0,"",_xlfn.MAXIFS(Deployments!$G$2:$G$1001,Deployments!$B$2:$B$1001,$A236,Deployments!$D$2:$D$1001,"&lt;&gt;Withdrawn")))</f>
        <v/>
      </c>
      <c r="I236" s="24" t="str">
        <f aca="false">IF($A236="","",IF(F236=0,"Not deployed",IF(F236&gt;=Setup!$H$2,"High load","Deployed")))</f>
        <v/>
      </c>
      <c r="J236" s="35" t="str">
        <f aca="false">IF(N(F236)=0,"",F236+MIN(G236,999)/1000+(1000-ROW())/10000000)</f>
        <v/>
      </c>
      <c r="K236" s="30" t="str">
        <f aca="false">IF(I236="Not deployed",COUNTIF($I$2:I236,"Not deployed"),"")</f>
        <v/>
      </c>
    </row>
    <row r="237" customFormat="false" ht="15" hidden="false" customHeight="false" outlineLevel="0" collapsed="false">
      <c r="F237" s="30" t="str">
        <f aca="false">IF($A237="","",COUNTIFS(Deployments!$B$2:$B$1001,$A237,Deployments!$D$2:$D$1001,"&lt;&gt;Withdrawn"))</f>
        <v/>
      </c>
      <c r="G237" s="25" t="str">
        <f aca="false">IF($A237="","",SUMIFS(Deployments!$K$2:$K$1001,Deployments!$B$2:$B$1001,$A237))</f>
        <v/>
      </c>
      <c r="H237" s="23" t="str">
        <f aca="false">IF(N(F237)=0,"",IF(_xlfn.MAXIFS(Deployments!$G$2:$G$1001,Deployments!$B$2:$B$1001,$A237,Deployments!$D$2:$D$1001,"&lt;&gt;Withdrawn")=0,"",_xlfn.MAXIFS(Deployments!$G$2:$G$1001,Deployments!$B$2:$B$1001,$A237,Deployments!$D$2:$D$1001,"&lt;&gt;Withdrawn")))</f>
        <v/>
      </c>
      <c r="I237" s="24" t="str">
        <f aca="false">IF($A237="","",IF(F237=0,"Not deployed",IF(F237&gt;=Setup!$H$2,"High load","Deployed")))</f>
        <v/>
      </c>
      <c r="J237" s="35" t="str">
        <f aca="false">IF(N(F237)=0,"",F237+MIN(G237,999)/1000+(1000-ROW())/10000000)</f>
        <v/>
      </c>
      <c r="K237" s="30" t="str">
        <f aca="false">IF(I237="Not deployed",COUNTIF($I$2:I237,"Not deployed"),"")</f>
        <v/>
      </c>
    </row>
    <row r="238" customFormat="false" ht="15" hidden="false" customHeight="false" outlineLevel="0" collapsed="false">
      <c r="F238" s="30" t="str">
        <f aca="false">IF($A238="","",COUNTIFS(Deployments!$B$2:$B$1001,$A238,Deployments!$D$2:$D$1001,"&lt;&gt;Withdrawn"))</f>
        <v/>
      </c>
      <c r="G238" s="25" t="str">
        <f aca="false">IF($A238="","",SUMIFS(Deployments!$K$2:$K$1001,Deployments!$B$2:$B$1001,$A238))</f>
        <v/>
      </c>
      <c r="H238" s="23" t="str">
        <f aca="false">IF(N(F238)=0,"",IF(_xlfn.MAXIFS(Deployments!$G$2:$G$1001,Deployments!$B$2:$B$1001,$A238,Deployments!$D$2:$D$1001,"&lt;&gt;Withdrawn")=0,"",_xlfn.MAXIFS(Deployments!$G$2:$G$1001,Deployments!$B$2:$B$1001,$A238,Deployments!$D$2:$D$1001,"&lt;&gt;Withdrawn")))</f>
        <v/>
      </c>
      <c r="I238" s="24" t="str">
        <f aca="false">IF($A238="","",IF(F238=0,"Not deployed",IF(F238&gt;=Setup!$H$2,"High load","Deployed")))</f>
        <v/>
      </c>
      <c r="J238" s="35" t="str">
        <f aca="false">IF(N(F238)=0,"",F238+MIN(G238,999)/1000+(1000-ROW())/10000000)</f>
        <v/>
      </c>
      <c r="K238" s="30" t="str">
        <f aca="false">IF(I238="Not deployed",COUNTIF($I$2:I238,"Not deployed"),"")</f>
        <v/>
      </c>
    </row>
    <row r="239" customFormat="false" ht="15" hidden="false" customHeight="false" outlineLevel="0" collapsed="false">
      <c r="F239" s="30" t="str">
        <f aca="false">IF($A239="","",COUNTIFS(Deployments!$B$2:$B$1001,$A239,Deployments!$D$2:$D$1001,"&lt;&gt;Withdrawn"))</f>
        <v/>
      </c>
      <c r="G239" s="25" t="str">
        <f aca="false">IF($A239="","",SUMIFS(Deployments!$K$2:$K$1001,Deployments!$B$2:$B$1001,$A239))</f>
        <v/>
      </c>
      <c r="H239" s="23" t="str">
        <f aca="false">IF(N(F239)=0,"",IF(_xlfn.MAXIFS(Deployments!$G$2:$G$1001,Deployments!$B$2:$B$1001,$A239,Deployments!$D$2:$D$1001,"&lt;&gt;Withdrawn")=0,"",_xlfn.MAXIFS(Deployments!$G$2:$G$1001,Deployments!$B$2:$B$1001,$A239,Deployments!$D$2:$D$1001,"&lt;&gt;Withdrawn")))</f>
        <v/>
      </c>
      <c r="I239" s="24" t="str">
        <f aca="false">IF($A239="","",IF(F239=0,"Not deployed",IF(F239&gt;=Setup!$H$2,"High load","Deployed")))</f>
        <v/>
      </c>
      <c r="J239" s="35" t="str">
        <f aca="false">IF(N(F239)=0,"",F239+MIN(G239,999)/1000+(1000-ROW())/10000000)</f>
        <v/>
      </c>
      <c r="K239" s="30" t="str">
        <f aca="false">IF(I239="Not deployed",COUNTIF($I$2:I239,"Not deployed"),"")</f>
        <v/>
      </c>
    </row>
    <row r="240" customFormat="false" ht="15" hidden="false" customHeight="false" outlineLevel="0" collapsed="false">
      <c r="F240" s="30" t="str">
        <f aca="false">IF($A240="","",COUNTIFS(Deployments!$B$2:$B$1001,$A240,Deployments!$D$2:$D$1001,"&lt;&gt;Withdrawn"))</f>
        <v/>
      </c>
      <c r="G240" s="25" t="str">
        <f aca="false">IF($A240="","",SUMIFS(Deployments!$K$2:$K$1001,Deployments!$B$2:$B$1001,$A240))</f>
        <v/>
      </c>
      <c r="H240" s="23" t="str">
        <f aca="false">IF(N(F240)=0,"",IF(_xlfn.MAXIFS(Deployments!$G$2:$G$1001,Deployments!$B$2:$B$1001,$A240,Deployments!$D$2:$D$1001,"&lt;&gt;Withdrawn")=0,"",_xlfn.MAXIFS(Deployments!$G$2:$G$1001,Deployments!$B$2:$B$1001,$A240,Deployments!$D$2:$D$1001,"&lt;&gt;Withdrawn")))</f>
        <v/>
      </c>
      <c r="I240" s="24" t="str">
        <f aca="false">IF($A240="","",IF(F240=0,"Not deployed",IF(F240&gt;=Setup!$H$2,"High load","Deployed")))</f>
        <v/>
      </c>
      <c r="J240" s="35" t="str">
        <f aca="false">IF(N(F240)=0,"",F240+MIN(G240,999)/1000+(1000-ROW())/10000000)</f>
        <v/>
      </c>
      <c r="K240" s="30" t="str">
        <f aca="false">IF(I240="Not deployed",COUNTIF($I$2:I240,"Not deployed"),"")</f>
        <v/>
      </c>
    </row>
    <row r="241" customFormat="false" ht="15" hidden="false" customHeight="false" outlineLevel="0" collapsed="false">
      <c r="F241" s="30" t="str">
        <f aca="false">IF($A241="","",COUNTIFS(Deployments!$B$2:$B$1001,$A241,Deployments!$D$2:$D$1001,"&lt;&gt;Withdrawn"))</f>
        <v/>
      </c>
      <c r="G241" s="25" t="str">
        <f aca="false">IF($A241="","",SUMIFS(Deployments!$K$2:$K$1001,Deployments!$B$2:$B$1001,$A241))</f>
        <v/>
      </c>
      <c r="H241" s="23" t="str">
        <f aca="false">IF(N(F241)=0,"",IF(_xlfn.MAXIFS(Deployments!$G$2:$G$1001,Deployments!$B$2:$B$1001,$A241,Deployments!$D$2:$D$1001,"&lt;&gt;Withdrawn")=0,"",_xlfn.MAXIFS(Deployments!$G$2:$G$1001,Deployments!$B$2:$B$1001,$A241,Deployments!$D$2:$D$1001,"&lt;&gt;Withdrawn")))</f>
        <v/>
      </c>
      <c r="I241" s="24" t="str">
        <f aca="false">IF($A241="","",IF(F241=0,"Not deployed",IF(F241&gt;=Setup!$H$2,"High load","Deployed")))</f>
        <v/>
      </c>
      <c r="J241" s="35" t="str">
        <f aca="false">IF(N(F241)=0,"",F241+MIN(G241,999)/1000+(1000-ROW())/10000000)</f>
        <v/>
      </c>
      <c r="K241" s="30" t="str">
        <f aca="false">IF(I241="Not deployed",COUNTIF($I$2:I241,"Not deployed"),"")</f>
        <v/>
      </c>
    </row>
    <row r="242" customFormat="false" ht="15" hidden="false" customHeight="false" outlineLevel="0" collapsed="false">
      <c r="F242" s="30" t="str">
        <f aca="false">IF($A242="","",COUNTIFS(Deployments!$B$2:$B$1001,$A242,Deployments!$D$2:$D$1001,"&lt;&gt;Withdrawn"))</f>
        <v/>
      </c>
      <c r="G242" s="25" t="str">
        <f aca="false">IF($A242="","",SUMIFS(Deployments!$K$2:$K$1001,Deployments!$B$2:$B$1001,$A242))</f>
        <v/>
      </c>
      <c r="H242" s="23" t="str">
        <f aca="false">IF(N(F242)=0,"",IF(_xlfn.MAXIFS(Deployments!$G$2:$G$1001,Deployments!$B$2:$B$1001,$A242,Deployments!$D$2:$D$1001,"&lt;&gt;Withdrawn")=0,"",_xlfn.MAXIFS(Deployments!$G$2:$G$1001,Deployments!$B$2:$B$1001,$A242,Deployments!$D$2:$D$1001,"&lt;&gt;Withdrawn")))</f>
        <v/>
      </c>
      <c r="I242" s="24" t="str">
        <f aca="false">IF($A242="","",IF(F242=0,"Not deployed",IF(F242&gt;=Setup!$H$2,"High load","Deployed")))</f>
        <v/>
      </c>
      <c r="J242" s="35" t="str">
        <f aca="false">IF(N(F242)=0,"",F242+MIN(G242,999)/1000+(1000-ROW())/10000000)</f>
        <v/>
      </c>
      <c r="K242" s="30" t="str">
        <f aca="false">IF(I242="Not deployed",COUNTIF($I$2:I242,"Not deployed"),"")</f>
        <v/>
      </c>
    </row>
    <row r="243" customFormat="false" ht="15" hidden="false" customHeight="false" outlineLevel="0" collapsed="false">
      <c r="F243" s="30" t="str">
        <f aca="false">IF($A243="","",COUNTIFS(Deployments!$B$2:$B$1001,$A243,Deployments!$D$2:$D$1001,"&lt;&gt;Withdrawn"))</f>
        <v/>
      </c>
      <c r="G243" s="25" t="str">
        <f aca="false">IF($A243="","",SUMIFS(Deployments!$K$2:$K$1001,Deployments!$B$2:$B$1001,$A243))</f>
        <v/>
      </c>
      <c r="H243" s="23" t="str">
        <f aca="false">IF(N(F243)=0,"",IF(_xlfn.MAXIFS(Deployments!$G$2:$G$1001,Deployments!$B$2:$B$1001,$A243,Deployments!$D$2:$D$1001,"&lt;&gt;Withdrawn")=0,"",_xlfn.MAXIFS(Deployments!$G$2:$G$1001,Deployments!$B$2:$B$1001,$A243,Deployments!$D$2:$D$1001,"&lt;&gt;Withdrawn")))</f>
        <v/>
      </c>
      <c r="I243" s="24" t="str">
        <f aca="false">IF($A243="","",IF(F243=0,"Not deployed",IF(F243&gt;=Setup!$H$2,"High load","Deployed")))</f>
        <v/>
      </c>
      <c r="J243" s="35" t="str">
        <f aca="false">IF(N(F243)=0,"",F243+MIN(G243,999)/1000+(1000-ROW())/10000000)</f>
        <v/>
      </c>
      <c r="K243" s="30" t="str">
        <f aca="false">IF(I243="Not deployed",COUNTIF($I$2:I243,"Not deployed"),"")</f>
        <v/>
      </c>
    </row>
    <row r="244" customFormat="false" ht="15" hidden="false" customHeight="false" outlineLevel="0" collapsed="false">
      <c r="F244" s="30" t="str">
        <f aca="false">IF($A244="","",COUNTIFS(Deployments!$B$2:$B$1001,$A244,Deployments!$D$2:$D$1001,"&lt;&gt;Withdrawn"))</f>
        <v/>
      </c>
      <c r="G244" s="25" t="str">
        <f aca="false">IF($A244="","",SUMIFS(Deployments!$K$2:$K$1001,Deployments!$B$2:$B$1001,$A244))</f>
        <v/>
      </c>
      <c r="H244" s="23" t="str">
        <f aca="false">IF(N(F244)=0,"",IF(_xlfn.MAXIFS(Deployments!$G$2:$G$1001,Deployments!$B$2:$B$1001,$A244,Deployments!$D$2:$D$1001,"&lt;&gt;Withdrawn")=0,"",_xlfn.MAXIFS(Deployments!$G$2:$G$1001,Deployments!$B$2:$B$1001,$A244,Deployments!$D$2:$D$1001,"&lt;&gt;Withdrawn")))</f>
        <v/>
      </c>
      <c r="I244" s="24" t="str">
        <f aca="false">IF($A244="","",IF(F244=0,"Not deployed",IF(F244&gt;=Setup!$H$2,"High load","Deployed")))</f>
        <v/>
      </c>
      <c r="J244" s="35" t="str">
        <f aca="false">IF(N(F244)=0,"",F244+MIN(G244,999)/1000+(1000-ROW())/10000000)</f>
        <v/>
      </c>
      <c r="K244" s="30" t="str">
        <f aca="false">IF(I244="Not deployed",COUNTIF($I$2:I244,"Not deployed"),"")</f>
        <v/>
      </c>
    </row>
    <row r="245" customFormat="false" ht="15" hidden="false" customHeight="false" outlineLevel="0" collapsed="false">
      <c r="F245" s="30" t="str">
        <f aca="false">IF($A245="","",COUNTIFS(Deployments!$B$2:$B$1001,$A245,Deployments!$D$2:$D$1001,"&lt;&gt;Withdrawn"))</f>
        <v/>
      </c>
      <c r="G245" s="25" t="str">
        <f aca="false">IF($A245="","",SUMIFS(Deployments!$K$2:$K$1001,Deployments!$B$2:$B$1001,$A245))</f>
        <v/>
      </c>
      <c r="H245" s="23" t="str">
        <f aca="false">IF(N(F245)=0,"",IF(_xlfn.MAXIFS(Deployments!$G$2:$G$1001,Deployments!$B$2:$B$1001,$A245,Deployments!$D$2:$D$1001,"&lt;&gt;Withdrawn")=0,"",_xlfn.MAXIFS(Deployments!$G$2:$G$1001,Deployments!$B$2:$B$1001,$A245,Deployments!$D$2:$D$1001,"&lt;&gt;Withdrawn")))</f>
        <v/>
      </c>
      <c r="I245" s="24" t="str">
        <f aca="false">IF($A245="","",IF(F245=0,"Not deployed",IF(F245&gt;=Setup!$H$2,"High load","Deployed")))</f>
        <v/>
      </c>
      <c r="J245" s="35" t="str">
        <f aca="false">IF(N(F245)=0,"",F245+MIN(G245,999)/1000+(1000-ROW())/10000000)</f>
        <v/>
      </c>
      <c r="K245" s="30" t="str">
        <f aca="false">IF(I245="Not deployed",COUNTIF($I$2:I245,"Not deployed"),"")</f>
        <v/>
      </c>
    </row>
    <row r="246" customFormat="false" ht="15" hidden="false" customHeight="false" outlineLevel="0" collapsed="false">
      <c r="F246" s="30" t="str">
        <f aca="false">IF($A246="","",COUNTIFS(Deployments!$B$2:$B$1001,$A246,Deployments!$D$2:$D$1001,"&lt;&gt;Withdrawn"))</f>
        <v/>
      </c>
      <c r="G246" s="25" t="str">
        <f aca="false">IF($A246="","",SUMIFS(Deployments!$K$2:$K$1001,Deployments!$B$2:$B$1001,$A246))</f>
        <v/>
      </c>
      <c r="H246" s="23" t="str">
        <f aca="false">IF(N(F246)=0,"",IF(_xlfn.MAXIFS(Deployments!$G$2:$G$1001,Deployments!$B$2:$B$1001,$A246,Deployments!$D$2:$D$1001,"&lt;&gt;Withdrawn")=0,"",_xlfn.MAXIFS(Deployments!$G$2:$G$1001,Deployments!$B$2:$B$1001,$A246,Deployments!$D$2:$D$1001,"&lt;&gt;Withdrawn")))</f>
        <v/>
      </c>
      <c r="I246" s="24" t="str">
        <f aca="false">IF($A246="","",IF(F246=0,"Not deployed",IF(F246&gt;=Setup!$H$2,"High load","Deployed")))</f>
        <v/>
      </c>
      <c r="J246" s="35" t="str">
        <f aca="false">IF(N(F246)=0,"",F246+MIN(G246,999)/1000+(1000-ROW())/10000000)</f>
        <v/>
      </c>
      <c r="K246" s="30" t="str">
        <f aca="false">IF(I246="Not deployed",COUNTIF($I$2:I246,"Not deployed"),"")</f>
        <v/>
      </c>
    </row>
    <row r="247" customFormat="false" ht="15" hidden="false" customHeight="false" outlineLevel="0" collapsed="false">
      <c r="F247" s="30" t="str">
        <f aca="false">IF($A247="","",COUNTIFS(Deployments!$B$2:$B$1001,$A247,Deployments!$D$2:$D$1001,"&lt;&gt;Withdrawn"))</f>
        <v/>
      </c>
      <c r="G247" s="25" t="str">
        <f aca="false">IF($A247="","",SUMIFS(Deployments!$K$2:$K$1001,Deployments!$B$2:$B$1001,$A247))</f>
        <v/>
      </c>
      <c r="H247" s="23" t="str">
        <f aca="false">IF(N(F247)=0,"",IF(_xlfn.MAXIFS(Deployments!$G$2:$G$1001,Deployments!$B$2:$B$1001,$A247,Deployments!$D$2:$D$1001,"&lt;&gt;Withdrawn")=0,"",_xlfn.MAXIFS(Deployments!$G$2:$G$1001,Deployments!$B$2:$B$1001,$A247,Deployments!$D$2:$D$1001,"&lt;&gt;Withdrawn")))</f>
        <v/>
      </c>
      <c r="I247" s="24" t="str">
        <f aca="false">IF($A247="","",IF(F247=0,"Not deployed",IF(F247&gt;=Setup!$H$2,"High load","Deployed")))</f>
        <v/>
      </c>
      <c r="J247" s="35" t="str">
        <f aca="false">IF(N(F247)=0,"",F247+MIN(G247,999)/1000+(1000-ROW())/10000000)</f>
        <v/>
      </c>
      <c r="K247" s="30" t="str">
        <f aca="false">IF(I247="Not deployed",COUNTIF($I$2:I247,"Not deployed"),"")</f>
        <v/>
      </c>
    </row>
    <row r="248" customFormat="false" ht="15" hidden="false" customHeight="false" outlineLevel="0" collapsed="false">
      <c r="F248" s="30" t="str">
        <f aca="false">IF($A248="","",COUNTIFS(Deployments!$B$2:$B$1001,$A248,Deployments!$D$2:$D$1001,"&lt;&gt;Withdrawn"))</f>
        <v/>
      </c>
      <c r="G248" s="25" t="str">
        <f aca="false">IF($A248="","",SUMIFS(Deployments!$K$2:$K$1001,Deployments!$B$2:$B$1001,$A248))</f>
        <v/>
      </c>
      <c r="H248" s="23" t="str">
        <f aca="false">IF(N(F248)=0,"",IF(_xlfn.MAXIFS(Deployments!$G$2:$G$1001,Deployments!$B$2:$B$1001,$A248,Deployments!$D$2:$D$1001,"&lt;&gt;Withdrawn")=0,"",_xlfn.MAXIFS(Deployments!$G$2:$G$1001,Deployments!$B$2:$B$1001,$A248,Deployments!$D$2:$D$1001,"&lt;&gt;Withdrawn")))</f>
        <v/>
      </c>
      <c r="I248" s="24" t="str">
        <f aca="false">IF($A248="","",IF(F248=0,"Not deployed",IF(F248&gt;=Setup!$H$2,"High load","Deployed")))</f>
        <v/>
      </c>
      <c r="J248" s="35" t="str">
        <f aca="false">IF(N(F248)=0,"",F248+MIN(G248,999)/1000+(1000-ROW())/10000000)</f>
        <v/>
      </c>
      <c r="K248" s="30" t="str">
        <f aca="false">IF(I248="Not deployed",COUNTIF($I$2:I248,"Not deployed"),"")</f>
        <v/>
      </c>
    </row>
    <row r="249" customFormat="false" ht="15" hidden="false" customHeight="false" outlineLevel="0" collapsed="false">
      <c r="F249" s="30" t="str">
        <f aca="false">IF($A249="","",COUNTIFS(Deployments!$B$2:$B$1001,$A249,Deployments!$D$2:$D$1001,"&lt;&gt;Withdrawn"))</f>
        <v/>
      </c>
      <c r="G249" s="25" t="str">
        <f aca="false">IF($A249="","",SUMIFS(Deployments!$K$2:$K$1001,Deployments!$B$2:$B$1001,$A249))</f>
        <v/>
      </c>
      <c r="H249" s="23" t="str">
        <f aca="false">IF(N(F249)=0,"",IF(_xlfn.MAXIFS(Deployments!$G$2:$G$1001,Deployments!$B$2:$B$1001,$A249,Deployments!$D$2:$D$1001,"&lt;&gt;Withdrawn")=0,"",_xlfn.MAXIFS(Deployments!$G$2:$G$1001,Deployments!$B$2:$B$1001,$A249,Deployments!$D$2:$D$1001,"&lt;&gt;Withdrawn")))</f>
        <v/>
      </c>
      <c r="I249" s="24" t="str">
        <f aca="false">IF($A249="","",IF(F249=0,"Not deployed",IF(F249&gt;=Setup!$H$2,"High load","Deployed")))</f>
        <v/>
      </c>
      <c r="J249" s="35" t="str">
        <f aca="false">IF(N(F249)=0,"",F249+MIN(G249,999)/1000+(1000-ROW())/10000000)</f>
        <v/>
      </c>
      <c r="K249" s="30" t="str">
        <f aca="false">IF(I249="Not deployed",COUNTIF($I$2:I249,"Not deployed"),"")</f>
        <v/>
      </c>
    </row>
    <row r="250" customFormat="false" ht="15" hidden="false" customHeight="false" outlineLevel="0" collapsed="false">
      <c r="F250" s="30" t="str">
        <f aca="false">IF($A250="","",COUNTIFS(Deployments!$B$2:$B$1001,$A250,Deployments!$D$2:$D$1001,"&lt;&gt;Withdrawn"))</f>
        <v/>
      </c>
      <c r="G250" s="25" t="str">
        <f aca="false">IF($A250="","",SUMIFS(Deployments!$K$2:$K$1001,Deployments!$B$2:$B$1001,$A250))</f>
        <v/>
      </c>
      <c r="H250" s="23" t="str">
        <f aca="false">IF(N(F250)=0,"",IF(_xlfn.MAXIFS(Deployments!$G$2:$G$1001,Deployments!$B$2:$B$1001,$A250,Deployments!$D$2:$D$1001,"&lt;&gt;Withdrawn")=0,"",_xlfn.MAXIFS(Deployments!$G$2:$G$1001,Deployments!$B$2:$B$1001,$A250,Deployments!$D$2:$D$1001,"&lt;&gt;Withdrawn")))</f>
        <v/>
      </c>
      <c r="I250" s="24" t="str">
        <f aca="false">IF($A250="","",IF(F250=0,"Not deployed",IF(F250&gt;=Setup!$H$2,"High load","Deployed")))</f>
        <v/>
      </c>
      <c r="J250" s="35" t="str">
        <f aca="false">IF(N(F250)=0,"",F250+MIN(G250,999)/1000+(1000-ROW())/10000000)</f>
        <v/>
      </c>
      <c r="K250" s="30" t="str">
        <f aca="false">IF(I250="Not deployed",COUNTIF($I$2:I250,"Not deployed"),"")</f>
        <v/>
      </c>
    </row>
    <row r="251" customFormat="false" ht="15" hidden="false" customHeight="false" outlineLevel="0" collapsed="false">
      <c r="F251" s="30" t="str">
        <f aca="false">IF($A251="","",COUNTIFS(Deployments!$B$2:$B$1001,$A251,Deployments!$D$2:$D$1001,"&lt;&gt;Withdrawn"))</f>
        <v/>
      </c>
      <c r="G251" s="25" t="str">
        <f aca="false">IF($A251="","",SUMIFS(Deployments!$K$2:$K$1001,Deployments!$B$2:$B$1001,$A251))</f>
        <v/>
      </c>
      <c r="H251" s="23" t="str">
        <f aca="false">IF(N(F251)=0,"",IF(_xlfn.MAXIFS(Deployments!$G$2:$G$1001,Deployments!$B$2:$B$1001,$A251,Deployments!$D$2:$D$1001,"&lt;&gt;Withdrawn")=0,"",_xlfn.MAXIFS(Deployments!$G$2:$G$1001,Deployments!$B$2:$B$1001,$A251,Deployments!$D$2:$D$1001,"&lt;&gt;Withdrawn")))</f>
        <v/>
      </c>
      <c r="I251" s="24" t="str">
        <f aca="false">IF($A251="","",IF(F251=0,"Not deployed",IF(F251&gt;=Setup!$H$2,"High load","Deployed")))</f>
        <v/>
      </c>
      <c r="J251" s="35" t="str">
        <f aca="false">IF(N(F251)=0,"",F251+MIN(G251,999)/1000+(1000-ROW())/10000000)</f>
        <v/>
      </c>
      <c r="K251" s="30" t="str">
        <f aca="false">IF(I251="Not deployed",COUNTIF($I$2:I251,"Not deployed"),"")</f>
        <v/>
      </c>
    </row>
    <row r="252" customFormat="false" ht="15" hidden="false" customHeight="false" outlineLevel="0" collapsed="false">
      <c r="F252" s="30" t="str">
        <f aca="false">IF($A252="","",COUNTIFS(Deployments!$B$2:$B$1001,$A252,Deployments!$D$2:$D$1001,"&lt;&gt;Withdrawn"))</f>
        <v/>
      </c>
      <c r="G252" s="25" t="str">
        <f aca="false">IF($A252="","",SUMIFS(Deployments!$K$2:$K$1001,Deployments!$B$2:$B$1001,$A252))</f>
        <v/>
      </c>
      <c r="H252" s="23" t="str">
        <f aca="false">IF(N(F252)=0,"",IF(_xlfn.MAXIFS(Deployments!$G$2:$G$1001,Deployments!$B$2:$B$1001,$A252,Deployments!$D$2:$D$1001,"&lt;&gt;Withdrawn")=0,"",_xlfn.MAXIFS(Deployments!$G$2:$G$1001,Deployments!$B$2:$B$1001,$A252,Deployments!$D$2:$D$1001,"&lt;&gt;Withdrawn")))</f>
        <v/>
      </c>
      <c r="I252" s="24" t="str">
        <f aca="false">IF($A252="","",IF(F252=0,"Not deployed",IF(F252&gt;=Setup!$H$2,"High load","Deployed")))</f>
        <v/>
      </c>
      <c r="J252" s="35" t="str">
        <f aca="false">IF(N(F252)=0,"",F252+MIN(G252,999)/1000+(1000-ROW())/10000000)</f>
        <v/>
      </c>
      <c r="K252" s="30" t="str">
        <f aca="false">IF(I252="Not deployed",COUNTIF($I$2:I252,"Not deployed"),"")</f>
        <v/>
      </c>
    </row>
    <row r="253" customFormat="false" ht="15" hidden="false" customHeight="false" outlineLevel="0" collapsed="false">
      <c r="F253" s="30" t="str">
        <f aca="false">IF($A253="","",COUNTIFS(Deployments!$B$2:$B$1001,$A253,Deployments!$D$2:$D$1001,"&lt;&gt;Withdrawn"))</f>
        <v/>
      </c>
      <c r="G253" s="25" t="str">
        <f aca="false">IF($A253="","",SUMIFS(Deployments!$K$2:$K$1001,Deployments!$B$2:$B$1001,$A253))</f>
        <v/>
      </c>
      <c r="H253" s="23" t="str">
        <f aca="false">IF(N(F253)=0,"",IF(_xlfn.MAXIFS(Deployments!$G$2:$G$1001,Deployments!$B$2:$B$1001,$A253,Deployments!$D$2:$D$1001,"&lt;&gt;Withdrawn")=0,"",_xlfn.MAXIFS(Deployments!$G$2:$G$1001,Deployments!$B$2:$B$1001,$A253,Deployments!$D$2:$D$1001,"&lt;&gt;Withdrawn")))</f>
        <v/>
      </c>
      <c r="I253" s="24" t="str">
        <f aca="false">IF($A253="","",IF(F253=0,"Not deployed",IF(F253&gt;=Setup!$H$2,"High load","Deployed")))</f>
        <v/>
      </c>
      <c r="J253" s="35" t="str">
        <f aca="false">IF(N(F253)=0,"",F253+MIN(G253,999)/1000+(1000-ROW())/10000000)</f>
        <v/>
      </c>
      <c r="K253" s="30" t="str">
        <f aca="false">IF(I253="Not deployed",COUNTIF($I$2:I253,"Not deployed"),"")</f>
        <v/>
      </c>
    </row>
    <row r="254" customFormat="false" ht="15" hidden="false" customHeight="false" outlineLevel="0" collapsed="false">
      <c r="F254" s="30" t="str">
        <f aca="false">IF($A254="","",COUNTIFS(Deployments!$B$2:$B$1001,$A254,Deployments!$D$2:$D$1001,"&lt;&gt;Withdrawn"))</f>
        <v/>
      </c>
      <c r="G254" s="25" t="str">
        <f aca="false">IF($A254="","",SUMIFS(Deployments!$K$2:$K$1001,Deployments!$B$2:$B$1001,$A254))</f>
        <v/>
      </c>
      <c r="H254" s="23" t="str">
        <f aca="false">IF(N(F254)=0,"",IF(_xlfn.MAXIFS(Deployments!$G$2:$G$1001,Deployments!$B$2:$B$1001,$A254,Deployments!$D$2:$D$1001,"&lt;&gt;Withdrawn")=0,"",_xlfn.MAXIFS(Deployments!$G$2:$G$1001,Deployments!$B$2:$B$1001,$A254,Deployments!$D$2:$D$1001,"&lt;&gt;Withdrawn")))</f>
        <v/>
      </c>
      <c r="I254" s="24" t="str">
        <f aca="false">IF($A254="","",IF(F254=0,"Not deployed",IF(F254&gt;=Setup!$H$2,"High load","Deployed")))</f>
        <v/>
      </c>
      <c r="J254" s="35" t="str">
        <f aca="false">IF(N(F254)=0,"",F254+MIN(G254,999)/1000+(1000-ROW())/10000000)</f>
        <v/>
      </c>
      <c r="K254" s="30" t="str">
        <f aca="false">IF(I254="Not deployed",COUNTIF($I$2:I254,"Not deployed"),"")</f>
        <v/>
      </c>
    </row>
    <row r="255" customFormat="false" ht="15" hidden="false" customHeight="false" outlineLevel="0" collapsed="false">
      <c r="F255" s="30" t="str">
        <f aca="false">IF($A255="","",COUNTIFS(Deployments!$B$2:$B$1001,$A255,Deployments!$D$2:$D$1001,"&lt;&gt;Withdrawn"))</f>
        <v/>
      </c>
      <c r="G255" s="25" t="str">
        <f aca="false">IF($A255="","",SUMIFS(Deployments!$K$2:$K$1001,Deployments!$B$2:$B$1001,$A255))</f>
        <v/>
      </c>
      <c r="H255" s="23" t="str">
        <f aca="false">IF(N(F255)=0,"",IF(_xlfn.MAXIFS(Deployments!$G$2:$G$1001,Deployments!$B$2:$B$1001,$A255,Deployments!$D$2:$D$1001,"&lt;&gt;Withdrawn")=0,"",_xlfn.MAXIFS(Deployments!$G$2:$G$1001,Deployments!$B$2:$B$1001,$A255,Deployments!$D$2:$D$1001,"&lt;&gt;Withdrawn")))</f>
        <v/>
      </c>
      <c r="I255" s="24" t="str">
        <f aca="false">IF($A255="","",IF(F255=0,"Not deployed",IF(F255&gt;=Setup!$H$2,"High load","Deployed")))</f>
        <v/>
      </c>
      <c r="J255" s="35" t="str">
        <f aca="false">IF(N(F255)=0,"",F255+MIN(G255,999)/1000+(1000-ROW())/10000000)</f>
        <v/>
      </c>
      <c r="K255" s="30" t="str">
        <f aca="false">IF(I255="Not deployed",COUNTIF($I$2:I255,"Not deployed"),"")</f>
        <v/>
      </c>
    </row>
    <row r="256" customFormat="false" ht="15" hidden="false" customHeight="false" outlineLevel="0" collapsed="false">
      <c r="F256" s="30" t="str">
        <f aca="false">IF($A256="","",COUNTIFS(Deployments!$B$2:$B$1001,$A256,Deployments!$D$2:$D$1001,"&lt;&gt;Withdrawn"))</f>
        <v/>
      </c>
      <c r="G256" s="25" t="str">
        <f aca="false">IF($A256="","",SUMIFS(Deployments!$K$2:$K$1001,Deployments!$B$2:$B$1001,$A256))</f>
        <v/>
      </c>
      <c r="H256" s="23" t="str">
        <f aca="false">IF(N(F256)=0,"",IF(_xlfn.MAXIFS(Deployments!$G$2:$G$1001,Deployments!$B$2:$B$1001,$A256,Deployments!$D$2:$D$1001,"&lt;&gt;Withdrawn")=0,"",_xlfn.MAXIFS(Deployments!$G$2:$G$1001,Deployments!$B$2:$B$1001,$A256,Deployments!$D$2:$D$1001,"&lt;&gt;Withdrawn")))</f>
        <v/>
      </c>
      <c r="I256" s="24" t="str">
        <f aca="false">IF($A256="","",IF(F256=0,"Not deployed",IF(F256&gt;=Setup!$H$2,"High load","Deployed")))</f>
        <v/>
      </c>
      <c r="J256" s="35" t="str">
        <f aca="false">IF(N(F256)=0,"",F256+MIN(G256,999)/1000+(1000-ROW())/10000000)</f>
        <v/>
      </c>
      <c r="K256" s="30" t="str">
        <f aca="false">IF(I256="Not deployed",COUNTIF($I$2:I256,"Not deployed"),"")</f>
        <v/>
      </c>
    </row>
    <row r="257" customFormat="false" ht="15" hidden="false" customHeight="false" outlineLevel="0" collapsed="false">
      <c r="F257" s="30" t="str">
        <f aca="false">IF($A257="","",COUNTIFS(Deployments!$B$2:$B$1001,$A257,Deployments!$D$2:$D$1001,"&lt;&gt;Withdrawn"))</f>
        <v/>
      </c>
      <c r="G257" s="25" t="str">
        <f aca="false">IF($A257="","",SUMIFS(Deployments!$K$2:$K$1001,Deployments!$B$2:$B$1001,$A257))</f>
        <v/>
      </c>
      <c r="H257" s="23" t="str">
        <f aca="false">IF(N(F257)=0,"",IF(_xlfn.MAXIFS(Deployments!$G$2:$G$1001,Deployments!$B$2:$B$1001,$A257,Deployments!$D$2:$D$1001,"&lt;&gt;Withdrawn")=0,"",_xlfn.MAXIFS(Deployments!$G$2:$G$1001,Deployments!$B$2:$B$1001,$A257,Deployments!$D$2:$D$1001,"&lt;&gt;Withdrawn")))</f>
        <v/>
      </c>
      <c r="I257" s="24" t="str">
        <f aca="false">IF($A257="","",IF(F257=0,"Not deployed",IF(F257&gt;=Setup!$H$2,"High load","Deployed")))</f>
        <v/>
      </c>
      <c r="J257" s="35" t="str">
        <f aca="false">IF(N(F257)=0,"",F257+MIN(G257,999)/1000+(1000-ROW())/10000000)</f>
        <v/>
      </c>
      <c r="K257" s="30" t="str">
        <f aca="false">IF(I257="Not deployed",COUNTIF($I$2:I257,"Not deployed"),"")</f>
        <v/>
      </c>
    </row>
    <row r="258" customFormat="false" ht="15" hidden="false" customHeight="false" outlineLevel="0" collapsed="false">
      <c r="F258" s="30" t="str">
        <f aca="false">IF($A258="","",COUNTIFS(Deployments!$B$2:$B$1001,$A258,Deployments!$D$2:$D$1001,"&lt;&gt;Withdrawn"))</f>
        <v/>
      </c>
      <c r="G258" s="25" t="str">
        <f aca="false">IF($A258="","",SUMIFS(Deployments!$K$2:$K$1001,Deployments!$B$2:$B$1001,$A258))</f>
        <v/>
      </c>
      <c r="H258" s="23" t="str">
        <f aca="false">IF(N(F258)=0,"",IF(_xlfn.MAXIFS(Deployments!$G$2:$G$1001,Deployments!$B$2:$B$1001,$A258,Deployments!$D$2:$D$1001,"&lt;&gt;Withdrawn")=0,"",_xlfn.MAXIFS(Deployments!$G$2:$G$1001,Deployments!$B$2:$B$1001,$A258,Deployments!$D$2:$D$1001,"&lt;&gt;Withdrawn")))</f>
        <v/>
      </c>
      <c r="I258" s="24" t="str">
        <f aca="false">IF($A258="","",IF(F258=0,"Not deployed",IF(F258&gt;=Setup!$H$2,"High load","Deployed")))</f>
        <v/>
      </c>
      <c r="J258" s="35" t="str">
        <f aca="false">IF(N(F258)=0,"",F258+MIN(G258,999)/1000+(1000-ROW())/10000000)</f>
        <v/>
      </c>
      <c r="K258" s="30" t="str">
        <f aca="false">IF(I258="Not deployed",COUNTIF($I$2:I258,"Not deployed"),"")</f>
        <v/>
      </c>
    </row>
    <row r="259" customFormat="false" ht="15" hidden="false" customHeight="false" outlineLevel="0" collapsed="false">
      <c r="F259" s="30" t="str">
        <f aca="false">IF($A259="","",COUNTIFS(Deployments!$B$2:$B$1001,$A259,Deployments!$D$2:$D$1001,"&lt;&gt;Withdrawn"))</f>
        <v/>
      </c>
      <c r="G259" s="25" t="str">
        <f aca="false">IF($A259="","",SUMIFS(Deployments!$K$2:$K$1001,Deployments!$B$2:$B$1001,$A259))</f>
        <v/>
      </c>
      <c r="H259" s="23" t="str">
        <f aca="false">IF(N(F259)=0,"",IF(_xlfn.MAXIFS(Deployments!$G$2:$G$1001,Deployments!$B$2:$B$1001,$A259,Deployments!$D$2:$D$1001,"&lt;&gt;Withdrawn")=0,"",_xlfn.MAXIFS(Deployments!$G$2:$G$1001,Deployments!$B$2:$B$1001,$A259,Deployments!$D$2:$D$1001,"&lt;&gt;Withdrawn")))</f>
        <v/>
      </c>
      <c r="I259" s="24" t="str">
        <f aca="false">IF($A259="","",IF(F259=0,"Not deployed",IF(F259&gt;=Setup!$H$2,"High load","Deployed")))</f>
        <v/>
      </c>
      <c r="J259" s="35" t="str">
        <f aca="false">IF(N(F259)=0,"",F259+MIN(G259,999)/1000+(1000-ROW())/10000000)</f>
        <v/>
      </c>
      <c r="K259" s="30" t="str">
        <f aca="false">IF(I259="Not deployed",COUNTIF($I$2:I259,"Not deployed"),"")</f>
        <v/>
      </c>
    </row>
    <row r="260" customFormat="false" ht="15" hidden="false" customHeight="false" outlineLevel="0" collapsed="false">
      <c r="F260" s="30" t="str">
        <f aca="false">IF($A260="","",COUNTIFS(Deployments!$B$2:$B$1001,$A260,Deployments!$D$2:$D$1001,"&lt;&gt;Withdrawn"))</f>
        <v/>
      </c>
      <c r="G260" s="25" t="str">
        <f aca="false">IF($A260="","",SUMIFS(Deployments!$K$2:$K$1001,Deployments!$B$2:$B$1001,$A260))</f>
        <v/>
      </c>
      <c r="H260" s="23" t="str">
        <f aca="false">IF(N(F260)=0,"",IF(_xlfn.MAXIFS(Deployments!$G$2:$G$1001,Deployments!$B$2:$B$1001,$A260,Deployments!$D$2:$D$1001,"&lt;&gt;Withdrawn")=0,"",_xlfn.MAXIFS(Deployments!$G$2:$G$1001,Deployments!$B$2:$B$1001,$A260,Deployments!$D$2:$D$1001,"&lt;&gt;Withdrawn")))</f>
        <v/>
      </c>
      <c r="I260" s="24" t="str">
        <f aca="false">IF($A260="","",IF(F260=0,"Not deployed",IF(F260&gt;=Setup!$H$2,"High load","Deployed")))</f>
        <v/>
      </c>
      <c r="J260" s="35" t="str">
        <f aca="false">IF(N(F260)=0,"",F260+MIN(G260,999)/1000+(1000-ROW())/10000000)</f>
        <v/>
      </c>
      <c r="K260" s="30" t="str">
        <f aca="false">IF(I260="Not deployed",COUNTIF($I$2:I260,"Not deployed"),"")</f>
        <v/>
      </c>
    </row>
    <row r="261" customFormat="false" ht="15" hidden="false" customHeight="false" outlineLevel="0" collapsed="false">
      <c r="F261" s="30" t="str">
        <f aca="false">IF($A261="","",COUNTIFS(Deployments!$B$2:$B$1001,$A261,Deployments!$D$2:$D$1001,"&lt;&gt;Withdrawn"))</f>
        <v/>
      </c>
      <c r="G261" s="25" t="str">
        <f aca="false">IF($A261="","",SUMIFS(Deployments!$K$2:$K$1001,Deployments!$B$2:$B$1001,$A261))</f>
        <v/>
      </c>
      <c r="H261" s="23" t="str">
        <f aca="false">IF(N(F261)=0,"",IF(_xlfn.MAXIFS(Deployments!$G$2:$G$1001,Deployments!$B$2:$B$1001,$A261,Deployments!$D$2:$D$1001,"&lt;&gt;Withdrawn")=0,"",_xlfn.MAXIFS(Deployments!$G$2:$G$1001,Deployments!$B$2:$B$1001,$A261,Deployments!$D$2:$D$1001,"&lt;&gt;Withdrawn")))</f>
        <v/>
      </c>
      <c r="I261" s="24" t="str">
        <f aca="false">IF($A261="","",IF(F261=0,"Not deployed",IF(F261&gt;=Setup!$H$2,"High load","Deployed")))</f>
        <v/>
      </c>
      <c r="J261" s="35" t="str">
        <f aca="false">IF(N(F261)=0,"",F261+MIN(G261,999)/1000+(1000-ROW())/10000000)</f>
        <v/>
      </c>
      <c r="K261" s="30" t="str">
        <f aca="false">IF(I261="Not deployed",COUNTIF($I$2:I261,"Not deployed"),"")</f>
        <v/>
      </c>
    </row>
    <row r="262" customFormat="false" ht="15" hidden="false" customHeight="false" outlineLevel="0" collapsed="false">
      <c r="F262" s="30" t="str">
        <f aca="false">IF($A262="","",COUNTIFS(Deployments!$B$2:$B$1001,$A262,Deployments!$D$2:$D$1001,"&lt;&gt;Withdrawn"))</f>
        <v/>
      </c>
      <c r="G262" s="25" t="str">
        <f aca="false">IF($A262="","",SUMIFS(Deployments!$K$2:$K$1001,Deployments!$B$2:$B$1001,$A262))</f>
        <v/>
      </c>
      <c r="H262" s="23" t="str">
        <f aca="false">IF(N(F262)=0,"",IF(_xlfn.MAXIFS(Deployments!$G$2:$G$1001,Deployments!$B$2:$B$1001,$A262,Deployments!$D$2:$D$1001,"&lt;&gt;Withdrawn")=0,"",_xlfn.MAXIFS(Deployments!$G$2:$G$1001,Deployments!$B$2:$B$1001,$A262,Deployments!$D$2:$D$1001,"&lt;&gt;Withdrawn")))</f>
        <v/>
      </c>
      <c r="I262" s="24" t="str">
        <f aca="false">IF($A262="","",IF(F262=0,"Not deployed",IF(F262&gt;=Setup!$H$2,"High load","Deployed")))</f>
        <v/>
      </c>
      <c r="J262" s="35" t="str">
        <f aca="false">IF(N(F262)=0,"",F262+MIN(G262,999)/1000+(1000-ROW())/10000000)</f>
        <v/>
      </c>
      <c r="K262" s="30" t="str">
        <f aca="false">IF(I262="Not deployed",COUNTIF($I$2:I262,"Not deployed"),"")</f>
        <v/>
      </c>
    </row>
    <row r="263" customFormat="false" ht="15" hidden="false" customHeight="false" outlineLevel="0" collapsed="false">
      <c r="F263" s="30" t="str">
        <f aca="false">IF($A263="","",COUNTIFS(Deployments!$B$2:$B$1001,$A263,Deployments!$D$2:$D$1001,"&lt;&gt;Withdrawn"))</f>
        <v/>
      </c>
      <c r="G263" s="25" t="str">
        <f aca="false">IF($A263="","",SUMIFS(Deployments!$K$2:$K$1001,Deployments!$B$2:$B$1001,$A263))</f>
        <v/>
      </c>
      <c r="H263" s="23" t="str">
        <f aca="false">IF(N(F263)=0,"",IF(_xlfn.MAXIFS(Deployments!$G$2:$G$1001,Deployments!$B$2:$B$1001,$A263,Deployments!$D$2:$D$1001,"&lt;&gt;Withdrawn")=0,"",_xlfn.MAXIFS(Deployments!$G$2:$G$1001,Deployments!$B$2:$B$1001,$A263,Deployments!$D$2:$D$1001,"&lt;&gt;Withdrawn")))</f>
        <v/>
      </c>
      <c r="I263" s="24" t="str">
        <f aca="false">IF($A263="","",IF(F263=0,"Not deployed",IF(F263&gt;=Setup!$H$2,"High load","Deployed")))</f>
        <v/>
      </c>
      <c r="J263" s="35" t="str">
        <f aca="false">IF(N(F263)=0,"",F263+MIN(G263,999)/1000+(1000-ROW())/10000000)</f>
        <v/>
      </c>
      <c r="K263" s="30" t="str">
        <f aca="false">IF(I263="Not deployed",COUNTIF($I$2:I263,"Not deployed"),"")</f>
        <v/>
      </c>
    </row>
    <row r="264" customFormat="false" ht="15" hidden="false" customHeight="false" outlineLevel="0" collapsed="false">
      <c r="F264" s="30" t="str">
        <f aca="false">IF($A264="","",COUNTIFS(Deployments!$B$2:$B$1001,$A264,Deployments!$D$2:$D$1001,"&lt;&gt;Withdrawn"))</f>
        <v/>
      </c>
      <c r="G264" s="25" t="str">
        <f aca="false">IF($A264="","",SUMIFS(Deployments!$K$2:$K$1001,Deployments!$B$2:$B$1001,$A264))</f>
        <v/>
      </c>
      <c r="H264" s="23" t="str">
        <f aca="false">IF(N(F264)=0,"",IF(_xlfn.MAXIFS(Deployments!$G$2:$G$1001,Deployments!$B$2:$B$1001,$A264,Deployments!$D$2:$D$1001,"&lt;&gt;Withdrawn")=0,"",_xlfn.MAXIFS(Deployments!$G$2:$G$1001,Deployments!$B$2:$B$1001,$A264,Deployments!$D$2:$D$1001,"&lt;&gt;Withdrawn")))</f>
        <v/>
      </c>
      <c r="I264" s="24" t="str">
        <f aca="false">IF($A264="","",IF(F264=0,"Not deployed",IF(F264&gt;=Setup!$H$2,"High load","Deployed")))</f>
        <v/>
      </c>
      <c r="J264" s="35" t="str">
        <f aca="false">IF(N(F264)=0,"",F264+MIN(G264,999)/1000+(1000-ROW())/10000000)</f>
        <v/>
      </c>
      <c r="K264" s="30" t="str">
        <f aca="false">IF(I264="Not deployed",COUNTIF($I$2:I264,"Not deployed"),"")</f>
        <v/>
      </c>
    </row>
    <row r="265" customFormat="false" ht="15" hidden="false" customHeight="false" outlineLevel="0" collapsed="false">
      <c r="F265" s="30" t="str">
        <f aca="false">IF($A265="","",COUNTIFS(Deployments!$B$2:$B$1001,$A265,Deployments!$D$2:$D$1001,"&lt;&gt;Withdrawn"))</f>
        <v/>
      </c>
      <c r="G265" s="25" t="str">
        <f aca="false">IF($A265="","",SUMIFS(Deployments!$K$2:$K$1001,Deployments!$B$2:$B$1001,$A265))</f>
        <v/>
      </c>
      <c r="H265" s="23" t="str">
        <f aca="false">IF(N(F265)=0,"",IF(_xlfn.MAXIFS(Deployments!$G$2:$G$1001,Deployments!$B$2:$B$1001,$A265,Deployments!$D$2:$D$1001,"&lt;&gt;Withdrawn")=0,"",_xlfn.MAXIFS(Deployments!$G$2:$G$1001,Deployments!$B$2:$B$1001,$A265,Deployments!$D$2:$D$1001,"&lt;&gt;Withdrawn")))</f>
        <v/>
      </c>
      <c r="I265" s="24" t="str">
        <f aca="false">IF($A265="","",IF(F265=0,"Not deployed",IF(F265&gt;=Setup!$H$2,"High load","Deployed")))</f>
        <v/>
      </c>
      <c r="J265" s="35" t="str">
        <f aca="false">IF(N(F265)=0,"",F265+MIN(G265,999)/1000+(1000-ROW())/10000000)</f>
        <v/>
      </c>
      <c r="K265" s="30" t="str">
        <f aca="false">IF(I265="Not deployed",COUNTIF($I$2:I265,"Not deployed"),"")</f>
        <v/>
      </c>
    </row>
    <row r="266" customFormat="false" ht="15" hidden="false" customHeight="false" outlineLevel="0" collapsed="false">
      <c r="F266" s="30" t="str">
        <f aca="false">IF($A266="","",COUNTIFS(Deployments!$B$2:$B$1001,$A266,Deployments!$D$2:$D$1001,"&lt;&gt;Withdrawn"))</f>
        <v/>
      </c>
      <c r="G266" s="25" t="str">
        <f aca="false">IF($A266="","",SUMIFS(Deployments!$K$2:$K$1001,Deployments!$B$2:$B$1001,$A266))</f>
        <v/>
      </c>
      <c r="H266" s="23" t="str">
        <f aca="false">IF(N(F266)=0,"",IF(_xlfn.MAXIFS(Deployments!$G$2:$G$1001,Deployments!$B$2:$B$1001,$A266,Deployments!$D$2:$D$1001,"&lt;&gt;Withdrawn")=0,"",_xlfn.MAXIFS(Deployments!$G$2:$G$1001,Deployments!$B$2:$B$1001,$A266,Deployments!$D$2:$D$1001,"&lt;&gt;Withdrawn")))</f>
        <v/>
      </c>
      <c r="I266" s="24" t="str">
        <f aca="false">IF($A266="","",IF(F266=0,"Not deployed",IF(F266&gt;=Setup!$H$2,"High load","Deployed")))</f>
        <v/>
      </c>
      <c r="J266" s="35" t="str">
        <f aca="false">IF(N(F266)=0,"",F266+MIN(G266,999)/1000+(1000-ROW())/10000000)</f>
        <v/>
      </c>
      <c r="K266" s="30" t="str">
        <f aca="false">IF(I266="Not deployed",COUNTIF($I$2:I266,"Not deployed"),"")</f>
        <v/>
      </c>
    </row>
    <row r="267" customFormat="false" ht="15" hidden="false" customHeight="false" outlineLevel="0" collapsed="false">
      <c r="F267" s="30" t="str">
        <f aca="false">IF($A267="","",COUNTIFS(Deployments!$B$2:$B$1001,$A267,Deployments!$D$2:$D$1001,"&lt;&gt;Withdrawn"))</f>
        <v/>
      </c>
      <c r="G267" s="25" t="str">
        <f aca="false">IF($A267="","",SUMIFS(Deployments!$K$2:$K$1001,Deployments!$B$2:$B$1001,$A267))</f>
        <v/>
      </c>
      <c r="H267" s="23" t="str">
        <f aca="false">IF(N(F267)=0,"",IF(_xlfn.MAXIFS(Deployments!$G$2:$G$1001,Deployments!$B$2:$B$1001,$A267,Deployments!$D$2:$D$1001,"&lt;&gt;Withdrawn")=0,"",_xlfn.MAXIFS(Deployments!$G$2:$G$1001,Deployments!$B$2:$B$1001,$A267,Deployments!$D$2:$D$1001,"&lt;&gt;Withdrawn")))</f>
        <v/>
      </c>
      <c r="I267" s="24" t="str">
        <f aca="false">IF($A267="","",IF(F267=0,"Not deployed",IF(F267&gt;=Setup!$H$2,"High load","Deployed")))</f>
        <v/>
      </c>
      <c r="J267" s="35" t="str">
        <f aca="false">IF(N(F267)=0,"",F267+MIN(G267,999)/1000+(1000-ROW())/10000000)</f>
        <v/>
      </c>
      <c r="K267" s="30" t="str">
        <f aca="false">IF(I267="Not deployed",COUNTIF($I$2:I267,"Not deployed"),"")</f>
        <v/>
      </c>
    </row>
    <row r="268" customFormat="false" ht="15" hidden="false" customHeight="false" outlineLevel="0" collapsed="false">
      <c r="F268" s="30" t="str">
        <f aca="false">IF($A268="","",COUNTIFS(Deployments!$B$2:$B$1001,$A268,Deployments!$D$2:$D$1001,"&lt;&gt;Withdrawn"))</f>
        <v/>
      </c>
      <c r="G268" s="25" t="str">
        <f aca="false">IF($A268="","",SUMIFS(Deployments!$K$2:$K$1001,Deployments!$B$2:$B$1001,$A268))</f>
        <v/>
      </c>
      <c r="H268" s="23" t="str">
        <f aca="false">IF(N(F268)=0,"",IF(_xlfn.MAXIFS(Deployments!$G$2:$G$1001,Deployments!$B$2:$B$1001,$A268,Deployments!$D$2:$D$1001,"&lt;&gt;Withdrawn")=0,"",_xlfn.MAXIFS(Deployments!$G$2:$G$1001,Deployments!$B$2:$B$1001,$A268,Deployments!$D$2:$D$1001,"&lt;&gt;Withdrawn")))</f>
        <v/>
      </c>
      <c r="I268" s="24" t="str">
        <f aca="false">IF($A268="","",IF(F268=0,"Not deployed",IF(F268&gt;=Setup!$H$2,"High load","Deployed")))</f>
        <v/>
      </c>
      <c r="J268" s="35" t="str">
        <f aca="false">IF(N(F268)=0,"",F268+MIN(G268,999)/1000+(1000-ROW())/10000000)</f>
        <v/>
      </c>
      <c r="K268" s="30" t="str">
        <f aca="false">IF(I268="Not deployed",COUNTIF($I$2:I268,"Not deployed"),"")</f>
        <v/>
      </c>
    </row>
    <row r="269" customFormat="false" ht="15" hidden="false" customHeight="false" outlineLevel="0" collapsed="false">
      <c r="F269" s="30" t="str">
        <f aca="false">IF($A269="","",COUNTIFS(Deployments!$B$2:$B$1001,$A269,Deployments!$D$2:$D$1001,"&lt;&gt;Withdrawn"))</f>
        <v/>
      </c>
      <c r="G269" s="25" t="str">
        <f aca="false">IF($A269="","",SUMIFS(Deployments!$K$2:$K$1001,Deployments!$B$2:$B$1001,$A269))</f>
        <v/>
      </c>
      <c r="H269" s="23" t="str">
        <f aca="false">IF(N(F269)=0,"",IF(_xlfn.MAXIFS(Deployments!$G$2:$G$1001,Deployments!$B$2:$B$1001,$A269,Deployments!$D$2:$D$1001,"&lt;&gt;Withdrawn")=0,"",_xlfn.MAXIFS(Deployments!$G$2:$G$1001,Deployments!$B$2:$B$1001,$A269,Deployments!$D$2:$D$1001,"&lt;&gt;Withdrawn")))</f>
        <v/>
      </c>
      <c r="I269" s="24" t="str">
        <f aca="false">IF($A269="","",IF(F269=0,"Not deployed",IF(F269&gt;=Setup!$H$2,"High load","Deployed")))</f>
        <v/>
      </c>
      <c r="J269" s="35" t="str">
        <f aca="false">IF(N(F269)=0,"",F269+MIN(G269,999)/1000+(1000-ROW())/10000000)</f>
        <v/>
      </c>
      <c r="K269" s="30" t="str">
        <f aca="false">IF(I269="Not deployed",COUNTIF($I$2:I269,"Not deployed"),"")</f>
        <v/>
      </c>
    </row>
    <row r="270" customFormat="false" ht="15" hidden="false" customHeight="false" outlineLevel="0" collapsed="false">
      <c r="F270" s="30" t="str">
        <f aca="false">IF($A270="","",COUNTIFS(Deployments!$B$2:$B$1001,$A270,Deployments!$D$2:$D$1001,"&lt;&gt;Withdrawn"))</f>
        <v/>
      </c>
      <c r="G270" s="25" t="str">
        <f aca="false">IF($A270="","",SUMIFS(Deployments!$K$2:$K$1001,Deployments!$B$2:$B$1001,$A270))</f>
        <v/>
      </c>
      <c r="H270" s="23" t="str">
        <f aca="false">IF(N(F270)=0,"",IF(_xlfn.MAXIFS(Deployments!$G$2:$G$1001,Deployments!$B$2:$B$1001,$A270,Deployments!$D$2:$D$1001,"&lt;&gt;Withdrawn")=0,"",_xlfn.MAXIFS(Deployments!$G$2:$G$1001,Deployments!$B$2:$B$1001,$A270,Deployments!$D$2:$D$1001,"&lt;&gt;Withdrawn")))</f>
        <v/>
      </c>
      <c r="I270" s="24" t="str">
        <f aca="false">IF($A270="","",IF(F270=0,"Not deployed",IF(F270&gt;=Setup!$H$2,"High load","Deployed")))</f>
        <v/>
      </c>
      <c r="J270" s="35" t="str">
        <f aca="false">IF(N(F270)=0,"",F270+MIN(G270,999)/1000+(1000-ROW())/10000000)</f>
        <v/>
      </c>
      <c r="K270" s="30" t="str">
        <f aca="false">IF(I270="Not deployed",COUNTIF($I$2:I270,"Not deployed"),"")</f>
        <v/>
      </c>
    </row>
    <row r="271" customFormat="false" ht="15" hidden="false" customHeight="false" outlineLevel="0" collapsed="false">
      <c r="F271" s="30" t="str">
        <f aca="false">IF($A271="","",COUNTIFS(Deployments!$B$2:$B$1001,$A271,Deployments!$D$2:$D$1001,"&lt;&gt;Withdrawn"))</f>
        <v/>
      </c>
      <c r="G271" s="25" t="str">
        <f aca="false">IF($A271="","",SUMIFS(Deployments!$K$2:$K$1001,Deployments!$B$2:$B$1001,$A271))</f>
        <v/>
      </c>
      <c r="H271" s="23" t="str">
        <f aca="false">IF(N(F271)=0,"",IF(_xlfn.MAXIFS(Deployments!$G$2:$G$1001,Deployments!$B$2:$B$1001,$A271,Deployments!$D$2:$D$1001,"&lt;&gt;Withdrawn")=0,"",_xlfn.MAXIFS(Deployments!$G$2:$G$1001,Deployments!$B$2:$B$1001,$A271,Deployments!$D$2:$D$1001,"&lt;&gt;Withdrawn")))</f>
        <v/>
      </c>
      <c r="I271" s="24" t="str">
        <f aca="false">IF($A271="","",IF(F271=0,"Not deployed",IF(F271&gt;=Setup!$H$2,"High load","Deployed")))</f>
        <v/>
      </c>
      <c r="J271" s="35" t="str">
        <f aca="false">IF(N(F271)=0,"",F271+MIN(G271,999)/1000+(1000-ROW())/10000000)</f>
        <v/>
      </c>
      <c r="K271" s="30" t="str">
        <f aca="false">IF(I271="Not deployed",COUNTIF($I$2:I271,"Not deployed"),"")</f>
        <v/>
      </c>
    </row>
    <row r="272" customFormat="false" ht="15" hidden="false" customHeight="false" outlineLevel="0" collapsed="false">
      <c r="F272" s="30" t="str">
        <f aca="false">IF($A272="","",COUNTIFS(Deployments!$B$2:$B$1001,$A272,Deployments!$D$2:$D$1001,"&lt;&gt;Withdrawn"))</f>
        <v/>
      </c>
      <c r="G272" s="25" t="str">
        <f aca="false">IF($A272="","",SUMIFS(Deployments!$K$2:$K$1001,Deployments!$B$2:$B$1001,$A272))</f>
        <v/>
      </c>
      <c r="H272" s="23" t="str">
        <f aca="false">IF(N(F272)=0,"",IF(_xlfn.MAXIFS(Deployments!$G$2:$G$1001,Deployments!$B$2:$B$1001,$A272,Deployments!$D$2:$D$1001,"&lt;&gt;Withdrawn")=0,"",_xlfn.MAXIFS(Deployments!$G$2:$G$1001,Deployments!$B$2:$B$1001,$A272,Deployments!$D$2:$D$1001,"&lt;&gt;Withdrawn")))</f>
        <v/>
      </c>
      <c r="I272" s="24" t="str">
        <f aca="false">IF($A272="","",IF(F272=0,"Not deployed",IF(F272&gt;=Setup!$H$2,"High load","Deployed")))</f>
        <v/>
      </c>
      <c r="J272" s="35" t="str">
        <f aca="false">IF(N(F272)=0,"",F272+MIN(G272,999)/1000+(1000-ROW())/10000000)</f>
        <v/>
      </c>
      <c r="K272" s="30" t="str">
        <f aca="false">IF(I272="Not deployed",COUNTIF($I$2:I272,"Not deployed"),"")</f>
        <v/>
      </c>
    </row>
    <row r="273" customFormat="false" ht="15" hidden="false" customHeight="false" outlineLevel="0" collapsed="false">
      <c r="F273" s="30" t="str">
        <f aca="false">IF($A273="","",COUNTIFS(Deployments!$B$2:$B$1001,$A273,Deployments!$D$2:$D$1001,"&lt;&gt;Withdrawn"))</f>
        <v/>
      </c>
      <c r="G273" s="25" t="str">
        <f aca="false">IF($A273="","",SUMIFS(Deployments!$K$2:$K$1001,Deployments!$B$2:$B$1001,$A273))</f>
        <v/>
      </c>
      <c r="H273" s="23" t="str">
        <f aca="false">IF(N(F273)=0,"",IF(_xlfn.MAXIFS(Deployments!$G$2:$G$1001,Deployments!$B$2:$B$1001,$A273,Deployments!$D$2:$D$1001,"&lt;&gt;Withdrawn")=0,"",_xlfn.MAXIFS(Deployments!$G$2:$G$1001,Deployments!$B$2:$B$1001,$A273,Deployments!$D$2:$D$1001,"&lt;&gt;Withdrawn")))</f>
        <v/>
      </c>
      <c r="I273" s="24" t="str">
        <f aca="false">IF($A273="","",IF(F273=0,"Not deployed",IF(F273&gt;=Setup!$H$2,"High load","Deployed")))</f>
        <v/>
      </c>
      <c r="J273" s="35" t="str">
        <f aca="false">IF(N(F273)=0,"",F273+MIN(G273,999)/1000+(1000-ROW())/10000000)</f>
        <v/>
      </c>
      <c r="K273" s="30" t="str">
        <f aca="false">IF(I273="Not deployed",COUNTIF($I$2:I273,"Not deployed"),"")</f>
        <v/>
      </c>
    </row>
    <row r="274" customFormat="false" ht="15" hidden="false" customHeight="false" outlineLevel="0" collapsed="false">
      <c r="F274" s="30" t="str">
        <f aca="false">IF($A274="","",COUNTIFS(Deployments!$B$2:$B$1001,$A274,Deployments!$D$2:$D$1001,"&lt;&gt;Withdrawn"))</f>
        <v/>
      </c>
      <c r="G274" s="25" t="str">
        <f aca="false">IF($A274="","",SUMIFS(Deployments!$K$2:$K$1001,Deployments!$B$2:$B$1001,$A274))</f>
        <v/>
      </c>
      <c r="H274" s="23" t="str">
        <f aca="false">IF(N(F274)=0,"",IF(_xlfn.MAXIFS(Deployments!$G$2:$G$1001,Deployments!$B$2:$B$1001,$A274,Deployments!$D$2:$D$1001,"&lt;&gt;Withdrawn")=0,"",_xlfn.MAXIFS(Deployments!$G$2:$G$1001,Deployments!$B$2:$B$1001,$A274,Deployments!$D$2:$D$1001,"&lt;&gt;Withdrawn")))</f>
        <v/>
      </c>
      <c r="I274" s="24" t="str">
        <f aca="false">IF($A274="","",IF(F274=0,"Not deployed",IF(F274&gt;=Setup!$H$2,"High load","Deployed")))</f>
        <v/>
      </c>
      <c r="J274" s="35" t="str">
        <f aca="false">IF(N(F274)=0,"",F274+MIN(G274,999)/1000+(1000-ROW())/10000000)</f>
        <v/>
      </c>
      <c r="K274" s="30" t="str">
        <f aca="false">IF(I274="Not deployed",COUNTIF($I$2:I274,"Not deployed"),"")</f>
        <v/>
      </c>
    </row>
    <row r="275" customFormat="false" ht="15" hidden="false" customHeight="false" outlineLevel="0" collapsed="false">
      <c r="F275" s="30" t="str">
        <f aca="false">IF($A275="","",COUNTIFS(Deployments!$B$2:$B$1001,$A275,Deployments!$D$2:$D$1001,"&lt;&gt;Withdrawn"))</f>
        <v/>
      </c>
      <c r="G275" s="25" t="str">
        <f aca="false">IF($A275="","",SUMIFS(Deployments!$K$2:$K$1001,Deployments!$B$2:$B$1001,$A275))</f>
        <v/>
      </c>
      <c r="H275" s="23" t="str">
        <f aca="false">IF(N(F275)=0,"",IF(_xlfn.MAXIFS(Deployments!$G$2:$G$1001,Deployments!$B$2:$B$1001,$A275,Deployments!$D$2:$D$1001,"&lt;&gt;Withdrawn")=0,"",_xlfn.MAXIFS(Deployments!$G$2:$G$1001,Deployments!$B$2:$B$1001,$A275,Deployments!$D$2:$D$1001,"&lt;&gt;Withdrawn")))</f>
        <v/>
      </c>
      <c r="I275" s="24" t="str">
        <f aca="false">IF($A275="","",IF(F275=0,"Not deployed",IF(F275&gt;=Setup!$H$2,"High load","Deployed")))</f>
        <v/>
      </c>
      <c r="J275" s="35" t="str">
        <f aca="false">IF(N(F275)=0,"",F275+MIN(G275,999)/1000+(1000-ROW())/10000000)</f>
        <v/>
      </c>
      <c r="K275" s="30" t="str">
        <f aca="false">IF(I275="Not deployed",COUNTIF($I$2:I275,"Not deployed"),"")</f>
        <v/>
      </c>
    </row>
    <row r="276" customFormat="false" ht="15" hidden="false" customHeight="false" outlineLevel="0" collapsed="false">
      <c r="F276" s="30" t="str">
        <f aca="false">IF($A276="","",COUNTIFS(Deployments!$B$2:$B$1001,$A276,Deployments!$D$2:$D$1001,"&lt;&gt;Withdrawn"))</f>
        <v/>
      </c>
      <c r="G276" s="25" t="str">
        <f aca="false">IF($A276="","",SUMIFS(Deployments!$K$2:$K$1001,Deployments!$B$2:$B$1001,$A276))</f>
        <v/>
      </c>
      <c r="H276" s="23" t="str">
        <f aca="false">IF(N(F276)=0,"",IF(_xlfn.MAXIFS(Deployments!$G$2:$G$1001,Deployments!$B$2:$B$1001,$A276,Deployments!$D$2:$D$1001,"&lt;&gt;Withdrawn")=0,"",_xlfn.MAXIFS(Deployments!$G$2:$G$1001,Deployments!$B$2:$B$1001,$A276,Deployments!$D$2:$D$1001,"&lt;&gt;Withdrawn")))</f>
        <v/>
      </c>
      <c r="I276" s="24" t="str">
        <f aca="false">IF($A276="","",IF(F276=0,"Not deployed",IF(F276&gt;=Setup!$H$2,"High load","Deployed")))</f>
        <v/>
      </c>
      <c r="J276" s="35" t="str">
        <f aca="false">IF(N(F276)=0,"",F276+MIN(G276,999)/1000+(1000-ROW())/10000000)</f>
        <v/>
      </c>
      <c r="K276" s="30" t="str">
        <f aca="false">IF(I276="Not deployed",COUNTIF($I$2:I276,"Not deployed"),"")</f>
        <v/>
      </c>
    </row>
    <row r="277" customFormat="false" ht="15" hidden="false" customHeight="false" outlineLevel="0" collapsed="false">
      <c r="F277" s="30" t="str">
        <f aca="false">IF($A277="","",COUNTIFS(Deployments!$B$2:$B$1001,$A277,Deployments!$D$2:$D$1001,"&lt;&gt;Withdrawn"))</f>
        <v/>
      </c>
      <c r="G277" s="25" t="str">
        <f aca="false">IF($A277="","",SUMIFS(Deployments!$K$2:$K$1001,Deployments!$B$2:$B$1001,$A277))</f>
        <v/>
      </c>
      <c r="H277" s="23" t="str">
        <f aca="false">IF(N(F277)=0,"",IF(_xlfn.MAXIFS(Deployments!$G$2:$G$1001,Deployments!$B$2:$B$1001,$A277,Deployments!$D$2:$D$1001,"&lt;&gt;Withdrawn")=0,"",_xlfn.MAXIFS(Deployments!$G$2:$G$1001,Deployments!$B$2:$B$1001,$A277,Deployments!$D$2:$D$1001,"&lt;&gt;Withdrawn")))</f>
        <v/>
      </c>
      <c r="I277" s="24" t="str">
        <f aca="false">IF($A277="","",IF(F277=0,"Not deployed",IF(F277&gt;=Setup!$H$2,"High load","Deployed")))</f>
        <v/>
      </c>
      <c r="J277" s="35" t="str">
        <f aca="false">IF(N(F277)=0,"",F277+MIN(G277,999)/1000+(1000-ROW())/10000000)</f>
        <v/>
      </c>
      <c r="K277" s="30" t="str">
        <f aca="false">IF(I277="Not deployed",COUNTIF($I$2:I277,"Not deployed"),"")</f>
        <v/>
      </c>
    </row>
    <row r="278" customFormat="false" ht="15" hidden="false" customHeight="false" outlineLevel="0" collapsed="false">
      <c r="F278" s="30" t="str">
        <f aca="false">IF($A278="","",COUNTIFS(Deployments!$B$2:$B$1001,$A278,Deployments!$D$2:$D$1001,"&lt;&gt;Withdrawn"))</f>
        <v/>
      </c>
      <c r="G278" s="25" t="str">
        <f aca="false">IF($A278="","",SUMIFS(Deployments!$K$2:$K$1001,Deployments!$B$2:$B$1001,$A278))</f>
        <v/>
      </c>
      <c r="H278" s="23" t="str">
        <f aca="false">IF(N(F278)=0,"",IF(_xlfn.MAXIFS(Deployments!$G$2:$G$1001,Deployments!$B$2:$B$1001,$A278,Deployments!$D$2:$D$1001,"&lt;&gt;Withdrawn")=0,"",_xlfn.MAXIFS(Deployments!$G$2:$G$1001,Deployments!$B$2:$B$1001,$A278,Deployments!$D$2:$D$1001,"&lt;&gt;Withdrawn")))</f>
        <v/>
      </c>
      <c r="I278" s="24" t="str">
        <f aca="false">IF($A278="","",IF(F278=0,"Not deployed",IF(F278&gt;=Setup!$H$2,"High load","Deployed")))</f>
        <v/>
      </c>
      <c r="J278" s="35" t="str">
        <f aca="false">IF(N(F278)=0,"",F278+MIN(G278,999)/1000+(1000-ROW())/10000000)</f>
        <v/>
      </c>
      <c r="K278" s="30" t="str">
        <f aca="false">IF(I278="Not deployed",COUNTIF($I$2:I278,"Not deployed"),"")</f>
        <v/>
      </c>
    </row>
    <row r="279" customFormat="false" ht="15" hidden="false" customHeight="false" outlineLevel="0" collapsed="false">
      <c r="F279" s="30" t="str">
        <f aca="false">IF($A279="","",COUNTIFS(Deployments!$B$2:$B$1001,$A279,Deployments!$D$2:$D$1001,"&lt;&gt;Withdrawn"))</f>
        <v/>
      </c>
      <c r="G279" s="25" t="str">
        <f aca="false">IF($A279="","",SUMIFS(Deployments!$K$2:$K$1001,Deployments!$B$2:$B$1001,$A279))</f>
        <v/>
      </c>
      <c r="H279" s="23" t="str">
        <f aca="false">IF(N(F279)=0,"",IF(_xlfn.MAXIFS(Deployments!$G$2:$G$1001,Deployments!$B$2:$B$1001,$A279,Deployments!$D$2:$D$1001,"&lt;&gt;Withdrawn")=0,"",_xlfn.MAXIFS(Deployments!$G$2:$G$1001,Deployments!$B$2:$B$1001,$A279,Deployments!$D$2:$D$1001,"&lt;&gt;Withdrawn")))</f>
        <v/>
      </c>
      <c r="I279" s="24" t="str">
        <f aca="false">IF($A279="","",IF(F279=0,"Not deployed",IF(F279&gt;=Setup!$H$2,"High load","Deployed")))</f>
        <v/>
      </c>
      <c r="J279" s="35" t="str">
        <f aca="false">IF(N(F279)=0,"",F279+MIN(G279,999)/1000+(1000-ROW())/10000000)</f>
        <v/>
      </c>
      <c r="K279" s="30" t="str">
        <f aca="false">IF(I279="Not deployed",COUNTIF($I$2:I279,"Not deployed"),"")</f>
        <v/>
      </c>
    </row>
    <row r="280" customFormat="false" ht="15" hidden="false" customHeight="false" outlineLevel="0" collapsed="false">
      <c r="F280" s="30" t="str">
        <f aca="false">IF($A280="","",COUNTIFS(Deployments!$B$2:$B$1001,$A280,Deployments!$D$2:$D$1001,"&lt;&gt;Withdrawn"))</f>
        <v/>
      </c>
      <c r="G280" s="25" t="str">
        <f aca="false">IF($A280="","",SUMIFS(Deployments!$K$2:$K$1001,Deployments!$B$2:$B$1001,$A280))</f>
        <v/>
      </c>
      <c r="H280" s="23" t="str">
        <f aca="false">IF(N(F280)=0,"",IF(_xlfn.MAXIFS(Deployments!$G$2:$G$1001,Deployments!$B$2:$B$1001,$A280,Deployments!$D$2:$D$1001,"&lt;&gt;Withdrawn")=0,"",_xlfn.MAXIFS(Deployments!$G$2:$G$1001,Deployments!$B$2:$B$1001,$A280,Deployments!$D$2:$D$1001,"&lt;&gt;Withdrawn")))</f>
        <v/>
      </c>
      <c r="I280" s="24" t="str">
        <f aca="false">IF($A280="","",IF(F280=0,"Not deployed",IF(F280&gt;=Setup!$H$2,"High load","Deployed")))</f>
        <v/>
      </c>
      <c r="J280" s="35" t="str">
        <f aca="false">IF(N(F280)=0,"",F280+MIN(G280,999)/1000+(1000-ROW())/10000000)</f>
        <v/>
      </c>
      <c r="K280" s="30" t="str">
        <f aca="false">IF(I280="Not deployed",COUNTIF($I$2:I280,"Not deployed"),"")</f>
        <v/>
      </c>
    </row>
    <row r="281" customFormat="false" ht="15" hidden="false" customHeight="false" outlineLevel="0" collapsed="false">
      <c r="F281" s="30" t="str">
        <f aca="false">IF($A281="","",COUNTIFS(Deployments!$B$2:$B$1001,$A281,Deployments!$D$2:$D$1001,"&lt;&gt;Withdrawn"))</f>
        <v/>
      </c>
      <c r="G281" s="25" t="str">
        <f aca="false">IF($A281="","",SUMIFS(Deployments!$K$2:$K$1001,Deployments!$B$2:$B$1001,$A281))</f>
        <v/>
      </c>
      <c r="H281" s="23" t="str">
        <f aca="false">IF(N(F281)=0,"",IF(_xlfn.MAXIFS(Deployments!$G$2:$G$1001,Deployments!$B$2:$B$1001,$A281,Deployments!$D$2:$D$1001,"&lt;&gt;Withdrawn")=0,"",_xlfn.MAXIFS(Deployments!$G$2:$G$1001,Deployments!$B$2:$B$1001,$A281,Deployments!$D$2:$D$1001,"&lt;&gt;Withdrawn")))</f>
        <v/>
      </c>
      <c r="I281" s="24" t="str">
        <f aca="false">IF($A281="","",IF(F281=0,"Not deployed",IF(F281&gt;=Setup!$H$2,"High load","Deployed")))</f>
        <v/>
      </c>
      <c r="J281" s="35" t="str">
        <f aca="false">IF(N(F281)=0,"",F281+MIN(G281,999)/1000+(1000-ROW())/10000000)</f>
        <v/>
      </c>
      <c r="K281" s="30" t="str">
        <f aca="false">IF(I281="Not deployed",COUNTIF($I$2:I281,"Not deployed"),"")</f>
        <v/>
      </c>
    </row>
    <row r="282" customFormat="false" ht="15" hidden="false" customHeight="false" outlineLevel="0" collapsed="false">
      <c r="F282" s="30" t="str">
        <f aca="false">IF($A282="","",COUNTIFS(Deployments!$B$2:$B$1001,$A282,Deployments!$D$2:$D$1001,"&lt;&gt;Withdrawn"))</f>
        <v/>
      </c>
      <c r="G282" s="25" t="str">
        <f aca="false">IF($A282="","",SUMIFS(Deployments!$K$2:$K$1001,Deployments!$B$2:$B$1001,$A282))</f>
        <v/>
      </c>
      <c r="H282" s="23" t="str">
        <f aca="false">IF(N(F282)=0,"",IF(_xlfn.MAXIFS(Deployments!$G$2:$G$1001,Deployments!$B$2:$B$1001,$A282,Deployments!$D$2:$D$1001,"&lt;&gt;Withdrawn")=0,"",_xlfn.MAXIFS(Deployments!$G$2:$G$1001,Deployments!$B$2:$B$1001,$A282,Deployments!$D$2:$D$1001,"&lt;&gt;Withdrawn")))</f>
        <v/>
      </c>
      <c r="I282" s="24" t="str">
        <f aca="false">IF($A282="","",IF(F282=0,"Not deployed",IF(F282&gt;=Setup!$H$2,"High load","Deployed")))</f>
        <v/>
      </c>
      <c r="J282" s="35" t="str">
        <f aca="false">IF(N(F282)=0,"",F282+MIN(G282,999)/1000+(1000-ROW())/10000000)</f>
        <v/>
      </c>
      <c r="K282" s="30" t="str">
        <f aca="false">IF(I282="Not deployed",COUNTIF($I$2:I282,"Not deployed"),"")</f>
        <v/>
      </c>
    </row>
    <row r="283" customFormat="false" ht="15" hidden="false" customHeight="false" outlineLevel="0" collapsed="false">
      <c r="F283" s="30" t="str">
        <f aca="false">IF($A283="","",COUNTIFS(Deployments!$B$2:$B$1001,$A283,Deployments!$D$2:$D$1001,"&lt;&gt;Withdrawn"))</f>
        <v/>
      </c>
      <c r="G283" s="25" t="str">
        <f aca="false">IF($A283="","",SUMIFS(Deployments!$K$2:$K$1001,Deployments!$B$2:$B$1001,$A283))</f>
        <v/>
      </c>
      <c r="H283" s="23" t="str">
        <f aca="false">IF(N(F283)=0,"",IF(_xlfn.MAXIFS(Deployments!$G$2:$G$1001,Deployments!$B$2:$B$1001,$A283,Deployments!$D$2:$D$1001,"&lt;&gt;Withdrawn")=0,"",_xlfn.MAXIFS(Deployments!$G$2:$G$1001,Deployments!$B$2:$B$1001,$A283,Deployments!$D$2:$D$1001,"&lt;&gt;Withdrawn")))</f>
        <v/>
      </c>
      <c r="I283" s="24" t="str">
        <f aca="false">IF($A283="","",IF(F283=0,"Not deployed",IF(F283&gt;=Setup!$H$2,"High load","Deployed")))</f>
        <v/>
      </c>
      <c r="J283" s="35" t="str">
        <f aca="false">IF(N(F283)=0,"",F283+MIN(G283,999)/1000+(1000-ROW())/10000000)</f>
        <v/>
      </c>
      <c r="K283" s="30" t="str">
        <f aca="false">IF(I283="Not deployed",COUNTIF($I$2:I283,"Not deployed"),"")</f>
        <v/>
      </c>
    </row>
    <row r="284" customFormat="false" ht="15" hidden="false" customHeight="false" outlineLevel="0" collapsed="false">
      <c r="F284" s="30" t="str">
        <f aca="false">IF($A284="","",COUNTIFS(Deployments!$B$2:$B$1001,$A284,Deployments!$D$2:$D$1001,"&lt;&gt;Withdrawn"))</f>
        <v/>
      </c>
      <c r="G284" s="25" t="str">
        <f aca="false">IF($A284="","",SUMIFS(Deployments!$K$2:$K$1001,Deployments!$B$2:$B$1001,$A284))</f>
        <v/>
      </c>
      <c r="H284" s="23" t="str">
        <f aca="false">IF(N(F284)=0,"",IF(_xlfn.MAXIFS(Deployments!$G$2:$G$1001,Deployments!$B$2:$B$1001,$A284,Deployments!$D$2:$D$1001,"&lt;&gt;Withdrawn")=0,"",_xlfn.MAXIFS(Deployments!$G$2:$G$1001,Deployments!$B$2:$B$1001,$A284,Deployments!$D$2:$D$1001,"&lt;&gt;Withdrawn")))</f>
        <v/>
      </c>
      <c r="I284" s="24" t="str">
        <f aca="false">IF($A284="","",IF(F284=0,"Not deployed",IF(F284&gt;=Setup!$H$2,"High load","Deployed")))</f>
        <v/>
      </c>
      <c r="J284" s="35" t="str">
        <f aca="false">IF(N(F284)=0,"",F284+MIN(G284,999)/1000+(1000-ROW())/10000000)</f>
        <v/>
      </c>
      <c r="K284" s="30" t="str">
        <f aca="false">IF(I284="Not deployed",COUNTIF($I$2:I284,"Not deployed"),"")</f>
        <v/>
      </c>
    </row>
    <row r="285" customFormat="false" ht="15" hidden="false" customHeight="false" outlineLevel="0" collapsed="false">
      <c r="F285" s="30" t="str">
        <f aca="false">IF($A285="","",COUNTIFS(Deployments!$B$2:$B$1001,$A285,Deployments!$D$2:$D$1001,"&lt;&gt;Withdrawn"))</f>
        <v/>
      </c>
      <c r="G285" s="25" t="str">
        <f aca="false">IF($A285="","",SUMIFS(Deployments!$K$2:$K$1001,Deployments!$B$2:$B$1001,$A285))</f>
        <v/>
      </c>
      <c r="H285" s="23" t="str">
        <f aca="false">IF(N(F285)=0,"",IF(_xlfn.MAXIFS(Deployments!$G$2:$G$1001,Deployments!$B$2:$B$1001,$A285,Deployments!$D$2:$D$1001,"&lt;&gt;Withdrawn")=0,"",_xlfn.MAXIFS(Deployments!$G$2:$G$1001,Deployments!$B$2:$B$1001,$A285,Deployments!$D$2:$D$1001,"&lt;&gt;Withdrawn")))</f>
        <v/>
      </c>
      <c r="I285" s="24" t="str">
        <f aca="false">IF($A285="","",IF(F285=0,"Not deployed",IF(F285&gt;=Setup!$H$2,"High load","Deployed")))</f>
        <v/>
      </c>
      <c r="J285" s="35" t="str">
        <f aca="false">IF(N(F285)=0,"",F285+MIN(G285,999)/1000+(1000-ROW())/10000000)</f>
        <v/>
      </c>
      <c r="K285" s="30" t="str">
        <f aca="false">IF(I285="Not deployed",COUNTIF($I$2:I285,"Not deployed"),"")</f>
        <v/>
      </c>
    </row>
    <row r="286" customFormat="false" ht="15" hidden="false" customHeight="false" outlineLevel="0" collapsed="false">
      <c r="F286" s="30" t="str">
        <f aca="false">IF($A286="","",COUNTIFS(Deployments!$B$2:$B$1001,$A286,Deployments!$D$2:$D$1001,"&lt;&gt;Withdrawn"))</f>
        <v/>
      </c>
      <c r="G286" s="25" t="str">
        <f aca="false">IF($A286="","",SUMIFS(Deployments!$K$2:$K$1001,Deployments!$B$2:$B$1001,$A286))</f>
        <v/>
      </c>
      <c r="H286" s="23" t="str">
        <f aca="false">IF(N(F286)=0,"",IF(_xlfn.MAXIFS(Deployments!$G$2:$G$1001,Deployments!$B$2:$B$1001,$A286,Deployments!$D$2:$D$1001,"&lt;&gt;Withdrawn")=0,"",_xlfn.MAXIFS(Deployments!$G$2:$G$1001,Deployments!$B$2:$B$1001,$A286,Deployments!$D$2:$D$1001,"&lt;&gt;Withdrawn")))</f>
        <v/>
      </c>
      <c r="I286" s="24" t="str">
        <f aca="false">IF($A286="","",IF(F286=0,"Not deployed",IF(F286&gt;=Setup!$H$2,"High load","Deployed")))</f>
        <v/>
      </c>
      <c r="J286" s="35" t="str">
        <f aca="false">IF(N(F286)=0,"",F286+MIN(G286,999)/1000+(1000-ROW())/10000000)</f>
        <v/>
      </c>
      <c r="K286" s="30" t="str">
        <f aca="false">IF(I286="Not deployed",COUNTIF($I$2:I286,"Not deployed"),"")</f>
        <v/>
      </c>
    </row>
    <row r="287" customFormat="false" ht="15" hidden="false" customHeight="false" outlineLevel="0" collapsed="false">
      <c r="F287" s="30" t="str">
        <f aca="false">IF($A287="","",COUNTIFS(Deployments!$B$2:$B$1001,$A287,Deployments!$D$2:$D$1001,"&lt;&gt;Withdrawn"))</f>
        <v/>
      </c>
      <c r="G287" s="25" t="str">
        <f aca="false">IF($A287="","",SUMIFS(Deployments!$K$2:$K$1001,Deployments!$B$2:$B$1001,$A287))</f>
        <v/>
      </c>
      <c r="H287" s="23" t="str">
        <f aca="false">IF(N(F287)=0,"",IF(_xlfn.MAXIFS(Deployments!$G$2:$G$1001,Deployments!$B$2:$B$1001,$A287,Deployments!$D$2:$D$1001,"&lt;&gt;Withdrawn")=0,"",_xlfn.MAXIFS(Deployments!$G$2:$G$1001,Deployments!$B$2:$B$1001,$A287,Deployments!$D$2:$D$1001,"&lt;&gt;Withdrawn")))</f>
        <v/>
      </c>
      <c r="I287" s="24" t="str">
        <f aca="false">IF($A287="","",IF(F287=0,"Not deployed",IF(F287&gt;=Setup!$H$2,"High load","Deployed")))</f>
        <v/>
      </c>
      <c r="J287" s="35" t="str">
        <f aca="false">IF(N(F287)=0,"",F287+MIN(G287,999)/1000+(1000-ROW())/10000000)</f>
        <v/>
      </c>
      <c r="K287" s="30" t="str">
        <f aca="false">IF(I287="Not deployed",COUNTIF($I$2:I287,"Not deployed"),"")</f>
        <v/>
      </c>
    </row>
    <row r="288" customFormat="false" ht="15" hidden="false" customHeight="false" outlineLevel="0" collapsed="false">
      <c r="F288" s="30" t="str">
        <f aca="false">IF($A288="","",COUNTIFS(Deployments!$B$2:$B$1001,$A288,Deployments!$D$2:$D$1001,"&lt;&gt;Withdrawn"))</f>
        <v/>
      </c>
      <c r="G288" s="25" t="str">
        <f aca="false">IF($A288="","",SUMIFS(Deployments!$K$2:$K$1001,Deployments!$B$2:$B$1001,$A288))</f>
        <v/>
      </c>
      <c r="H288" s="23" t="str">
        <f aca="false">IF(N(F288)=0,"",IF(_xlfn.MAXIFS(Deployments!$G$2:$G$1001,Deployments!$B$2:$B$1001,$A288,Deployments!$D$2:$D$1001,"&lt;&gt;Withdrawn")=0,"",_xlfn.MAXIFS(Deployments!$G$2:$G$1001,Deployments!$B$2:$B$1001,$A288,Deployments!$D$2:$D$1001,"&lt;&gt;Withdrawn")))</f>
        <v/>
      </c>
      <c r="I288" s="24" t="str">
        <f aca="false">IF($A288="","",IF(F288=0,"Not deployed",IF(F288&gt;=Setup!$H$2,"High load","Deployed")))</f>
        <v/>
      </c>
      <c r="J288" s="35" t="str">
        <f aca="false">IF(N(F288)=0,"",F288+MIN(G288,999)/1000+(1000-ROW())/10000000)</f>
        <v/>
      </c>
      <c r="K288" s="30" t="str">
        <f aca="false">IF(I288="Not deployed",COUNTIF($I$2:I288,"Not deployed"),"")</f>
        <v/>
      </c>
    </row>
    <row r="289" customFormat="false" ht="15" hidden="false" customHeight="false" outlineLevel="0" collapsed="false">
      <c r="F289" s="30" t="str">
        <f aca="false">IF($A289="","",COUNTIFS(Deployments!$B$2:$B$1001,$A289,Deployments!$D$2:$D$1001,"&lt;&gt;Withdrawn"))</f>
        <v/>
      </c>
      <c r="G289" s="25" t="str">
        <f aca="false">IF($A289="","",SUMIFS(Deployments!$K$2:$K$1001,Deployments!$B$2:$B$1001,$A289))</f>
        <v/>
      </c>
      <c r="H289" s="23" t="str">
        <f aca="false">IF(N(F289)=0,"",IF(_xlfn.MAXIFS(Deployments!$G$2:$G$1001,Deployments!$B$2:$B$1001,$A289,Deployments!$D$2:$D$1001,"&lt;&gt;Withdrawn")=0,"",_xlfn.MAXIFS(Deployments!$G$2:$G$1001,Deployments!$B$2:$B$1001,$A289,Deployments!$D$2:$D$1001,"&lt;&gt;Withdrawn")))</f>
        <v/>
      </c>
      <c r="I289" s="24" t="str">
        <f aca="false">IF($A289="","",IF(F289=0,"Not deployed",IF(F289&gt;=Setup!$H$2,"High load","Deployed")))</f>
        <v/>
      </c>
      <c r="J289" s="35" t="str">
        <f aca="false">IF(N(F289)=0,"",F289+MIN(G289,999)/1000+(1000-ROW())/10000000)</f>
        <v/>
      </c>
      <c r="K289" s="30" t="str">
        <f aca="false">IF(I289="Not deployed",COUNTIF($I$2:I289,"Not deployed"),"")</f>
        <v/>
      </c>
    </row>
    <row r="290" customFormat="false" ht="15" hidden="false" customHeight="false" outlineLevel="0" collapsed="false">
      <c r="F290" s="30" t="str">
        <f aca="false">IF($A290="","",COUNTIFS(Deployments!$B$2:$B$1001,$A290,Deployments!$D$2:$D$1001,"&lt;&gt;Withdrawn"))</f>
        <v/>
      </c>
      <c r="G290" s="25" t="str">
        <f aca="false">IF($A290="","",SUMIFS(Deployments!$K$2:$K$1001,Deployments!$B$2:$B$1001,$A290))</f>
        <v/>
      </c>
      <c r="H290" s="23" t="str">
        <f aca="false">IF(N(F290)=0,"",IF(_xlfn.MAXIFS(Deployments!$G$2:$G$1001,Deployments!$B$2:$B$1001,$A290,Deployments!$D$2:$D$1001,"&lt;&gt;Withdrawn")=0,"",_xlfn.MAXIFS(Deployments!$G$2:$G$1001,Deployments!$B$2:$B$1001,$A290,Deployments!$D$2:$D$1001,"&lt;&gt;Withdrawn")))</f>
        <v/>
      </c>
      <c r="I290" s="24" t="str">
        <f aca="false">IF($A290="","",IF(F290=0,"Not deployed",IF(F290&gt;=Setup!$H$2,"High load","Deployed")))</f>
        <v/>
      </c>
      <c r="J290" s="35" t="str">
        <f aca="false">IF(N(F290)=0,"",F290+MIN(G290,999)/1000+(1000-ROW())/10000000)</f>
        <v/>
      </c>
      <c r="K290" s="30" t="str">
        <f aca="false">IF(I290="Not deployed",COUNTIF($I$2:I290,"Not deployed"),"")</f>
        <v/>
      </c>
    </row>
    <row r="291" customFormat="false" ht="15" hidden="false" customHeight="false" outlineLevel="0" collapsed="false">
      <c r="F291" s="30" t="str">
        <f aca="false">IF($A291="","",COUNTIFS(Deployments!$B$2:$B$1001,$A291,Deployments!$D$2:$D$1001,"&lt;&gt;Withdrawn"))</f>
        <v/>
      </c>
      <c r="G291" s="25" t="str">
        <f aca="false">IF($A291="","",SUMIFS(Deployments!$K$2:$K$1001,Deployments!$B$2:$B$1001,$A291))</f>
        <v/>
      </c>
      <c r="H291" s="23" t="str">
        <f aca="false">IF(N(F291)=0,"",IF(_xlfn.MAXIFS(Deployments!$G$2:$G$1001,Deployments!$B$2:$B$1001,$A291,Deployments!$D$2:$D$1001,"&lt;&gt;Withdrawn")=0,"",_xlfn.MAXIFS(Deployments!$G$2:$G$1001,Deployments!$B$2:$B$1001,$A291,Deployments!$D$2:$D$1001,"&lt;&gt;Withdrawn")))</f>
        <v/>
      </c>
      <c r="I291" s="24" t="str">
        <f aca="false">IF($A291="","",IF(F291=0,"Not deployed",IF(F291&gt;=Setup!$H$2,"High load","Deployed")))</f>
        <v/>
      </c>
      <c r="J291" s="35" t="str">
        <f aca="false">IF(N(F291)=0,"",F291+MIN(G291,999)/1000+(1000-ROW())/10000000)</f>
        <v/>
      </c>
      <c r="K291" s="30" t="str">
        <f aca="false">IF(I291="Not deployed",COUNTIF($I$2:I291,"Not deployed"),"")</f>
        <v/>
      </c>
    </row>
    <row r="292" customFormat="false" ht="15" hidden="false" customHeight="false" outlineLevel="0" collapsed="false">
      <c r="F292" s="30" t="str">
        <f aca="false">IF($A292="","",COUNTIFS(Deployments!$B$2:$B$1001,$A292,Deployments!$D$2:$D$1001,"&lt;&gt;Withdrawn"))</f>
        <v/>
      </c>
      <c r="G292" s="25" t="str">
        <f aca="false">IF($A292="","",SUMIFS(Deployments!$K$2:$K$1001,Deployments!$B$2:$B$1001,$A292))</f>
        <v/>
      </c>
      <c r="H292" s="23" t="str">
        <f aca="false">IF(N(F292)=0,"",IF(_xlfn.MAXIFS(Deployments!$G$2:$G$1001,Deployments!$B$2:$B$1001,$A292,Deployments!$D$2:$D$1001,"&lt;&gt;Withdrawn")=0,"",_xlfn.MAXIFS(Deployments!$G$2:$G$1001,Deployments!$B$2:$B$1001,$A292,Deployments!$D$2:$D$1001,"&lt;&gt;Withdrawn")))</f>
        <v/>
      </c>
      <c r="I292" s="24" t="str">
        <f aca="false">IF($A292="","",IF(F292=0,"Not deployed",IF(F292&gt;=Setup!$H$2,"High load","Deployed")))</f>
        <v/>
      </c>
      <c r="J292" s="35" t="str">
        <f aca="false">IF(N(F292)=0,"",F292+MIN(G292,999)/1000+(1000-ROW())/10000000)</f>
        <v/>
      </c>
      <c r="K292" s="30" t="str">
        <f aca="false">IF(I292="Not deployed",COUNTIF($I$2:I292,"Not deployed"),"")</f>
        <v/>
      </c>
    </row>
    <row r="293" customFormat="false" ht="15" hidden="false" customHeight="false" outlineLevel="0" collapsed="false">
      <c r="F293" s="30" t="str">
        <f aca="false">IF($A293="","",COUNTIFS(Deployments!$B$2:$B$1001,$A293,Deployments!$D$2:$D$1001,"&lt;&gt;Withdrawn"))</f>
        <v/>
      </c>
      <c r="G293" s="25" t="str">
        <f aca="false">IF($A293="","",SUMIFS(Deployments!$K$2:$K$1001,Deployments!$B$2:$B$1001,$A293))</f>
        <v/>
      </c>
      <c r="H293" s="23" t="str">
        <f aca="false">IF(N(F293)=0,"",IF(_xlfn.MAXIFS(Deployments!$G$2:$G$1001,Deployments!$B$2:$B$1001,$A293,Deployments!$D$2:$D$1001,"&lt;&gt;Withdrawn")=0,"",_xlfn.MAXIFS(Deployments!$G$2:$G$1001,Deployments!$B$2:$B$1001,$A293,Deployments!$D$2:$D$1001,"&lt;&gt;Withdrawn")))</f>
        <v/>
      </c>
      <c r="I293" s="24" t="str">
        <f aca="false">IF($A293="","",IF(F293=0,"Not deployed",IF(F293&gt;=Setup!$H$2,"High load","Deployed")))</f>
        <v/>
      </c>
      <c r="J293" s="35" t="str">
        <f aca="false">IF(N(F293)=0,"",F293+MIN(G293,999)/1000+(1000-ROW())/10000000)</f>
        <v/>
      </c>
      <c r="K293" s="30" t="str">
        <f aca="false">IF(I293="Not deployed",COUNTIF($I$2:I293,"Not deployed"),"")</f>
        <v/>
      </c>
    </row>
    <row r="294" customFormat="false" ht="15" hidden="false" customHeight="false" outlineLevel="0" collapsed="false">
      <c r="F294" s="30" t="str">
        <f aca="false">IF($A294="","",COUNTIFS(Deployments!$B$2:$B$1001,$A294,Deployments!$D$2:$D$1001,"&lt;&gt;Withdrawn"))</f>
        <v/>
      </c>
      <c r="G294" s="25" t="str">
        <f aca="false">IF($A294="","",SUMIFS(Deployments!$K$2:$K$1001,Deployments!$B$2:$B$1001,$A294))</f>
        <v/>
      </c>
      <c r="H294" s="23" t="str">
        <f aca="false">IF(N(F294)=0,"",IF(_xlfn.MAXIFS(Deployments!$G$2:$G$1001,Deployments!$B$2:$B$1001,$A294,Deployments!$D$2:$D$1001,"&lt;&gt;Withdrawn")=0,"",_xlfn.MAXIFS(Deployments!$G$2:$G$1001,Deployments!$B$2:$B$1001,$A294,Deployments!$D$2:$D$1001,"&lt;&gt;Withdrawn")))</f>
        <v/>
      </c>
      <c r="I294" s="24" t="str">
        <f aca="false">IF($A294="","",IF(F294=0,"Not deployed",IF(F294&gt;=Setup!$H$2,"High load","Deployed")))</f>
        <v/>
      </c>
      <c r="J294" s="35" t="str">
        <f aca="false">IF(N(F294)=0,"",F294+MIN(G294,999)/1000+(1000-ROW())/10000000)</f>
        <v/>
      </c>
      <c r="K294" s="30" t="str">
        <f aca="false">IF(I294="Not deployed",COUNTIF($I$2:I294,"Not deployed"),"")</f>
        <v/>
      </c>
    </row>
    <row r="295" customFormat="false" ht="15" hidden="false" customHeight="false" outlineLevel="0" collapsed="false">
      <c r="F295" s="30" t="str">
        <f aca="false">IF($A295="","",COUNTIFS(Deployments!$B$2:$B$1001,$A295,Deployments!$D$2:$D$1001,"&lt;&gt;Withdrawn"))</f>
        <v/>
      </c>
      <c r="G295" s="25" t="str">
        <f aca="false">IF($A295="","",SUMIFS(Deployments!$K$2:$K$1001,Deployments!$B$2:$B$1001,$A295))</f>
        <v/>
      </c>
      <c r="H295" s="23" t="str">
        <f aca="false">IF(N(F295)=0,"",IF(_xlfn.MAXIFS(Deployments!$G$2:$G$1001,Deployments!$B$2:$B$1001,$A295,Deployments!$D$2:$D$1001,"&lt;&gt;Withdrawn")=0,"",_xlfn.MAXIFS(Deployments!$G$2:$G$1001,Deployments!$B$2:$B$1001,$A295,Deployments!$D$2:$D$1001,"&lt;&gt;Withdrawn")))</f>
        <v/>
      </c>
      <c r="I295" s="24" t="str">
        <f aca="false">IF($A295="","",IF(F295=0,"Not deployed",IF(F295&gt;=Setup!$H$2,"High load","Deployed")))</f>
        <v/>
      </c>
      <c r="J295" s="35" t="str">
        <f aca="false">IF(N(F295)=0,"",F295+MIN(G295,999)/1000+(1000-ROW())/10000000)</f>
        <v/>
      </c>
      <c r="K295" s="30" t="str">
        <f aca="false">IF(I295="Not deployed",COUNTIF($I$2:I295,"Not deployed"),"")</f>
        <v/>
      </c>
    </row>
    <row r="296" customFormat="false" ht="15" hidden="false" customHeight="false" outlineLevel="0" collapsed="false">
      <c r="F296" s="30" t="str">
        <f aca="false">IF($A296="","",COUNTIFS(Deployments!$B$2:$B$1001,$A296,Deployments!$D$2:$D$1001,"&lt;&gt;Withdrawn"))</f>
        <v/>
      </c>
      <c r="G296" s="25" t="str">
        <f aca="false">IF($A296="","",SUMIFS(Deployments!$K$2:$K$1001,Deployments!$B$2:$B$1001,$A296))</f>
        <v/>
      </c>
      <c r="H296" s="23" t="str">
        <f aca="false">IF(N(F296)=0,"",IF(_xlfn.MAXIFS(Deployments!$G$2:$G$1001,Deployments!$B$2:$B$1001,$A296,Deployments!$D$2:$D$1001,"&lt;&gt;Withdrawn")=0,"",_xlfn.MAXIFS(Deployments!$G$2:$G$1001,Deployments!$B$2:$B$1001,$A296,Deployments!$D$2:$D$1001,"&lt;&gt;Withdrawn")))</f>
        <v/>
      </c>
      <c r="I296" s="24" t="str">
        <f aca="false">IF($A296="","",IF(F296=0,"Not deployed",IF(F296&gt;=Setup!$H$2,"High load","Deployed")))</f>
        <v/>
      </c>
      <c r="J296" s="35" t="str">
        <f aca="false">IF(N(F296)=0,"",F296+MIN(G296,999)/1000+(1000-ROW())/10000000)</f>
        <v/>
      </c>
      <c r="K296" s="30" t="str">
        <f aca="false">IF(I296="Not deployed",COUNTIF($I$2:I296,"Not deployed"),"")</f>
        <v/>
      </c>
    </row>
    <row r="297" customFormat="false" ht="15" hidden="false" customHeight="false" outlineLevel="0" collapsed="false">
      <c r="F297" s="30" t="str">
        <f aca="false">IF($A297="","",COUNTIFS(Deployments!$B$2:$B$1001,$A297,Deployments!$D$2:$D$1001,"&lt;&gt;Withdrawn"))</f>
        <v/>
      </c>
      <c r="G297" s="25" t="str">
        <f aca="false">IF($A297="","",SUMIFS(Deployments!$K$2:$K$1001,Deployments!$B$2:$B$1001,$A297))</f>
        <v/>
      </c>
      <c r="H297" s="23" t="str">
        <f aca="false">IF(N(F297)=0,"",IF(_xlfn.MAXIFS(Deployments!$G$2:$G$1001,Deployments!$B$2:$B$1001,$A297,Deployments!$D$2:$D$1001,"&lt;&gt;Withdrawn")=0,"",_xlfn.MAXIFS(Deployments!$G$2:$G$1001,Deployments!$B$2:$B$1001,$A297,Deployments!$D$2:$D$1001,"&lt;&gt;Withdrawn")))</f>
        <v/>
      </c>
      <c r="I297" s="24" t="str">
        <f aca="false">IF($A297="","",IF(F297=0,"Not deployed",IF(F297&gt;=Setup!$H$2,"High load","Deployed")))</f>
        <v/>
      </c>
      <c r="J297" s="35" t="str">
        <f aca="false">IF(N(F297)=0,"",F297+MIN(G297,999)/1000+(1000-ROW())/10000000)</f>
        <v/>
      </c>
      <c r="K297" s="30" t="str">
        <f aca="false">IF(I297="Not deployed",COUNTIF($I$2:I297,"Not deployed"),"")</f>
        <v/>
      </c>
    </row>
    <row r="298" customFormat="false" ht="15" hidden="false" customHeight="false" outlineLevel="0" collapsed="false">
      <c r="F298" s="30" t="str">
        <f aca="false">IF($A298="","",COUNTIFS(Deployments!$B$2:$B$1001,$A298,Deployments!$D$2:$D$1001,"&lt;&gt;Withdrawn"))</f>
        <v/>
      </c>
      <c r="G298" s="25" t="str">
        <f aca="false">IF($A298="","",SUMIFS(Deployments!$K$2:$K$1001,Deployments!$B$2:$B$1001,$A298))</f>
        <v/>
      </c>
      <c r="H298" s="23" t="str">
        <f aca="false">IF(N(F298)=0,"",IF(_xlfn.MAXIFS(Deployments!$G$2:$G$1001,Deployments!$B$2:$B$1001,$A298,Deployments!$D$2:$D$1001,"&lt;&gt;Withdrawn")=0,"",_xlfn.MAXIFS(Deployments!$G$2:$G$1001,Deployments!$B$2:$B$1001,$A298,Deployments!$D$2:$D$1001,"&lt;&gt;Withdrawn")))</f>
        <v/>
      </c>
      <c r="I298" s="24" t="str">
        <f aca="false">IF($A298="","",IF(F298=0,"Not deployed",IF(F298&gt;=Setup!$H$2,"High load","Deployed")))</f>
        <v/>
      </c>
      <c r="J298" s="35" t="str">
        <f aca="false">IF(N(F298)=0,"",F298+MIN(G298,999)/1000+(1000-ROW())/10000000)</f>
        <v/>
      </c>
      <c r="K298" s="30" t="str">
        <f aca="false">IF(I298="Not deployed",COUNTIF($I$2:I298,"Not deployed"),"")</f>
        <v/>
      </c>
    </row>
    <row r="299" customFormat="false" ht="15" hidden="false" customHeight="false" outlineLevel="0" collapsed="false">
      <c r="F299" s="30" t="str">
        <f aca="false">IF($A299="","",COUNTIFS(Deployments!$B$2:$B$1001,$A299,Deployments!$D$2:$D$1001,"&lt;&gt;Withdrawn"))</f>
        <v/>
      </c>
      <c r="G299" s="25" t="str">
        <f aca="false">IF($A299="","",SUMIFS(Deployments!$K$2:$K$1001,Deployments!$B$2:$B$1001,$A299))</f>
        <v/>
      </c>
      <c r="H299" s="23" t="str">
        <f aca="false">IF(N(F299)=0,"",IF(_xlfn.MAXIFS(Deployments!$G$2:$G$1001,Deployments!$B$2:$B$1001,$A299,Deployments!$D$2:$D$1001,"&lt;&gt;Withdrawn")=0,"",_xlfn.MAXIFS(Deployments!$G$2:$G$1001,Deployments!$B$2:$B$1001,$A299,Deployments!$D$2:$D$1001,"&lt;&gt;Withdrawn")))</f>
        <v/>
      </c>
      <c r="I299" s="24" t="str">
        <f aca="false">IF($A299="","",IF(F299=0,"Not deployed",IF(F299&gt;=Setup!$H$2,"High load","Deployed")))</f>
        <v/>
      </c>
      <c r="J299" s="35" t="str">
        <f aca="false">IF(N(F299)=0,"",F299+MIN(G299,999)/1000+(1000-ROW())/10000000)</f>
        <v/>
      </c>
      <c r="K299" s="30" t="str">
        <f aca="false">IF(I299="Not deployed",COUNTIF($I$2:I299,"Not deployed"),"")</f>
        <v/>
      </c>
    </row>
    <row r="300" customFormat="false" ht="15" hidden="false" customHeight="false" outlineLevel="0" collapsed="false">
      <c r="F300" s="30" t="str">
        <f aca="false">IF($A300="","",COUNTIFS(Deployments!$B$2:$B$1001,$A300,Deployments!$D$2:$D$1001,"&lt;&gt;Withdrawn"))</f>
        <v/>
      </c>
      <c r="G300" s="25" t="str">
        <f aca="false">IF($A300="","",SUMIFS(Deployments!$K$2:$K$1001,Deployments!$B$2:$B$1001,$A300))</f>
        <v/>
      </c>
      <c r="H300" s="23" t="str">
        <f aca="false">IF(N(F300)=0,"",IF(_xlfn.MAXIFS(Deployments!$G$2:$G$1001,Deployments!$B$2:$B$1001,$A300,Deployments!$D$2:$D$1001,"&lt;&gt;Withdrawn")=0,"",_xlfn.MAXIFS(Deployments!$G$2:$G$1001,Deployments!$B$2:$B$1001,$A300,Deployments!$D$2:$D$1001,"&lt;&gt;Withdrawn")))</f>
        <v/>
      </c>
      <c r="I300" s="24" t="str">
        <f aca="false">IF($A300="","",IF(F300=0,"Not deployed",IF(F300&gt;=Setup!$H$2,"High load","Deployed")))</f>
        <v/>
      </c>
      <c r="J300" s="35" t="str">
        <f aca="false">IF(N(F300)=0,"",F300+MIN(G300,999)/1000+(1000-ROW())/10000000)</f>
        <v/>
      </c>
      <c r="K300" s="30" t="str">
        <f aca="false">IF(I300="Not deployed",COUNTIF($I$2:I300,"Not deployed"),"")</f>
        <v/>
      </c>
    </row>
    <row r="301" customFormat="false" ht="15" hidden="false" customHeight="false" outlineLevel="0" collapsed="false">
      <c r="F301" s="30" t="str">
        <f aca="false">IF($A301="","",COUNTIFS(Deployments!$B$2:$B$1001,$A301,Deployments!$D$2:$D$1001,"&lt;&gt;Withdrawn"))</f>
        <v/>
      </c>
      <c r="G301" s="25" t="str">
        <f aca="false">IF($A301="","",SUMIFS(Deployments!$K$2:$K$1001,Deployments!$B$2:$B$1001,$A301))</f>
        <v/>
      </c>
      <c r="H301" s="23" t="str">
        <f aca="false">IF(N(F301)=0,"",IF(_xlfn.MAXIFS(Deployments!$G$2:$G$1001,Deployments!$B$2:$B$1001,$A301,Deployments!$D$2:$D$1001,"&lt;&gt;Withdrawn")=0,"",_xlfn.MAXIFS(Deployments!$G$2:$G$1001,Deployments!$B$2:$B$1001,$A301,Deployments!$D$2:$D$1001,"&lt;&gt;Withdrawn")))</f>
        <v/>
      </c>
      <c r="I301" s="24" t="str">
        <f aca="false">IF($A301="","",IF(F301=0,"Not deployed",IF(F301&gt;=Setup!$H$2,"High load","Deployed")))</f>
        <v/>
      </c>
      <c r="J301" s="35" t="str">
        <f aca="false">IF(N(F301)=0,"",F301+MIN(G301,999)/1000+(1000-ROW())/10000000)</f>
        <v/>
      </c>
      <c r="K301" s="30" t="str">
        <f aca="false">IF(I301="Not deployed",COUNTIF($I$2:I301,"Not deployed"),"")</f>
        <v/>
      </c>
    </row>
  </sheetData>
  <autoFilter ref="A1:I301"/>
  <conditionalFormatting sqref="I2:I301">
    <cfRule type="cellIs" priority="2" operator="equal" aboveAverage="0" equalAverage="0" bottom="0" percent="0" rank="0" text="" dxfId="5">
      <formula>"Not deployed"</formula>
    </cfRule>
    <cfRule type="cellIs" priority="3" operator="equal" aboveAverage="0" equalAverage="0" bottom="0" percent="0" rank="0" text="" dxfId="2">
      <formula>"High load"</formula>
    </cfRule>
    <cfRule type="cellIs" priority="4" operator="equal" aboveAverage="0" equalAverage="0" bottom="0" percent="0" rank="0" text="" dxfId="4">
      <formula>"Deployed"</formula>
    </cfRule>
  </conditionalFormatting>
  <conditionalFormatting sqref="A2:A301">
    <cfRule type="expression" priority="5" aboveAverage="0" equalAverage="0" bottom="0" percent="0" rank="0" text="" dxfId="5">
      <formula>AND($A2&lt;&gt;"",COUNTIF($A$2:$A$301,$A2)&gt;1)</formula>
    </cfRule>
  </conditionalFormatting>
  <dataValidations count="2">
    <dataValidation allowBlank="true" error="Choose a value from the dropdown." errorStyle="stop" errorTitle="Pick from the list" operator="between" showDropDown="false" showErrorMessage="true" showInputMessage="false" sqref="C2:C301" type="list">
      <formula1>Setup!$E$2:$E$60</formula1>
      <formula2>0</formula2>
    </dataValidation>
    <dataValidation allowBlank="true" error="Choose a value from the dropdown." errorStyle="stop" errorTitle="Pick from the list" operator="between" showDropDown="false" showErrorMessage="true" showInputMessage="false" sqref="D2:D301" type="list">
      <formula1>Setup!$D$2:$D$60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3B2"/>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5" min="1" style="0" width="22"/>
    <col collapsed="false" customWidth="true" hidden="false" outlineLevel="0" max="6" min="6" style="0" width="3"/>
    <col collapsed="false" customWidth="true" hidden="false" outlineLevel="0" max="7" min="7" style="0" width="34"/>
    <col collapsed="false" customWidth="true" hidden="false" outlineLevel="0" max="8" min="8" style="0" width="10"/>
  </cols>
  <sheetData>
    <row r="1" customFormat="false" ht="15" hidden="false" customHeight="false" outlineLevel="0" collapsed="false">
      <c r="A1" s="36" t="s">
        <v>80</v>
      </c>
      <c r="B1" s="36" t="s">
        <v>81</v>
      </c>
      <c r="C1" s="36" t="s">
        <v>82</v>
      </c>
      <c r="D1" s="36" t="s">
        <v>83</v>
      </c>
      <c r="E1" s="36" t="s">
        <v>84</v>
      </c>
      <c r="F1" s="36" t="s">
        <v>85</v>
      </c>
      <c r="G1" s="36" t="s">
        <v>86</v>
      </c>
      <c r="H1" s="36" t="s">
        <v>87</v>
      </c>
    </row>
    <row r="2" customFormat="false" ht="15" hidden="false" customHeight="false" outlineLevel="0" collapsed="false">
      <c r="A2" s="37" t="s">
        <v>65</v>
      </c>
      <c r="B2" s="37" t="s">
        <v>53</v>
      </c>
      <c r="C2" s="37" t="s">
        <v>54</v>
      </c>
      <c r="D2" s="37" t="s">
        <v>79</v>
      </c>
      <c r="E2" s="37" t="s">
        <v>88</v>
      </c>
      <c r="F2" s="37" t="s">
        <v>89</v>
      </c>
      <c r="G2" s="37" t="s">
        <v>90</v>
      </c>
      <c r="H2" s="37" t="n">
        <v>4</v>
      </c>
    </row>
    <row r="3" customFormat="false" ht="15" hidden="false" customHeight="false" outlineLevel="0" collapsed="false">
      <c r="A3" s="37" t="s">
        <v>91</v>
      </c>
      <c r="B3" s="37" t="s">
        <v>92</v>
      </c>
      <c r="C3" s="37" t="s">
        <v>93</v>
      </c>
      <c r="D3" s="37" t="s">
        <v>94</v>
      </c>
      <c r="E3" s="37" t="s">
        <v>95</v>
      </c>
      <c r="F3" s="37" t="s">
        <v>96</v>
      </c>
      <c r="G3" s="37" t="s">
        <v>97</v>
      </c>
      <c r="H3" s="37" t="n">
        <v>14</v>
      </c>
    </row>
    <row r="4" customFormat="false" ht="15" hidden="false" customHeight="false" outlineLevel="0" collapsed="false">
      <c r="A4" s="37" t="s">
        <v>98</v>
      </c>
      <c r="B4" s="37" t="s">
        <v>99</v>
      </c>
      <c r="C4" s="37" t="s">
        <v>100</v>
      </c>
      <c r="D4" s="37" t="s">
        <v>101</v>
      </c>
      <c r="E4" s="37" t="s">
        <v>78</v>
      </c>
      <c r="F4" s="37" t="s">
        <v>102</v>
      </c>
    </row>
    <row r="5" customFormat="false" ht="15" hidden="false" customHeight="true" outlineLevel="0" collapsed="false">
      <c r="A5" s="37" t="s">
        <v>103</v>
      </c>
      <c r="B5" s="37" t="s">
        <v>104</v>
      </c>
      <c r="C5" s="37" t="s">
        <v>105</v>
      </c>
      <c r="D5" s="37" t="s">
        <v>106</v>
      </c>
      <c r="E5" s="37" t="s">
        <v>107</v>
      </c>
      <c r="F5" s="37" t="s">
        <v>108</v>
      </c>
      <c r="G5" s="38" t="s">
        <v>109</v>
      </c>
      <c r="H5" s="38"/>
    </row>
    <row r="6" customFormat="false" ht="15" hidden="false" customHeight="false" outlineLevel="0" collapsed="false">
      <c r="A6" s="37" t="s">
        <v>110</v>
      </c>
      <c r="B6" s="37" t="s">
        <v>111</v>
      </c>
      <c r="D6" s="37" t="s">
        <v>112</v>
      </c>
      <c r="E6" s="37" t="s">
        <v>113</v>
      </c>
      <c r="F6" s="37" t="s">
        <v>114</v>
      </c>
      <c r="G6" s="38"/>
      <c r="H6" s="38"/>
    </row>
    <row r="7" customFormat="false" ht="15" hidden="false" customHeight="false" outlineLevel="0" collapsed="false">
      <c r="A7" s="37" t="s">
        <v>115</v>
      </c>
      <c r="B7" s="37" t="s">
        <v>116</v>
      </c>
      <c r="D7" s="37" t="s">
        <v>117</v>
      </c>
      <c r="F7" s="37" t="s">
        <v>118</v>
      </c>
      <c r="G7" s="38"/>
      <c r="H7" s="38"/>
    </row>
    <row r="8" customFormat="false" ht="15" hidden="false" customHeight="false" outlineLevel="0" collapsed="false">
      <c r="A8" s="37" t="s">
        <v>119</v>
      </c>
      <c r="B8" s="37" t="s">
        <v>120</v>
      </c>
      <c r="F8" s="37" t="s">
        <v>121</v>
      </c>
      <c r="G8" s="38"/>
      <c r="H8" s="38"/>
    </row>
    <row r="9" customFormat="false" ht="15" hidden="false" customHeight="false" outlineLevel="0" collapsed="false">
      <c r="A9" s="37" t="s">
        <v>122</v>
      </c>
      <c r="B9" s="37" t="s">
        <v>123</v>
      </c>
      <c r="F9" s="37" t="s">
        <v>124</v>
      </c>
      <c r="G9" s="38"/>
      <c r="H9" s="38"/>
    </row>
    <row r="10" customFormat="false" ht="15" hidden="false" customHeight="false" outlineLevel="0" collapsed="false">
      <c r="B10" s="37" t="s">
        <v>125</v>
      </c>
      <c r="F10" s="37" t="s">
        <v>126</v>
      </c>
      <c r="G10" s="38"/>
      <c r="H10" s="38"/>
    </row>
    <row r="11" customFormat="false" ht="15" hidden="false" customHeight="false" outlineLevel="0" collapsed="false">
      <c r="F11" s="37" t="s">
        <v>127</v>
      </c>
    </row>
    <row r="12" customFormat="false" ht="15" hidden="false" customHeight="false" outlineLevel="0" collapsed="false">
      <c r="F12" s="37" t="s">
        <v>128</v>
      </c>
    </row>
    <row r="13" customFormat="false" ht="15" hidden="false" customHeight="false" outlineLevel="0" collapsed="false">
      <c r="F13" s="37" t="s">
        <v>129</v>
      </c>
    </row>
    <row r="14" customFormat="false" ht="15" hidden="false" customHeight="false" outlineLevel="0" collapsed="false">
      <c r="F14" s="37" t="s">
        <v>130</v>
      </c>
    </row>
    <row r="15" customFormat="false" ht="15" hidden="false" customHeight="false" outlineLevel="0" collapsed="false">
      <c r="F15" s="37" t="s">
        <v>131</v>
      </c>
    </row>
    <row r="16" customFormat="false" ht="15" hidden="false" customHeight="false" outlineLevel="0" collapsed="false">
      <c r="F16" s="37" t="s">
        <v>132</v>
      </c>
    </row>
    <row r="17" customFormat="false" ht="15" hidden="false" customHeight="false" outlineLevel="0" collapsed="false">
      <c r="F17" s="37" t="s">
        <v>133</v>
      </c>
    </row>
    <row r="18" customFormat="false" ht="15" hidden="false" customHeight="false" outlineLevel="0" collapsed="false">
      <c r="F18" s="37" t="s">
        <v>134</v>
      </c>
    </row>
    <row r="19" customFormat="false" ht="15" hidden="false" customHeight="false" outlineLevel="0" collapsed="false">
      <c r="F19" s="37" t="s">
        <v>135</v>
      </c>
    </row>
    <row r="20" customFormat="false" ht="15" hidden="false" customHeight="false" outlineLevel="0" collapsed="false">
      <c r="F20" s="37" t="s">
        <v>136</v>
      </c>
    </row>
    <row r="21" customFormat="false" ht="15" hidden="false" customHeight="false" outlineLevel="0" collapsed="false">
      <c r="F21" s="37" t="s">
        <v>137</v>
      </c>
    </row>
  </sheetData>
  <mergeCells count="1">
    <mergeCell ref="G5:H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AA3B2"/>
    <pageSetUpPr fitToPage="false"/>
  </sheetPr>
  <dimension ref="B1:C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90"/>
  </cols>
  <sheetData>
    <row r="1" customFormat="false" ht="22.05" hidden="false" customHeight="false" outlineLevel="0" collapsed="false">
      <c r="B1" s="1" t="s">
        <v>138</v>
      </c>
    </row>
    <row r="4" customFormat="false" ht="15" hidden="false" customHeight="false" outlineLevel="0" collapsed="false">
      <c r="B4" s="6" t="s">
        <v>139</v>
      </c>
    </row>
    <row r="5" customFormat="false" ht="42" hidden="false" customHeight="true" outlineLevel="0" collapsed="false">
      <c r="B5" s="39" t="s">
        <v>140</v>
      </c>
      <c r="C5" s="40" t="s">
        <v>141</v>
      </c>
    </row>
    <row r="7" customFormat="false" ht="15" hidden="false" customHeight="false" outlineLevel="0" collapsed="false">
      <c r="B7" s="6" t="s">
        <v>142</v>
      </c>
    </row>
    <row r="8" customFormat="false" ht="13.5" hidden="false" customHeight="true" outlineLevel="0" collapsed="false">
      <c r="B8" s="39" t="s">
        <v>143</v>
      </c>
      <c r="C8" s="40" t="s">
        <v>144</v>
      </c>
    </row>
    <row r="9" customFormat="false" ht="13.5" hidden="false" customHeight="true" outlineLevel="0" collapsed="false">
      <c r="B9" s="39" t="s">
        <v>145</v>
      </c>
      <c r="C9" s="40" t="s">
        <v>146</v>
      </c>
    </row>
    <row r="10" customFormat="false" ht="13.5" hidden="false" customHeight="true" outlineLevel="0" collapsed="false">
      <c r="B10" s="39" t="s">
        <v>147</v>
      </c>
      <c r="C10" s="40" t="s">
        <v>148</v>
      </c>
    </row>
    <row r="12" customFormat="false" ht="15" hidden="false" customHeight="false" outlineLevel="0" collapsed="false">
      <c r="B12" s="6" t="s">
        <v>149</v>
      </c>
    </row>
    <row r="13" customFormat="false" ht="27.75" hidden="false" customHeight="true" outlineLevel="0" collapsed="false">
      <c r="B13" s="39" t="s">
        <v>150</v>
      </c>
      <c r="C13" s="40" t="s">
        <v>151</v>
      </c>
    </row>
    <row r="14" customFormat="false" ht="27.75" hidden="false" customHeight="true" outlineLevel="0" collapsed="false">
      <c r="B14" s="39" t="s">
        <v>152</v>
      </c>
      <c r="C14" s="40" t="s">
        <v>153</v>
      </c>
    </row>
    <row r="15" customFormat="false" ht="42" hidden="false" customHeight="true" outlineLevel="0" collapsed="false">
      <c r="B15" s="39" t="s">
        <v>154</v>
      </c>
      <c r="C15" s="40" t="s">
        <v>155</v>
      </c>
    </row>
    <row r="16" customFormat="false" ht="27.75" hidden="false" customHeight="true" outlineLevel="0" collapsed="false">
      <c r="B16" s="39" t="s">
        <v>82</v>
      </c>
      <c r="C16" s="40" t="s">
        <v>156</v>
      </c>
    </row>
    <row r="17" customFormat="false" ht="42" hidden="false" customHeight="true" outlineLevel="0" collapsed="false">
      <c r="B17" s="39" t="s">
        <v>157</v>
      </c>
      <c r="C17" s="40" t="s">
        <v>158</v>
      </c>
    </row>
    <row r="19" customFormat="false" ht="15" hidden="false" customHeight="false" outlineLevel="0" collapsed="false">
      <c r="B19" s="6" t="s">
        <v>159</v>
      </c>
    </row>
    <row r="20" customFormat="false" ht="27.75" hidden="false" customHeight="true" outlineLevel="0" collapsed="false">
      <c r="B20" s="39" t="s">
        <v>160</v>
      </c>
      <c r="C20" s="40" t="s">
        <v>161</v>
      </c>
    </row>
    <row r="21" customFormat="false" ht="27.75" hidden="false" customHeight="true" outlineLevel="0" collapsed="false">
      <c r="B21" s="39" t="s">
        <v>162</v>
      </c>
      <c r="C21" s="40" t="s">
        <v>163</v>
      </c>
    </row>
    <row r="22" customFormat="false" ht="27.75" hidden="false" customHeight="true" outlineLevel="0" collapsed="false">
      <c r="B22" s="39" t="s">
        <v>164</v>
      </c>
      <c r="C22" s="40" t="s">
        <v>165</v>
      </c>
    </row>
    <row r="23" customFormat="false" ht="27.75" hidden="false" customHeight="true" outlineLevel="0" collapsed="false">
      <c r="B23" s="39" t="s">
        <v>166</v>
      </c>
      <c r="C23" s="40" t="s">
        <v>167</v>
      </c>
    </row>
    <row r="24" customFormat="false" ht="27.75" hidden="false" customHeight="true" outlineLevel="0" collapsed="false">
      <c r="B24" s="39" t="s">
        <v>168</v>
      </c>
      <c r="C24" s="40" t="s">
        <v>169</v>
      </c>
    </row>
    <row r="26" customFormat="false" ht="15" hidden="false" customHeight="false" outlineLevel="0" collapsed="false">
      <c r="B26" s="41" t="s">
        <v>170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2026-10-22T01:19:24Z</dcterms:created>
  <dc:creator>openpyxl</dc:creator>
  <dc:description/>
  <dc:language>en-US</dc:language>
  <cp:lastModifiedBy/>
  <dcterms:modified xsi:type="dcterms:W3CDTF">2026-10-22T01:19:36Z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